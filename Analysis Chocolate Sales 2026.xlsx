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53766a4e0b27d30f/المستندات/Excel/تدريب/"/>
    </mc:Choice>
  </mc:AlternateContent>
  <xr:revisionPtr revIDLastSave="321" documentId="6_{3226B6E9-1169-4C1F-82FF-B6780D386869}" xr6:coauthVersionLast="47" xr6:coauthVersionMax="47" xr10:uidLastSave="{45AB688C-956F-4643-9FC1-0D6D9BF07CC3}"/>
  <bookViews>
    <workbookView xWindow="-108" yWindow="-108" windowWidth="23256" windowHeight="12456" firstSheet="3" activeTab="7" xr2:uid="{00000000-000D-0000-FFFF-FFFF00000000}"/>
  </bookViews>
  <sheets>
    <sheet name="PivotTable (Corrltion )" sheetId="6" r:id="rId1"/>
    <sheet name="Chocolate Sales " sheetId="1" r:id="rId2"/>
    <sheet name="UpDate Chocolate Sales " sheetId="5" r:id="rId3"/>
    <sheet name="Rela. amount &amp; Boxes." sheetId="28" r:id="rId4"/>
    <sheet name="Analysis Type" sheetId="23" r:id="rId5"/>
    <sheet name="Anaylsis-1" sheetId="14" r:id="rId6"/>
    <sheet name="Anaylsis-2" sheetId="18" r:id="rId7"/>
    <sheet name="analysis Chocolate Sales " sheetId="25" r:id="rId8"/>
  </sheets>
  <definedNames>
    <definedName name="_xlcn.WorksheetConnection_analysisChocolateSales.xlsxTable1_31" hidden="1">Table1_3[]</definedName>
    <definedName name="Amount" localSheetId="7">Table1_3[Amount]</definedName>
    <definedName name="Amount">Table1_3[Amount]</definedName>
    <definedName name="Country" localSheetId="7">Table1_3[Country]</definedName>
    <definedName name="Country">Table1_3[Country]</definedName>
    <definedName name="Date" localSheetId="7">Table1_3[Date]</definedName>
    <definedName name="Date">Table1_3[Date]</definedName>
    <definedName name="ExternalData_1" localSheetId="1" hidden="1">'Chocolate Sales '!#REF!</definedName>
    <definedName name="ExternalData_2" localSheetId="2" hidden="1">'UpDate Chocolate Sales '!$A$1:$E$3283</definedName>
    <definedName name="NativeTimeline_Date">#N/A</definedName>
    <definedName name="Product" localSheetId="7">Table1_3[Product]</definedName>
    <definedName name="Product">Table1_3[Product]</definedName>
    <definedName name="Sales_Person" localSheetId="7">Table1_3[Sales Person]</definedName>
    <definedName name="Sales_Person">Table1_3[Sales Person]</definedName>
    <definedName name="Slicer_Country">#N/A</definedName>
    <definedName name="Slicer_Product">#N/A</definedName>
    <definedName name="Slicer_Sales_Person">#N/A</definedName>
  </definedNames>
  <calcPr calcId="191029"/>
  <pivotCaches>
    <pivotCache cacheId="187" r:id="rId9"/>
    <pivotCache cacheId="190" r:id="rId10"/>
    <pivotCache cacheId="193" r:id="rId11"/>
    <pivotCache cacheId="196" r:id="rId12"/>
    <pivotCache cacheId="199" r:id="rId13"/>
    <pivotCache cacheId="206"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15="http://schemas.microsoft.com/office/spreadsheetml/2010/11/main" uri="{FCE2AD5D-F65C-4FA6-A056-5C36A1767C68}">
      <x15:dataModel>
        <x15:modelTables>
          <x15:modelTable id="Table1_3" name="Table1_3" connection="WorksheetConnection_analysis Chocolate Sales.xlsx!Table1_3"/>
        </x15:modelTables>
        <x15:extLst>
          <ext xmlns:x16="http://schemas.microsoft.com/office/spreadsheetml/2014/11/main" uri="{9835A34E-60A6-4A7C-AAB8-D5F71C897F49}">
            <x16:modelTimeGroupings>
              <x16:modelTimeGrouping tableName="Table1_3" columnName="Date" columnId="Date">
                <x16:calculatedTimeColumn columnName="Date (Year)" columnId="Date (Year)" contentType="yea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5" i="14" l="1"/>
  <c r="BP4" i="14"/>
  <c r="BP3" i="14"/>
  <c r="BQ3" i="14" s="1"/>
  <c r="BP2" i="14"/>
  <c r="BQ2" i="14" s="1"/>
  <c r="G2011" i="5"/>
  <c r="G1123" i="5"/>
  <c r="G688" i="5"/>
  <c r="G1819" i="5"/>
  <c r="G1975" i="5"/>
  <c r="G424" i="5"/>
  <c r="G301" i="5"/>
  <c r="G979" i="5"/>
  <c r="G184" i="5"/>
  <c r="G2944" i="5"/>
  <c r="G2332" i="5"/>
  <c r="G556" i="5"/>
  <c r="G1081" i="5"/>
  <c r="G1789" i="5"/>
  <c r="G1666" i="5"/>
  <c r="G1864" i="5"/>
  <c r="G2686" i="5"/>
  <c r="G1111" i="5"/>
  <c r="G2968" i="5"/>
  <c r="G55" i="5"/>
  <c r="G2941" i="5"/>
  <c r="G2467" i="5"/>
  <c r="G970" i="5"/>
  <c r="G2680" i="5"/>
  <c r="G2263" i="5"/>
  <c r="G2305" i="5"/>
  <c r="G604" i="5"/>
  <c r="G2920" i="5"/>
  <c r="G2821" i="5"/>
  <c r="G1306" i="5"/>
  <c r="G43" i="5"/>
  <c r="G1051" i="5"/>
  <c r="G3049" i="5"/>
  <c r="G2953" i="5"/>
  <c r="G838" i="5"/>
  <c r="G661" i="5"/>
  <c r="G2551" i="5"/>
  <c r="G2383" i="5"/>
  <c r="G2365" i="5"/>
  <c r="G628" i="5"/>
  <c r="G1936" i="5"/>
  <c r="G1336" i="5"/>
  <c r="G3103" i="5"/>
  <c r="G2836" i="5"/>
  <c r="G700" i="5"/>
  <c r="G2914" i="5"/>
  <c r="G2617" i="5"/>
  <c r="G598" i="5"/>
  <c r="G1126" i="5"/>
  <c r="G1513" i="5"/>
  <c r="G1663" i="5"/>
  <c r="G2992" i="5"/>
  <c r="G1060" i="5"/>
  <c r="G3058" i="5"/>
  <c r="G2107" i="5"/>
  <c r="G274" i="5"/>
  <c r="G2413" i="5"/>
  <c r="G61" i="5"/>
  <c r="G913" i="5"/>
  <c r="G1384" i="5"/>
  <c r="G1765" i="5"/>
  <c r="G871" i="5"/>
  <c r="G175" i="5"/>
  <c r="G1528" i="5"/>
  <c r="G1699" i="5"/>
  <c r="G3067" i="5"/>
  <c r="G214" i="5"/>
  <c r="G25" i="5"/>
  <c r="G3208" i="5"/>
  <c r="G1162" i="5"/>
  <c r="G3145" i="5"/>
  <c r="G355" i="5"/>
  <c r="G949" i="5"/>
  <c r="G319" i="5"/>
  <c r="G421" i="5"/>
  <c r="G1045" i="5"/>
  <c r="G2647" i="5"/>
  <c r="G1873" i="5"/>
  <c r="G2416" i="5"/>
  <c r="G2797" i="5"/>
  <c r="G2095" i="5"/>
  <c r="G1189" i="5"/>
  <c r="G2872" i="5"/>
  <c r="G1912" i="5"/>
  <c r="G1861" i="5"/>
  <c r="G1903" i="5"/>
  <c r="G1963" i="5"/>
  <c r="G73" i="5"/>
  <c r="G1144" i="5"/>
  <c r="G2725" i="5"/>
  <c r="G2977" i="5"/>
  <c r="G2578" i="5"/>
  <c r="G1954" i="5"/>
  <c r="G583" i="5"/>
  <c r="G1720" i="5"/>
  <c r="G2671" i="5"/>
  <c r="G670" i="5"/>
  <c r="G2991" i="5"/>
  <c r="G922" i="5"/>
  <c r="G1438" i="5"/>
  <c r="G1405" i="5"/>
  <c r="G496" i="5"/>
  <c r="G2785" i="5"/>
  <c r="G2425" i="5"/>
  <c r="G235" i="5"/>
  <c r="G280" i="5"/>
  <c r="G883" i="5"/>
  <c r="G895" i="5"/>
  <c r="G517" i="5"/>
  <c r="G1321" i="5"/>
  <c r="G1255" i="5"/>
  <c r="G1030" i="5"/>
  <c r="G1129" i="5"/>
  <c r="G430" i="5"/>
  <c r="G1480" i="5"/>
  <c r="G2428" i="5"/>
  <c r="G2212" i="5"/>
  <c r="G1207" i="5"/>
  <c r="G607" i="5"/>
  <c r="G1972" i="5"/>
  <c r="G1744" i="5"/>
  <c r="G1507" i="5"/>
  <c r="G3091" i="5"/>
  <c r="G2344" i="5"/>
  <c r="G640" i="5"/>
  <c r="G637" i="5"/>
  <c r="G1213" i="5"/>
  <c r="G703" i="5"/>
  <c r="G325" i="5"/>
  <c r="G2662" i="5"/>
  <c r="G529" i="5"/>
  <c r="G1501" i="5"/>
  <c r="G2779" i="5"/>
  <c r="G2990" i="5"/>
  <c r="G520" i="5"/>
  <c r="G2461" i="5"/>
  <c r="G283" i="5"/>
  <c r="G2200" i="5"/>
  <c r="G916" i="5"/>
  <c r="G2884" i="5"/>
  <c r="G2287" i="5"/>
  <c r="G1987" i="5"/>
  <c r="G3118" i="5"/>
  <c r="G2377" i="5"/>
  <c r="G1057" i="5"/>
  <c r="G2683" i="5"/>
  <c r="G3259" i="5"/>
  <c r="G3211" i="5"/>
  <c r="G1828" i="5"/>
  <c r="G1672" i="5"/>
  <c r="G2722" i="5"/>
  <c r="G2902" i="5"/>
  <c r="G151" i="5"/>
  <c r="G382" i="5"/>
  <c r="G3034" i="5"/>
  <c r="G2824" i="5"/>
  <c r="G2845" i="5"/>
  <c r="G3214" i="5"/>
  <c r="G163" i="5"/>
  <c r="G2776" i="5"/>
  <c r="G2692" i="5"/>
  <c r="G697" i="5"/>
  <c r="G2917" i="5"/>
  <c r="G1900" i="5"/>
  <c r="G1093" i="5"/>
  <c r="G2176" i="5"/>
  <c r="G907" i="5"/>
  <c r="G733" i="5"/>
  <c r="G1891" i="5"/>
  <c r="G2308" i="5"/>
  <c r="G1372" i="5"/>
  <c r="G2149" i="5"/>
  <c r="G3217" i="5"/>
  <c r="G3226" i="5"/>
  <c r="G3274" i="5"/>
  <c r="G133" i="5"/>
  <c r="G2491" i="5"/>
  <c r="G712" i="5"/>
  <c r="G1444" i="5"/>
  <c r="G1618" i="5"/>
  <c r="G3022" i="5"/>
  <c r="G952" i="5"/>
  <c r="G754" i="5"/>
  <c r="G208" i="5"/>
  <c r="G886" i="5"/>
  <c r="G811" i="5"/>
  <c r="G2857" i="5"/>
  <c r="G247" i="5"/>
  <c r="G2674" i="5"/>
  <c r="G2653" i="5"/>
  <c r="G1258" i="5"/>
  <c r="G2206" i="5"/>
  <c r="G2749" i="5"/>
  <c r="G1774" i="5"/>
  <c r="G586" i="5"/>
  <c r="G1435" i="5"/>
  <c r="G1423" i="5"/>
  <c r="G313" i="5"/>
  <c r="G1786" i="5"/>
  <c r="G1906" i="5"/>
  <c r="G1525" i="5"/>
  <c r="G3040" i="5"/>
  <c r="G2128" i="5"/>
  <c r="G1024" i="5"/>
  <c r="G1909" i="5"/>
  <c r="G3238" i="5"/>
  <c r="G3223" i="5"/>
  <c r="G1492" i="5"/>
  <c r="G1252" i="5"/>
  <c r="G847" i="5"/>
  <c r="G2764" i="5"/>
  <c r="G2791" i="5"/>
  <c r="G145" i="5"/>
  <c r="G1165" i="5"/>
  <c r="G3004" i="5"/>
  <c r="G1282" i="5"/>
  <c r="G58" i="5"/>
  <c r="G310" i="5"/>
  <c r="G334" i="5"/>
  <c r="G130" i="5"/>
  <c r="G2347" i="5"/>
  <c r="G2335" i="5"/>
  <c r="G2860" i="5"/>
  <c r="G1534" i="5"/>
  <c r="G1714" i="5"/>
  <c r="G1375" i="5"/>
  <c r="G1660" i="5"/>
  <c r="G1192" i="5"/>
  <c r="G2704" i="5"/>
  <c r="G2698" i="5"/>
  <c r="G487" i="5"/>
  <c r="G1669" i="5"/>
  <c r="G787" i="5"/>
  <c r="G2104" i="5"/>
  <c r="G1567" i="5"/>
  <c r="G2560" i="5"/>
  <c r="G2404" i="5"/>
  <c r="G2269" i="5"/>
  <c r="G535" i="5"/>
  <c r="G625" i="5"/>
  <c r="G1006" i="5"/>
  <c r="G2539" i="5"/>
  <c r="G1147" i="5"/>
  <c r="G1441" i="5"/>
  <c r="G1993" i="5"/>
  <c r="G2077" i="5"/>
  <c r="G1114" i="5"/>
  <c r="G10" i="5"/>
  <c r="G1735" i="5"/>
  <c r="G457" i="5"/>
  <c r="G2302" i="5"/>
  <c r="G13" i="5"/>
  <c r="G1510" i="5"/>
  <c r="G3124" i="5"/>
  <c r="G2707" i="5"/>
  <c r="G1204" i="5"/>
  <c r="G1822" i="5"/>
  <c r="G2062" i="5"/>
  <c r="G2815" i="5"/>
  <c r="G2455" i="5"/>
  <c r="G2443" i="5"/>
  <c r="G1390" i="5"/>
  <c r="G160" i="5"/>
  <c r="G1777" i="5"/>
  <c r="G3220" i="5"/>
  <c r="G3154" i="5"/>
  <c r="G484" i="5"/>
  <c r="G1582" i="5"/>
  <c r="G481" i="5"/>
  <c r="G142" i="5"/>
  <c r="G451" i="5"/>
  <c r="G994" i="5"/>
  <c r="G2548" i="5"/>
  <c r="G2236" i="5"/>
  <c r="G2203" i="5"/>
  <c r="G1813" i="5"/>
  <c r="G2059" i="5"/>
  <c r="G2761" i="5"/>
  <c r="G2488" i="5"/>
  <c r="G3127" i="5"/>
  <c r="G2767" i="5"/>
  <c r="G154" i="5"/>
  <c r="G1486" i="5"/>
  <c r="G691" i="5"/>
  <c r="G1267" i="5"/>
  <c r="G49" i="5"/>
  <c r="G505" i="5"/>
  <c r="G460" i="5"/>
  <c r="G736" i="5"/>
  <c r="G3001" i="5"/>
  <c r="G1867" i="5"/>
  <c r="G1531" i="5"/>
  <c r="G2703" i="5"/>
  <c r="G1888" i="5"/>
  <c r="G1810" i="5"/>
  <c r="G2458" i="5"/>
  <c r="G19" i="5"/>
  <c r="G3010" i="5"/>
  <c r="G2770" i="5"/>
  <c r="G2773" i="5"/>
  <c r="G2974" i="5"/>
  <c r="G541" i="5"/>
  <c r="G1273" i="5"/>
  <c r="G148" i="5"/>
  <c r="G730" i="5"/>
  <c r="G3253" i="5"/>
  <c r="G1087" i="5"/>
  <c r="G493" i="5"/>
  <c r="G2161" i="5"/>
  <c r="G2146" i="5"/>
  <c r="G1138" i="5"/>
  <c r="G343" i="5"/>
  <c r="G2743" i="5"/>
  <c r="G880" i="5"/>
  <c r="G3283" i="5"/>
  <c r="G1324" i="5"/>
  <c r="G1546" i="5"/>
  <c r="G1003" i="5"/>
  <c r="G2113" i="5"/>
  <c r="G1597" i="5"/>
  <c r="G2476" i="5"/>
  <c r="G2323" i="5"/>
  <c r="G595" i="5"/>
  <c r="G2134" i="5"/>
  <c r="G1984" i="5"/>
  <c r="G3064" i="5"/>
  <c r="G2788" i="5"/>
  <c r="G3031" i="5"/>
  <c r="G1381" i="5"/>
  <c r="G250" i="5"/>
  <c r="G121" i="5"/>
  <c r="G1090" i="5"/>
  <c r="G2191" i="5"/>
  <c r="G826" i="5"/>
  <c r="G1408" i="5"/>
  <c r="G1465" i="5"/>
  <c r="G2587" i="5"/>
  <c r="G367" i="5"/>
  <c r="G1228" i="5"/>
  <c r="G1705" i="5"/>
  <c r="G1624" i="5"/>
  <c r="G2143" i="5"/>
  <c r="G2869" i="5"/>
  <c r="G1195" i="5"/>
  <c r="G322" i="5"/>
  <c r="G2185" i="5"/>
  <c r="G3055" i="5"/>
  <c r="G706" i="5"/>
  <c r="G2401" i="5"/>
  <c r="G289" i="5"/>
  <c r="G1075" i="5"/>
  <c r="G1210" i="5"/>
  <c r="G1066" i="5"/>
  <c r="G124" i="5"/>
  <c r="G3148" i="5"/>
  <c r="G2702" i="5"/>
  <c r="G976" i="5"/>
  <c r="G1558" i="5"/>
  <c r="G1360" i="5"/>
  <c r="G760" i="5"/>
  <c r="G2833" i="5"/>
  <c r="G1678" i="5"/>
  <c r="G2596" i="5"/>
  <c r="G1957" i="5"/>
  <c r="G2998" i="5"/>
  <c r="G526" i="5"/>
  <c r="G3241" i="5"/>
  <c r="G1237" i="5"/>
  <c r="G3184" i="5"/>
  <c r="G2368" i="5"/>
  <c r="G709" i="5"/>
  <c r="G2605" i="5"/>
  <c r="G91" i="5"/>
  <c r="G3229" i="5"/>
  <c r="G2035" i="5"/>
  <c r="G2923" i="5"/>
  <c r="G2281" i="5"/>
  <c r="G619" i="5"/>
  <c r="G103" i="5"/>
  <c r="G2254" i="5"/>
  <c r="G814" i="5"/>
  <c r="G178" i="5"/>
  <c r="G1675" i="5"/>
  <c r="G2830" i="5"/>
  <c r="G1615" i="5"/>
  <c r="G844" i="5"/>
  <c r="G616" i="5"/>
  <c r="G1846" i="5"/>
  <c r="G3244" i="5"/>
  <c r="G2518" i="5"/>
  <c r="G784" i="5"/>
  <c r="G592" i="5"/>
  <c r="G889" i="5"/>
  <c r="G2935" i="5"/>
  <c r="G2899" i="5"/>
  <c r="G2896" i="5"/>
  <c r="G2194" i="5"/>
  <c r="G3076" i="5"/>
  <c r="G2515" i="5"/>
  <c r="G865" i="5"/>
  <c r="G2818" i="5"/>
  <c r="G1168" i="5"/>
  <c r="G1759" i="5"/>
  <c r="G1804" i="5"/>
  <c r="G2650" i="5"/>
  <c r="G1417" i="5"/>
  <c r="G340" i="5"/>
  <c r="G3271" i="5"/>
  <c r="G2464" i="5"/>
  <c r="G427" i="5"/>
  <c r="G925" i="5"/>
  <c r="G3037" i="5"/>
  <c r="G1411" i="5"/>
  <c r="G1648" i="5"/>
  <c r="G1855" i="5"/>
  <c r="G1399" i="5"/>
  <c r="G2209" i="5"/>
  <c r="G1177" i="5"/>
  <c r="G1681" i="5"/>
  <c r="G94" i="5"/>
  <c r="G1801" i="5"/>
  <c r="G1726" i="5"/>
  <c r="G1033" i="5"/>
  <c r="G79" i="5"/>
  <c r="G1519" i="5"/>
  <c r="G1432" i="5"/>
  <c r="G46" i="5"/>
  <c r="G1654" i="5"/>
  <c r="G37" i="5"/>
  <c r="G1483" i="5"/>
  <c r="G316" i="5"/>
  <c r="G868" i="5"/>
  <c r="G1354" i="5"/>
  <c r="G1516" i="5"/>
  <c r="G727" i="5"/>
  <c r="G397" i="5"/>
  <c r="G1879" i="5"/>
  <c r="G835" i="5"/>
  <c r="G2656" i="5"/>
  <c r="G2041" i="5"/>
  <c r="G199" i="5"/>
  <c r="G1600" i="5"/>
  <c r="G1684" i="5"/>
  <c r="G1357" i="5"/>
  <c r="G3115" i="5"/>
  <c r="G2284" i="5"/>
  <c r="G1471" i="5"/>
  <c r="G418" i="5"/>
  <c r="G3190" i="5"/>
  <c r="G3079" i="5"/>
  <c r="G232" i="5"/>
  <c r="G373" i="5"/>
  <c r="G475" i="5"/>
  <c r="G169" i="5"/>
  <c r="G1000" i="5"/>
  <c r="G1387" i="5"/>
  <c r="G448" i="5"/>
  <c r="G799" i="5"/>
  <c r="G2359" i="5"/>
  <c r="G64" i="5"/>
  <c r="G3277" i="5"/>
  <c r="G2908" i="5"/>
  <c r="G2197" i="5"/>
  <c r="G2311" i="5"/>
  <c r="G34" i="5"/>
  <c r="G3178" i="5"/>
  <c r="G757" i="5"/>
  <c r="G955" i="5"/>
  <c r="G1270" i="5"/>
  <c r="G1657" i="5"/>
  <c r="G1504" i="5"/>
  <c r="G1225" i="5"/>
  <c r="G2140" i="5"/>
  <c r="G2242" i="5"/>
  <c r="G658" i="5"/>
  <c r="G2014" i="5"/>
  <c r="G2329" i="5"/>
  <c r="G928" i="5"/>
  <c r="G892" i="5"/>
  <c r="G1327" i="5"/>
  <c r="G2878" i="5"/>
  <c r="G2179" i="5"/>
  <c r="G514" i="5"/>
  <c r="G2731" i="5"/>
  <c r="G1585" i="5"/>
  <c r="G1696" i="5"/>
  <c r="G2380" i="5"/>
  <c r="G52" i="5"/>
  <c r="G3265" i="5"/>
  <c r="G2044" i="5"/>
  <c r="G1747" i="5"/>
  <c r="G2119" i="5"/>
  <c r="G1456" i="5"/>
  <c r="G1132" i="5"/>
  <c r="G1231" i="5"/>
  <c r="G259" i="5"/>
  <c r="G1807" i="5"/>
  <c r="G478" i="5"/>
  <c r="G1402" i="5"/>
  <c r="G643" i="5"/>
  <c r="G100" i="5"/>
  <c r="G76" i="5"/>
  <c r="G3130" i="5"/>
  <c r="G742" i="5"/>
  <c r="G874" i="5"/>
  <c r="G2983" i="5"/>
  <c r="G1234" i="5"/>
  <c r="G682" i="5"/>
  <c r="G2419" i="5"/>
  <c r="G982" i="5"/>
  <c r="G2296" i="5"/>
  <c r="G2227" i="5"/>
  <c r="G3094" i="5"/>
  <c r="G3007" i="5"/>
  <c r="G1489" i="5"/>
  <c r="G1792" i="5"/>
  <c r="G2809" i="5"/>
  <c r="G1642" i="5"/>
  <c r="G1606" i="5"/>
  <c r="G1843" i="5"/>
  <c r="G1117" i="5"/>
  <c r="G364" i="5"/>
  <c r="G2253" i="5"/>
  <c r="G1942" i="5"/>
  <c r="G859" i="5"/>
  <c r="G2122" i="5"/>
  <c r="G1780" i="5"/>
  <c r="G1870" i="5"/>
  <c r="G2524" i="5"/>
  <c r="G2116" i="5"/>
  <c r="G2338" i="5"/>
  <c r="G2782" i="5"/>
  <c r="G1603" i="5"/>
  <c r="G610" i="5"/>
  <c r="G1009" i="5"/>
  <c r="G2794" i="5"/>
  <c r="G1831" i="5"/>
  <c r="G2446" i="5"/>
  <c r="G2252" i="5"/>
  <c r="G2641" i="5"/>
  <c r="G511" i="5"/>
  <c r="G388" i="5"/>
  <c r="G358" i="5"/>
  <c r="G2473" i="5"/>
  <c r="G544" i="5"/>
  <c r="G1108" i="5"/>
  <c r="G2098" i="5"/>
  <c r="G2839" i="5"/>
  <c r="G1219" i="5"/>
  <c r="G1630" i="5"/>
  <c r="G718" i="5"/>
  <c r="G580" i="5"/>
  <c r="G1609" i="5"/>
  <c r="G2356" i="5"/>
  <c r="G634" i="5"/>
  <c r="G2080" i="5"/>
  <c r="G1396" i="5"/>
  <c r="G574" i="5"/>
  <c r="G1171" i="5"/>
  <c r="G109" i="5"/>
  <c r="G3100" i="5"/>
  <c r="G442" i="5"/>
  <c r="G1447" i="5"/>
  <c r="G1072" i="5"/>
  <c r="G337" i="5"/>
  <c r="G538" i="5"/>
  <c r="G2620" i="5"/>
  <c r="G2581" i="5"/>
  <c r="G1393" i="5"/>
  <c r="G2389" i="5"/>
  <c r="G3262" i="5"/>
  <c r="G1039" i="5"/>
  <c r="G3013" i="5"/>
  <c r="G385" i="5"/>
  <c r="G2188" i="5"/>
  <c r="G2521" i="5"/>
  <c r="G1333" i="5"/>
  <c r="G2608" i="5"/>
  <c r="G1966" i="5"/>
  <c r="G2803" i="5"/>
  <c r="G829" i="5"/>
  <c r="G2278" i="5"/>
  <c r="G2350" i="5"/>
  <c r="G2734" i="5"/>
  <c r="G1837" i="5"/>
  <c r="G2437" i="5"/>
  <c r="G2890" i="5"/>
  <c r="G2995" i="5"/>
  <c r="G1825" i="5"/>
  <c r="G2002" i="5"/>
  <c r="G1750" i="5"/>
  <c r="G2314" i="5"/>
  <c r="G1816" i="5"/>
  <c r="G1762" i="5"/>
  <c r="G499" i="5"/>
  <c r="G646" i="5"/>
  <c r="G1948" i="5"/>
  <c r="G772" i="5"/>
  <c r="G2590" i="5"/>
  <c r="G1579" i="5"/>
  <c r="G1495" i="5"/>
  <c r="G229" i="5"/>
  <c r="G217" i="5"/>
  <c r="G1999" i="5"/>
  <c r="G2170" i="5"/>
  <c r="G1294" i="5"/>
  <c r="G2695" i="5"/>
  <c r="G1453" i="5"/>
  <c r="G901" i="5"/>
  <c r="G988" i="5"/>
  <c r="G22" i="5"/>
  <c r="G1573" i="5"/>
  <c r="G346" i="5"/>
  <c r="G964" i="5"/>
  <c r="G202" i="5"/>
  <c r="G1312" i="5"/>
  <c r="G193" i="5"/>
  <c r="G3280" i="5"/>
  <c r="G3181" i="5"/>
  <c r="G3085" i="5"/>
  <c r="G3133" i="5"/>
  <c r="G2449" i="5"/>
  <c r="G1198" i="5"/>
  <c r="G2248" i="5"/>
  <c r="G1183" i="5"/>
  <c r="G2362" i="5"/>
  <c r="G2689" i="5"/>
  <c r="G196" i="5"/>
  <c r="G118" i="5"/>
  <c r="G2392" i="5"/>
  <c r="G898" i="5"/>
  <c r="G2086" i="5"/>
  <c r="G1702" i="5"/>
  <c r="G40" i="5"/>
  <c r="G2074" i="5"/>
  <c r="G2950" i="5"/>
  <c r="G577" i="5"/>
  <c r="G7" i="5"/>
  <c r="G1300" i="5"/>
  <c r="G622" i="5"/>
  <c r="G2665" i="5"/>
  <c r="G850" i="5"/>
  <c r="G3025" i="5"/>
  <c r="G1366" i="5"/>
  <c r="G1960" i="5"/>
  <c r="G1918" i="5"/>
  <c r="G445" i="5"/>
  <c r="G793" i="5"/>
  <c r="G268" i="5"/>
  <c r="G1576" i="5"/>
  <c r="G1291" i="5"/>
  <c r="G745" i="5"/>
  <c r="G2710" i="5"/>
  <c r="G1063" i="5"/>
  <c r="G2737" i="5"/>
  <c r="G463" i="5"/>
  <c r="G1945" i="5"/>
  <c r="G2827" i="5"/>
  <c r="G1150" i="5"/>
  <c r="G1651" i="5"/>
  <c r="G3112" i="5"/>
  <c r="G1243" i="5"/>
  <c r="G1135" i="5"/>
  <c r="G1021" i="5"/>
  <c r="G796" i="5"/>
  <c r="G778" i="5"/>
  <c r="G2452" i="5"/>
  <c r="G2326" i="5"/>
  <c r="G2440" i="5"/>
  <c r="G2929" i="5"/>
  <c r="G1078" i="5"/>
  <c r="G2668" i="5"/>
  <c r="G361" i="5"/>
  <c r="G187" i="5"/>
  <c r="G82" i="5"/>
  <c r="G2047" i="5"/>
  <c r="G2167" i="5"/>
  <c r="G97" i="5"/>
  <c r="G2746" i="5"/>
  <c r="G2812" i="5"/>
  <c r="G1240" i="5"/>
  <c r="G2371" i="5"/>
  <c r="G304" i="5"/>
  <c r="G2497" i="5"/>
  <c r="G2500" i="5"/>
  <c r="G1885" i="5"/>
  <c r="G550" i="5"/>
  <c r="G694" i="5"/>
  <c r="G490" i="5"/>
  <c r="G2623" i="5"/>
  <c r="G172" i="5"/>
  <c r="G2053" i="5"/>
  <c r="G547" i="5"/>
  <c r="G379" i="5"/>
  <c r="G2854" i="5"/>
  <c r="G2554" i="5"/>
  <c r="G3139" i="5"/>
  <c r="G2986" i="5"/>
  <c r="G553" i="5"/>
  <c r="G292" i="5"/>
  <c r="G2536" i="5"/>
  <c r="G958" i="5"/>
  <c r="G2728" i="5"/>
  <c r="G3235" i="5"/>
  <c r="G3070" i="5"/>
  <c r="G1915" i="5"/>
  <c r="G3247" i="5"/>
  <c r="G1378" i="5"/>
  <c r="G3016" i="5"/>
  <c r="G1450" i="5"/>
  <c r="G469" i="5"/>
  <c r="G2545" i="5"/>
  <c r="G931" i="5"/>
  <c r="G2494" i="5"/>
  <c r="G1318" i="5"/>
  <c r="G1687" i="5"/>
  <c r="G2659" i="5"/>
  <c r="G571" i="5"/>
  <c r="G394" i="5"/>
  <c r="G1468" i="5"/>
  <c r="G1639" i="5"/>
  <c r="G1174" i="5"/>
  <c r="G1426" i="5"/>
  <c r="G2755" i="5"/>
  <c r="G1858" i="5"/>
  <c r="G2506" i="5"/>
  <c r="G673" i="5"/>
  <c r="G1882" i="5"/>
  <c r="G565" i="5"/>
  <c r="G3175" i="5"/>
  <c r="G2905" i="5"/>
  <c r="G1552" i="5"/>
  <c r="G2848" i="5"/>
  <c r="G2971" i="5"/>
  <c r="G1141" i="5"/>
  <c r="G2341" i="5"/>
  <c r="G2911" i="5"/>
  <c r="G1105" i="5"/>
  <c r="G1741" i="5"/>
  <c r="G1012" i="5"/>
  <c r="G2056" i="5"/>
  <c r="G1345" i="5"/>
  <c r="G1414" i="5"/>
  <c r="G1363" i="5"/>
  <c r="G3151" i="5"/>
  <c r="G679" i="5"/>
  <c r="G2485" i="5"/>
  <c r="G802" i="5"/>
  <c r="G568" i="5"/>
  <c r="G2947" i="5"/>
  <c r="G877" i="5"/>
  <c r="G2251" i="5"/>
  <c r="G2008" i="5"/>
  <c r="G1927" i="5"/>
  <c r="G841" i="5"/>
  <c r="G2569" i="5"/>
  <c r="G1711" i="5"/>
  <c r="G1279" i="5"/>
  <c r="G763" i="5"/>
  <c r="G1276" i="5"/>
  <c r="G2266" i="5"/>
  <c r="G808" i="5"/>
  <c r="G967" i="5"/>
  <c r="G2137" i="5"/>
  <c r="G748" i="5"/>
  <c r="G3043" i="5"/>
  <c r="G2887" i="5"/>
  <c r="G3082" i="5"/>
  <c r="G2239" i="5"/>
  <c r="G1369" i="5"/>
  <c r="G70" i="5"/>
  <c r="G2572" i="5"/>
  <c r="G1612" i="5"/>
  <c r="G2740" i="5"/>
  <c r="G466" i="5"/>
  <c r="G934" i="5"/>
  <c r="G139" i="5"/>
  <c r="G910" i="5"/>
  <c r="G1351" i="5"/>
  <c r="G1297" i="5"/>
  <c r="G2101" i="5"/>
  <c r="G919" i="5"/>
  <c r="G991" i="5"/>
  <c r="G2800" i="5"/>
  <c r="G1186" i="5"/>
  <c r="G409" i="5"/>
  <c r="G433" i="5"/>
  <c r="G2398" i="5"/>
  <c r="G1939" i="5"/>
  <c r="G328" i="5"/>
  <c r="G1216" i="5"/>
  <c r="G685" i="5"/>
  <c r="G2395" i="5"/>
  <c r="G190" i="5"/>
  <c r="G2029" i="5"/>
  <c r="G973" i="5"/>
  <c r="G2221" i="5"/>
  <c r="G2272" i="5"/>
  <c r="G2593" i="5"/>
  <c r="G1120" i="5"/>
  <c r="G2230" i="5"/>
  <c r="G1069" i="5"/>
  <c r="G985" i="5"/>
  <c r="G2509" i="5"/>
  <c r="G2503" i="5"/>
  <c r="G1636" i="5"/>
  <c r="G1462" i="5"/>
  <c r="G766" i="5"/>
  <c r="G997" i="5"/>
  <c r="G1969" i="5"/>
  <c r="G1042" i="5"/>
  <c r="G3199" i="5"/>
  <c r="G3250" i="5"/>
  <c r="G721" i="5"/>
  <c r="G2032" i="5"/>
  <c r="G2083" i="5"/>
  <c r="G1924" i="5"/>
  <c r="G1996" i="5"/>
  <c r="G1852" i="5"/>
  <c r="G2257" i="5"/>
  <c r="G277" i="5"/>
  <c r="G223" i="5"/>
  <c r="G1099" i="5"/>
  <c r="G271" i="5"/>
  <c r="G439" i="5"/>
  <c r="G2602" i="5"/>
  <c r="G1018" i="5"/>
  <c r="G226" i="5"/>
  <c r="G2317" i="5"/>
  <c r="G781" i="5"/>
  <c r="G2542" i="5"/>
  <c r="G1201" i="5"/>
  <c r="G2353" i="5"/>
  <c r="G181" i="5"/>
  <c r="G1498" i="5"/>
  <c r="G2410" i="5"/>
  <c r="G715" i="5"/>
  <c r="G2893" i="5"/>
  <c r="G739" i="5"/>
  <c r="G2563" i="5"/>
  <c r="G2533" i="5"/>
  <c r="G1429" i="5"/>
  <c r="G790" i="5"/>
  <c r="G1930" i="5"/>
  <c r="G1783" i="5"/>
  <c r="G298" i="5"/>
  <c r="G253" i="5"/>
  <c r="G370" i="5"/>
  <c r="G1303" i="5"/>
  <c r="G1897" i="5"/>
  <c r="G1342" i="5"/>
  <c r="G1153" i="5"/>
  <c r="G2512" i="5"/>
  <c r="G856" i="5"/>
  <c r="G601" i="5"/>
  <c r="G3256" i="5"/>
  <c r="G2260" i="5"/>
  <c r="G1555" i="5"/>
  <c r="G2479" i="5"/>
  <c r="G1084" i="5"/>
  <c r="G295" i="5"/>
  <c r="G3046" i="5"/>
  <c r="G1570" i="5"/>
  <c r="G2482" i="5"/>
  <c r="G472" i="5"/>
  <c r="G2386" i="5"/>
  <c r="G1474" i="5"/>
  <c r="G1771" i="5"/>
  <c r="G2959" i="5"/>
  <c r="G1537" i="5"/>
  <c r="G2842" i="5"/>
  <c r="G1849" i="5"/>
  <c r="G2611" i="5"/>
  <c r="G655" i="5"/>
  <c r="G220" i="5"/>
  <c r="G2374" i="5"/>
  <c r="G1738" i="5"/>
  <c r="G1588" i="5"/>
  <c r="G3163" i="5"/>
  <c r="G262" i="5"/>
  <c r="G331" i="5"/>
  <c r="G2626" i="5"/>
  <c r="G1309" i="5"/>
  <c r="G1990" i="5"/>
  <c r="G406" i="5"/>
  <c r="G307" i="5"/>
  <c r="G1978" i="5"/>
  <c r="G667" i="5"/>
  <c r="G2851" i="5"/>
  <c r="G2422" i="5"/>
  <c r="G1594" i="5"/>
  <c r="G769" i="5"/>
  <c r="G613" i="5"/>
  <c r="G376" i="5"/>
  <c r="G3136" i="5"/>
  <c r="G166" i="5"/>
  <c r="G1048" i="5"/>
  <c r="G205" i="5"/>
  <c r="G1933" i="5"/>
  <c r="G157" i="5"/>
  <c r="G1054" i="5"/>
  <c r="G3187" i="5"/>
  <c r="G1540" i="5"/>
  <c r="G823" i="5"/>
  <c r="G211" i="5"/>
  <c r="G1522" i="5"/>
  <c r="G1156" i="5"/>
  <c r="G2020" i="5"/>
  <c r="G631" i="5"/>
  <c r="G1249" i="5"/>
  <c r="G937" i="5"/>
  <c r="G1180" i="5"/>
  <c r="G1876" i="5"/>
  <c r="G136" i="5"/>
  <c r="G1330" i="5"/>
  <c r="G2758" i="5"/>
  <c r="G2575" i="5"/>
  <c r="G1708" i="5"/>
  <c r="G2068" i="5"/>
  <c r="G1693" i="5"/>
  <c r="G3061" i="5"/>
  <c r="G532" i="5"/>
  <c r="G2152" i="5"/>
  <c r="G3169" i="5"/>
  <c r="G676" i="5"/>
  <c r="G2989" i="5"/>
  <c r="G2962" i="5"/>
  <c r="G2470" i="5"/>
  <c r="G2614" i="5"/>
  <c r="G238" i="5"/>
  <c r="G2407" i="5"/>
  <c r="G2863" i="5"/>
  <c r="G1723" i="5"/>
  <c r="G106" i="5"/>
  <c r="G2005" i="5"/>
  <c r="G1729" i="5"/>
  <c r="G820" i="5"/>
  <c r="G1285" i="5"/>
  <c r="G3097" i="5"/>
  <c r="G2071" i="5"/>
  <c r="G2566" i="5"/>
  <c r="G1921" i="5"/>
  <c r="G2719" i="5"/>
  <c r="G559" i="5"/>
  <c r="G2155" i="5"/>
  <c r="G946" i="5"/>
  <c r="G403" i="5"/>
  <c r="G508" i="5"/>
  <c r="G2866" i="5"/>
  <c r="G664" i="5"/>
  <c r="G1264" i="5"/>
  <c r="G3232" i="5"/>
  <c r="G244" i="5"/>
  <c r="G1261" i="5"/>
  <c r="G3268" i="5"/>
  <c r="G775" i="5"/>
  <c r="G1633" i="5"/>
  <c r="G2965" i="5"/>
  <c r="G3106" i="5"/>
  <c r="G2677" i="5"/>
  <c r="G3157" i="5"/>
  <c r="G352" i="5"/>
  <c r="G1840" i="5"/>
  <c r="G2125" i="5"/>
  <c r="G2527" i="5"/>
  <c r="G1477" i="5"/>
  <c r="G2584" i="5"/>
  <c r="G1159" i="5"/>
  <c r="G1621" i="5"/>
  <c r="G2215" i="5"/>
  <c r="G2716" i="5"/>
  <c r="G853" i="5"/>
  <c r="G2110" i="5"/>
  <c r="G1732" i="5"/>
  <c r="G2245" i="5"/>
  <c r="G2806" i="5"/>
  <c r="G2158" i="5"/>
  <c r="G1222" i="5"/>
  <c r="G1348" i="5"/>
  <c r="G3196" i="5"/>
  <c r="G2293" i="5"/>
  <c r="G2275" i="5"/>
  <c r="G2224" i="5"/>
  <c r="G724" i="5"/>
  <c r="G1645" i="5"/>
  <c r="G2173" i="5"/>
  <c r="G2638" i="5"/>
  <c r="G1549" i="5"/>
  <c r="G2038" i="5"/>
  <c r="G454" i="5"/>
  <c r="G2632" i="5"/>
  <c r="G2164" i="5"/>
  <c r="G112" i="5"/>
  <c r="G961" i="5"/>
  <c r="G1561" i="5"/>
  <c r="G2629" i="5"/>
  <c r="G2218" i="5"/>
  <c r="G256" i="5"/>
  <c r="G1929" i="5"/>
  <c r="G1981" i="5"/>
  <c r="G3205" i="5"/>
  <c r="G3172" i="5"/>
  <c r="G2320" i="5"/>
  <c r="G1036" i="5"/>
  <c r="G31" i="5"/>
  <c r="G943" i="5"/>
  <c r="G2290" i="5"/>
  <c r="G2089" i="5"/>
  <c r="G940" i="5"/>
  <c r="G2932" i="5"/>
  <c r="G2980" i="5"/>
  <c r="G1928" i="5"/>
  <c r="G1102" i="5"/>
  <c r="G115" i="5"/>
  <c r="G652" i="5"/>
  <c r="G3142" i="5"/>
  <c r="G2644" i="5"/>
  <c r="G649" i="5"/>
  <c r="G2926" i="5"/>
  <c r="G3160" i="5"/>
  <c r="G85" i="5"/>
  <c r="G1768" i="5"/>
  <c r="G1288" i="5"/>
  <c r="G1315" i="5"/>
  <c r="G1690" i="5"/>
  <c r="G2713" i="5"/>
  <c r="G589" i="5"/>
  <c r="G3052" i="5"/>
  <c r="G3193" i="5"/>
  <c r="G2701" i="5"/>
  <c r="G2017" i="5"/>
  <c r="G2131" i="5"/>
  <c r="G2530" i="5"/>
  <c r="G16" i="5"/>
  <c r="G4" i="5"/>
  <c r="G127" i="5"/>
  <c r="G436" i="5"/>
  <c r="G751" i="5"/>
  <c r="G1717" i="5"/>
  <c r="G2557" i="5"/>
  <c r="G391" i="5"/>
  <c r="G1096" i="5"/>
  <c r="G415" i="5"/>
  <c r="G832" i="5"/>
  <c r="G862" i="5"/>
  <c r="G2956" i="5"/>
  <c r="G817" i="5"/>
  <c r="G3166" i="5"/>
  <c r="G1951" i="5"/>
  <c r="G2299" i="5"/>
  <c r="G67" i="5"/>
  <c r="G2431" i="5"/>
  <c r="G2092" i="5"/>
  <c r="G2233" i="5"/>
  <c r="G2026" i="5"/>
  <c r="G562" i="5"/>
  <c r="G2182" i="5"/>
  <c r="G88" i="5"/>
  <c r="G3019" i="5"/>
  <c r="G28" i="5"/>
  <c r="G2065" i="5"/>
  <c r="G3202" i="5"/>
  <c r="G2875" i="5"/>
  <c r="G3121" i="5"/>
  <c r="G1015" i="5"/>
  <c r="G1027" i="5"/>
  <c r="G1564" i="5"/>
  <c r="G2938" i="5"/>
  <c r="G2023" i="5"/>
  <c r="G1834" i="5"/>
  <c r="G1543" i="5"/>
  <c r="G2635" i="5"/>
  <c r="G1459" i="5"/>
  <c r="G412" i="5"/>
  <c r="G904" i="5"/>
  <c r="G286" i="5"/>
  <c r="G3028" i="5"/>
  <c r="G3073" i="5"/>
  <c r="G265" i="5"/>
  <c r="G2599" i="5"/>
  <c r="G2050" i="5"/>
  <c r="G2434" i="5"/>
  <c r="G241" i="5"/>
  <c r="G2881" i="5"/>
  <c r="G400" i="5"/>
  <c r="G1756" i="5"/>
  <c r="G1339" i="5"/>
  <c r="G2752" i="5"/>
  <c r="G3109" i="5"/>
  <c r="G1798" i="5"/>
  <c r="G1591" i="5"/>
  <c r="G1246" i="5"/>
  <c r="G3088" i="5"/>
  <c r="G1795" i="5"/>
  <c r="G2010" i="5"/>
  <c r="G1122" i="5"/>
  <c r="G687" i="5"/>
  <c r="G1818" i="5"/>
  <c r="G1974" i="5"/>
  <c r="G423" i="5"/>
  <c r="G300" i="5"/>
  <c r="G978" i="5"/>
  <c r="G183" i="5"/>
  <c r="G2943" i="5"/>
  <c r="G2331" i="5"/>
  <c r="G555" i="5"/>
  <c r="G1080" i="5"/>
  <c r="G1788" i="5"/>
  <c r="G1665" i="5"/>
  <c r="G1863" i="5"/>
  <c r="G2685" i="5"/>
  <c r="G1110" i="5"/>
  <c r="G2967" i="5"/>
  <c r="G54" i="5"/>
  <c r="G2940" i="5"/>
  <c r="G2466" i="5"/>
  <c r="G969" i="5"/>
  <c r="G2679" i="5"/>
  <c r="G2262" i="5"/>
  <c r="G2304" i="5"/>
  <c r="G603" i="5"/>
  <c r="G2919" i="5"/>
  <c r="G2820" i="5"/>
  <c r="G1305" i="5"/>
  <c r="G42" i="5"/>
  <c r="G1050" i="5"/>
  <c r="G3048" i="5"/>
  <c r="G2952" i="5"/>
  <c r="G837" i="5"/>
  <c r="G660" i="5"/>
  <c r="G2550" i="5"/>
  <c r="G2382" i="5"/>
  <c r="G2364" i="5"/>
  <c r="G627" i="5"/>
  <c r="G1935" i="5"/>
  <c r="G1335" i="5"/>
  <c r="G3102" i="5"/>
  <c r="G2835" i="5"/>
  <c r="G699" i="5"/>
  <c r="G2913" i="5"/>
  <c r="G2616" i="5"/>
  <c r="G597" i="5"/>
  <c r="G1125" i="5"/>
  <c r="G1512" i="5"/>
  <c r="G1662" i="5"/>
  <c r="G1894" i="5"/>
  <c r="G1059" i="5"/>
  <c r="G3057" i="5"/>
  <c r="G2106" i="5"/>
  <c r="G273" i="5"/>
  <c r="G2412" i="5"/>
  <c r="G60" i="5"/>
  <c r="G912" i="5"/>
  <c r="G1383" i="5"/>
  <c r="G1764" i="5"/>
  <c r="G870" i="5"/>
  <c r="G174" i="5"/>
  <c r="G1527" i="5"/>
  <c r="G1698" i="5"/>
  <c r="G3066" i="5"/>
  <c r="G213" i="5"/>
  <c r="G24" i="5"/>
  <c r="G3207" i="5"/>
  <c r="G1161" i="5"/>
  <c r="G3144" i="5"/>
  <c r="G354" i="5"/>
  <c r="G948" i="5"/>
  <c r="G318" i="5"/>
  <c r="G420" i="5"/>
  <c r="G1044" i="5"/>
  <c r="G2646" i="5"/>
  <c r="G1872" i="5"/>
  <c r="G2415" i="5"/>
  <c r="G2796" i="5"/>
  <c r="G2094" i="5"/>
  <c r="G1188" i="5"/>
  <c r="G2871" i="5"/>
  <c r="G1911" i="5"/>
  <c r="G1860" i="5"/>
  <c r="G1902" i="5"/>
  <c r="G1962" i="5"/>
  <c r="G72" i="5"/>
  <c r="G1143" i="5"/>
  <c r="G2724" i="5"/>
  <c r="G2976" i="5"/>
  <c r="G2577" i="5"/>
  <c r="G1953" i="5"/>
  <c r="G582" i="5"/>
  <c r="G1719" i="5"/>
  <c r="G2670" i="5"/>
  <c r="G669" i="5"/>
  <c r="G1893" i="5"/>
  <c r="G921" i="5"/>
  <c r="G1437" i="5"/>
  <c r="G1404" i="5"/>
  <c r="G495" i="5"/>
  <c r="G2784" i="5"/>
  <c r="G2424" i="5"/>
  <c r="G234" i="5"/>
  <c r="G279" i="5"/>
  <c r="G882" i="5"/>
  <c r="G894" i="5"/>
  <c r="G516" i="5"/>
  <c r="G1320" i="5"/>
  <c r="G1254" i="5"/>
  <c r="G1029" i="5"/>
  <c r="G1128" i="5"/>
  <c r="G429" i="5"/>
  <c r="G1479" i="5"/>
  <c r="G2427" i="5"/>
  <c r="G2211" i="5"/>
  <c r="G1206" i="5"/>
  <c r="G606" i="5"/>
  <c r="G1971" i="5"/>
  <c r="G1743" i="5"/>
  <c r="G1506" i="5"/>
  <c r="G3090" i="5"/>
  <c r="G2343" i="5"/>
  <c r="G639" i="5"/>
  <c r="G636" i="5"/>
  <c r="G1212" i="5"/>
  <c r="G702" i="5"/>
  <c r="G324" i="5"/>
  <c r="G2661" i="5"/>
  <c r="G528" i="5"/>
  <c r="G1500" i="5"/>
  <c r="G2778" i="5"/>
  <c r="G1892" i="5"/>
  <c r="G519" i="5"/>
  <c r="G2460" i="5"/>
  <c r="G282" i="5"/>
  <c r="G2199" i="5"/>
  <c r="G915" i="5"/>
  <c r="G2883" i="5"/>
  <c r="G2286" i="5"/>
  <c r="G1986" i="5"/>
  <c r="G3117" i="5"/>
  <c r="G2376" i="5"/>
  <c r="G1056" i="5"/>
  <c r="G2682" i="5"/>
  <c r="G3258" i="5"/>
  <c r="G3210" i="5"/>
  <c r="G1827" i="5"/>
  <c r="G1671" i="5"/>
  <c r="G2721" i="5"/>
  <c r="G2901" i="5"/>
  <c r="G150" i="5"/>
  <c r="G381" i="5"/>
  <c r="G3033" i="5"/>
  <c r="G2823" i="5"/>
  <c r="G2844" i="5"/>
  <c r="G3213" i="5"/>
  <c r="G162" i="5"/>
  <c r="G2775" i="5"/>
  <c r="G2691" i="5"/>
  <c r="G696" i="5"/>
  <c r="G2916" i="5"/>
  <c r="G1899" i="5"/>
  <c r="G1092" i="5"/>
  <c r="G2175" i="5"/>
  <c r="G906" i="5"/>
  <c r="G732" i="5"/>
  <c r="G1890" i="5"/>
  <c r="G2307" i="5"/>
  <c r="G1371" i="5"/>
  <c r="G2148" i="5"/>
  <c r="G3216" i="5"/>
  <c r="G3225" i="5"/>
  <c r="G3273" i="5"/>
  <c r="G132" i="5"/>
  <c r="G2490" i="5"/>
  <c r="G711" i="5"/>
  <c r="G1443" i="5"/>
  <c r="G1617" i="5"/>
  <c r="G3021" i="5"/>
  <c r="G951" i="5"/>
  <c r="G753" i="5"/>
  <c r="G207" i="5"/>
  <c r="G885" i="5"/>
  <c r="G810" i="5"/>
  <c r="G2856" i="5"/>
  <c r="G246" i="5"/>
  <c r="G2673" i="5"/>
  <c r="G2652" i="5"/>
  <c r="G1257" i="5"/>
  <c r="G2205" i="5"/>
  <c r="G2748" i="5"/>
  <c r="G1773" i="5"/>
  <c r="G585" i="5"/>
  <c r="G1434" i="5"/>
  <c r="G1422" i="5"/>
  <c r="G312" i="5"/>
  <c r="G1785" i="5"/>
  <c r="G1905" i="5"/>
  <c r="G1524" i="5"/>
  <c r="G3039" i="5"/>
  <c r="G2127" i="5"/>
  <c r="G1023" i="5"/>
  <c r="G1908" i="5"/>
  <c r="G3237" i="5"/>
  <c r="G3222" i="5"/>
  <c r="G1491" i="5"/>
  <c r="G1251" i="5"/>
  <c r="G846" i="5"/>
  <c r="G2763" i="5"/>
  <c r="G2790" i="5"/>
  <c r="G144" i="5"/>
  <c r="G1164" i="5"/>
  <c r="G3003" i="5"/>
  <c r="G1281" i="5"/>
  <c r="G57" i="5"/>
  <c r="G309" i="5"/>
  <c r="G333" i="5"/>
  <c r="G129" i="5"/>
  <c r="G2346" i="5"/>
  <c r="G2334" i="5"/>
  <c r="G2859" i="5"/>
  <c r="G1533" i="5"/>
  <c r="G1713" i="5"/>
  <c r="G1374" i="5"/>
  <c r="G1659" i="5"/>
  <c r="G1191" i="5"/>
  <c r="G1753" i="5"/>
  <c r="G2697" i="5"/>
  <c r="G486" i="5"/>
  <c r="G1668" i="5"/>
  <c r="G786" i="5"/>
  <c r="G2103" i="5"/>
  <c r="G1566" i="5"/>
  <c r="G2559" i="5"/>
  <c r="G2403" i="5"/>
  <c r="G2268" i="5"/>
  <c r="G534" i="5"/>
  <c r="G624" i="5"/>
  <c r="G1005" i="5"/>
  <c r="G2538" i="5"/>
  <c r="G1146" i="5"/>
  <c r="G1440" i="5"/>
  <c r="G1992" i="5"/>
  <c r="G2076" i="5"/>
  <c r="G1113" i="5"/>
  <c r="G9" i="5"/>
  <c r="G1734" i="5"/>
  <c r="G456" i="5"/>
  <c r="G2301" i="5"/>
  <c r="G12" i="5"/>
  <c r="G1509" i="5"/>
  <c r="G3123" i="5"/>
  <c r="G2706" i="5"/>
  <c r="G1203" i="5"/>
  <c r="G1821" i="5"/>
  <c r="G2061" i="5"/>
  <c r="G2814" i="5"/>
  <c r="G2454" i="5"/>
  <c r="G2442" i="5"/>
  <c r="G1389" i="5"/>
  <c r="G159" i="5"/>
  <c r="G1776" i="5"/>
  <c r="G3219" i="5"/>
  <c r="G3153" i="5"/>
  <c r="G483" i="5"/>
  <c r="G1581" i="5"/>
  <c r="G480" i="5"/>
  <c r="G141" i="5"/>
  <c r="G450" i="5"/>
  <c r="G993" i="5"/>
  <c r="G2547" i="5"/>
  <c r="G2235" i="5"/>
  <c r="G2202" i="5"/>
  <c r="G1812" i="5"/>
  <c r="G2058" i="5"/>
  <c r="G2760" i="5"/>
  <c r="G2487" i="5"/>
  <c r="G3126" i="5"/>
  <c r="G2766" i="5"/>
  <c r="G153" i="5"/>
  <c r="G1485" i="5"/>
  <c r="G690" i="5"/>
  <c r="G1266" i="5"/>
  <c r="G48" i="5"/>
  <c r="G504" i="5"/>
  <c r="G459" i="5"/>
  <c r="G735" i="5"/>
  <c r="G3000" i="5"/>
  <c r="G1866" i="5"/>
  <c r="G1530" i="5"/>
  <c r="G1752" i="5"/>
  <c r="G1887" i="5"/>
  <c r="G1809" i="5"/>
  <c r="G2457" i="5"/>
  <c r="G18" i="5"/>
  <c r="G3009" i="5"/>
  <c r="G2769" i="5"/>
  <c r="G2772" i="5"/>
  <c r="G2973" i="5"/>
  <c r="G540" i="5"/>
  <c r="G1272" i="5"/>
  <c r="G147" i="5"/>
  <c r="G729" i="5"/>
  <c r="G3252" i="5"/>
  <c r="G1086" i="5"/>
  <c r="G492" i="5"/>
  <c r="G2160" i="5"/>
  <c r="G2145" i="5"/>
  <c r="G1137" i="5"/>
  <c r="G342" i="5"/>
  <c r="G2742" i="5"/>
  <c r="G879" i="5"/>
  <c r="G3282" i="5"/>
  <c r="G1323" i="5"/>
  <c r="G1545" i="5"/>
  <c r="G1002" i="5"/>
  <c r="G2112" i="5"/>
  <c r="G1596" i="5"/>
  <c r="G2475" i="5"/>
  <c r="G2322" i="5"/>
  <c r="G594" i="5"/>
  <c r="G2133" i="5"/>
  <c r="G1983" i="5"/>
  <c r="G3063" i="5"/>
  <c r="G2787" i="5"/>
  <c r="G3030" i="5"/>
  <c r="G1380" i="5"/>
  <c r="G249" i="5"/>
  <c r="G120" i="5"/>
  <c r="G1089" i="5"/>
  <c r="G2190" i="5"/>
  <c r="G825" i="5"/>
  <c r="G1407" i="5"/>
  <c r="G1464" i="5"/>
  <c r="G2586" i="5"/>
  <c r="G366" i="5"/>
  <c r="G1227" i="5"/>
  <c r="G1704" i="5"/>
  <c r="G1623" i="5"/>
  <c r="G2142" i="5"/>
  <c r="G2868" i="5"/>
  <c r="G1194" i="5"/>
  <c r="G321" i="5"/>
  <c r="G2184" i="5"/>
  <c r="G3054" i="5"/>
  <c r="G705" i="5"/>
  <c r="G2400" i="5"/>
  <c r="G288" i="5"/>
  <c r="G1074" i="5"/>
  <c r="G1209" i="5"/>
  <c r="G1065" i="5"/>
  <c r="G123" i="5"/>
  <c r="G3147" i="5"/>
  <c r="G1751" i="5"/>
  <c r="G975" i="5"/>
  <c r="G1557" i="5"/>
  <c r="G1359" i="5"/>
  <c r="G759" i="5"/>
  <c r="G2832" i="5"/>
  <c r="G1677" i="5"/>
  <c r="G2595" i="5"/>
  <c r="G1956" i="5"/>
  <c r="G2997" i="5"/>
  <c r="G525" i="5"/>
  <c r="G3240" i="5"/>
  <c r="G1236" i="5"/>
  <c r="G3183" i="5"/>
  <c r="G2367" i="5"/>
  <c r="G708" i="5"/>
  <c r="G2604" i="5"/>
  <c r="G90" i="5"/>
  <c r="G3228" i="5"/>
  <c r="G2034" i="5"/>
  <c r="G2922" i="5"/>
  <c r="G2280" i="5"/>
  <c r="G618" i="5"/>
  <c r="G102" i="5"/>
  <c r="G1627" i="5"/>
  <c r="G813" i="5"/>
  <c r="G177" i="5"/>
  <c r="G1674" i="5"/>
  <c r="G2829" i="5"/>
  <c r="G1614" i="5"/>
  <c r="G843" i="5"/>
  <c r="G615" i="5"/>
  <c r="G1845" i="5"/>
  <c r="G3243" i="5"/>
  <c r="G2517" i="5"/>
  <c r="G783" i="5"/>
  <c r="G591" i="5"/>
  <c r="G888" i="5"/>
  <c r="G2934" i="5"/>
  <c r="G2898" i="5"/>
  <c r="G2895" i="5"/>
  <c r="G2193" i="5"/>
  <c r="G3075" i="5"/>
  <c r="G2514" i="5"/>
  <c r="G864" i="5"/>
  <c r="G2817" i="5"/>
  <c r="G1167" i="5"/>
  <c r="G1758" i="5"/>
  <c r="G1803" i="5"/>
  <c r="G2649" i="5"/>
  <c r="G1416" i="5"/>
  <c r="G339" i="5"/>
  <c r="G3270" i="5"/>
  <c r="G2463" i="5"/>
  <c r="G426" i="5"/>
  <c r="G924" i="5"/>
  <c r="G3036" i="5"/>
  <c r="G1410" i="5"/>
  <c r="G1647" i="5"/>
  <c r="G1854" i="5"/>
  <c r="G1398" i="5"/>
  <c r="G2208" i="5"/>
  <c r="G1176" i="5"/>
  <c r="G1680" i="5"/>
  <c r="G93" i="5"/>
  <c r="G1800" i="5"/>
  <c r="G1725" i="5"/>
  <c r="G1032" i="5"/>
  <c r="G78" i="5"/>
  <c r="G1518" i="5"/>
  <c r="G1431" i="5"/>
  <c r="G45" i="5"/>
  <c r="G1653" i="5"/>
  <c r="G36" i="5"/>
  <c r="G1482" i="5"/>
  <c r="G315" i="5"/>
  <c r="G867" i="5"/>
  <c r="G1353" i="5"/>
  <c r="G1515" i="5"/>
  <c r="G726" i="5"/>
  <c r="G396" i="5"/>
  <c r="G1878" i="5"/>
  <c r="G834" i="5"/>
  <c r="G2655" i="5"/>
  <c r="G2040" i="5"/>
  <c r="G198" i="5"/>
  <c r="G1599" i="5"/>
  <c r="G1683" i="5"/>
  <c r="G1356" i="5"/>
  <c r="G3114" i="5"/>
  <c r="G2283" i="5"/>
  <c r="G1470" i="5"/>
  <c r="G417" i="5"/>
  <c r="G3189" i="5"/>
  <c r="G3078" i="5"/>
  <c r="G231" i="5"/>
  <c r="G372" i="5"/>
  <c r="G474" i="5"/>
  <c r="G168" i="5"/>
  <c r="G999" i="5"/>
  <c r="G1386" i="5"/>
  <c r="G447" i="5"/>
  <c r="G798" i="5"/>
  <c r="G2358" i="5"/>
  <c r="G63" i="5"/>
  <c r="G3276" i="5"/>
  <c r="G2907" i="5"/>
  <c r="G2196" i="5"/>
  <c r="G2310" i="5"/>
  <c r="G33" i="5"/>
  <c r="G3177" i="5"/>
  <c r="G756" i="5"/>
  <c r="G954" i="5"/>
  <c r="G1269" i="5"/>
  <c r="G1656" i="5"/>
  <c r="G1503" i="5"/>
  <c r="G1224" i="5"/>
  <c r="G2139" i="5"/>
  <c r="G2241" i="5"/>
  <c r="G657" i="5"/>
  <c r="G2013" i="5"/>
  <c r="G2328" i="5"/>
  <c r="G927" i="5"/>
  <c r="G891" i="5"/>
  <c r="G1326" i="5"/>
  <c r="G2877" i="5"/>
  <c r="G2178" i="5"/>
  <c r="G513" i="5"/>
  <c r="G2730" i="5"/>
  <c r="G1584" i="5"/>
  <c r="G1695" i="5"/>
  <c r="G2379" i="5"/>
  <c r="G51" i="5"/>
  <c r="G3264" i="5"/>
  <c r="G2043" i="5"/>
  <c r="G1746" i="5"/>
  <c r="G2118" i="5"/>
  <c r="G1455" i="5"/>
  <c r="G1131" i="5"/>
  <c r="G1230" i="5"/>
  <c r="G258" i="5"/>
  <c r="G1806" i="5"/>
  <c r="G477" i="5"/>
  <c r="G1401" i="5"/>
  <c r="G642" i="5"/>
  <c r="G99" i="5"/>
  <c r="G75" i="5"/>
  <c r="G3129" i="5"/>
  <c r="G741" i="5"/>
  <c r="G873" i="5"/>
  <c r="G2982" i="5"/>
  <c r="G1233" i="5"/>
  <c r="G681" i="5"/>
  <c r="G2418" i="5"/>
  <c r="G981" i="5"/>
  <c r="G2295" i="5"/>
  <c r="G2226" i="5"/>
  <c r="G3093" i="5"/>
  <c r="G3006" i="5"/>
  <c r="G1488" i="5"/>
  <c r="G1791" i="5"/>
  <c r="G2808" i="5"/>
  <c r="G1641" i="5"/>
  <c r="G1605" i="5"/>
  <c r="G1842" i="5"/>
  <c r="G1116" i="5"/>
  <c r="G363" i="5"/>
  <c r="G1626" i="5"/>
  <c r="G1941" i="5"/>
  <c r="G858" i="5"/>
  <c r="G2121" i="5"/>
  <c r="G1779" i="5"/>
  <c r="G1869" i="5"/>
  <c r="G2523" i="5"/>
  <c r="G2115" i="5"/>
  <c r="G2337" i="5"/>
  <c r="G2781" i="5"/>
  <c r="G1602" i="5"/>
  <c r="G609" i="5"/>
  <c r="G1008" i="5"/>
  <c r="G2793" i="5"/>
  <c r="G1830" i="5"/>
  <c r="G2445" i="5"/>
  <c r="G1625" i="5"/>
  <c r="G2640" i="5"/>
  <c r="G510" i="5"/>
  <c r="G387" i="5"/>
  <c r="G357" i="5"/>
  <c r="G2472" i="5"/>
  <c r="G543" i="5"/>
  <c r="G1107" i="5"/>
  <c r="G2097" i="5"/>
  <c r="G2838" i="5"/>
  <c r="G1218" i="5"/>
  <c r="G1629" i="5"/>
  <c r="G717" i="5"/>
  <c r="G579" i="5"/>
  <c r="G1608" i="5"/>
  <c r="G2355" i="5"/>
  <c r="G633" i="5"/>
  <c r="G2079" i="5"/>
  <c r="G1395" i="5"/>
  <c r="G573" i="5"/>
  <c r="G1170" i="5"/>
  <c r="G108" i="5"/>
  <c r="G3099" i="5"/>
  <c r="G441" i="5"/>
  <c r="G1446" i="5"/>
  <c r="G1071" i="5"/>
  <c r="G336" i="5"/>
  <c r="G537" i="5"/>
  <c r="G2619" i="5"/>
  <c r="G2580" i="5"/>
  <c r="G1392" i="5"/>
  <c r="G2388" i="5"/>
  <c r="G3261" i="5"/>
  <c r="G1038" i="5"/>
  <c r="G3012" i="5"/>
  <c r="G384" i="5"/>
  <c r="G2187" i="5"/>
  <c r="G2520" i="5"/>
  <c r="G1332" i="5"/>
  <c r="G2607" i="5"/>
  <c r="G1965" i="5"/>
  <c r="G2802" i="5"/>
  <c r="G828" i="5"/>
  <c r="G2277" i="5"/>
  <c r="G2349" i="5"/>
  <c r="G2733" i="5"/>
  <c r="G1836" i="5"/>
  <c r="G2436" i="5"/>
  <c r="G2889" i="5"/>
  <c r="G2994" i="5"/>
  <c r="G1824" i="5"/>
  <c r="G2001" i="5"/>
  <c r="G1749" i="5"/>
  <c r="G2313" i="5"/>
  <c r="G1815" i="5"/>
  <c r="G1761" i="5"/>
  <c r="G498" i="5"/>
  <c r="G645" i="5"/>
  <c r="G1947" i="5"/>
  <c r="G771" i="5"/>
  <c r="G2589" i="5"/>
  <c r="G1578" i="5"/>
  <c r="G1494" i="5"/>
  <c r="G228" i="5"/>
  <c r="G216" i="5"/>
  <c r="G1998" i="5"/>
  <c r="G2169" i="5"/>
  <c r="G1293" i="5"/>
  <c r="G2694" i="5"/>
  <c r="G1452" i="5"/>
  <c r="G900" i="5"/>
  <c r="G987" i="5"/>
  <c r="G21" i="5"/>
  <c r="G1572" i="5"/>
  <c r="G345" i="5"/>
  <c r="G963" i="5"/>
  <c r="G201" i="5"/>
  <c r="G1311" i="5"/>
  <c r="G192" i="5"/>
  <c r="G3279" i="5"/>
  <c r="G3180" i="5"/>
  <c r="G3084" i="5"/>
  <c r="G3132" i="5"/>
  <c r="G2448" i="5"/>
  <c r="G1197" i="5"/>
  <c r="G2247" i="5"/>
  <c r="G1182" i="5"/>
  <c r="G2361" i="5"/>
  <c r="G2688" i="5"/>
  <c r="G195" i="5"/>
  <c r="G117" i="5"/>
  <c r="G2391" i="5"/>
  <c r="G897" i="5"/>
  <c r="G2085" i="5"/>
  <c r="G1701" i="5"/>
  <c r="G39" i="5"/>
  <c r="G2073" i="5"/>
  <c r="G2949" i="5"/>
  <c r="G576" i="5"/>
  <c r="G6" i="5"/>
  <c r="G1299" i="5"/>
  <c r="G621" i="5"/>
  <c r="G2664" i="5"/>
  <c r="G849" i="5"/>
  <c r="G3024" i="5"/>
  <c r="G1365" i="5"/>
  <c r="G1959" i="5"/>
  <c r="G1917" i="5"/>
  <c r="G444" i="5"/>
  <c r="G792" i="5"/>
  <c r="G267" i="5"/>
  <c r="G1575" i="5"/>
  <c r="G1290" i="5"/>
  <c r="G744" i="5"/>
  <c r="G2709" i="5"/>
  <c r="G1062" i="5"/>
  <c r="G2736" i="5"/>
  <c r="G462" i="5"/>
  <c r="G1944" i="5"/>
  <c r="G2826" i="5"/>
  <c r="G1149" i="5"/>
  <c r="G1650" i="5"/>
  <c r="G3111" i="5"/>
  <c r="G1242" i="5"/>
  <c r="G1134" i="5"/>
  <c r="G1020" i="5"/>
  <c r="G795" i="5"/>
  <c r="G777" i="5"/>
  <c r="G2451" i="5"/>
  <c r="G2325" i="5"/>
  <c r="G2439" i="5"/>
  <c r="G2928" i="5"/>
  <c r="G1077" i="5"/>
  <c r="G2667" i="5"/>
  <c r="G360" i="5"/>
  <c r="G186" i="5"/>
  <c r="G81" i="5"/>
  <c r="G2046" i="5"/>
  <c r="G2166" i="5"/>
  <c r="G96" i="5"/>
  <c r="G2745" i="5"/>
  <c r="G2811" i="5"/>
  <c r="G1239" i="5"/>
  <c r="G2370" i="5"/>
  <c r="G303" i="5"/>
  <c r="G2496" i="5"/>
  <c r="G2499" i="5"/>
  <c r="G1884" i="5"/>
  <c r="G549" i="5"/>
  <c r="G693" i="5"/>
  <c r="G489" i="5"/>
  <c r="G2622" i="5"/>
  <c r="G171" i="5"/>
  <c r="G2052" i="5"/>
  <c r="G546" i="5"/>
  <c r="G378" i="5"/>
  <c r="G2853" i="5"/>
  <c r="G2553" i="5"/>
  <c r="G3138" i="5"/>
  <c r="G2985" i="5"/>
  <c r="G552" i="5"/>
  <c r="G291" i="5"/>
  <c r="G2535" i="5"/>
  <c r="G957" i="5"/>
  <c r="G2727" i="5"/>
  <c r="G3234" i="5"/>
  <c r="G3069" i="5"/>
  <c r="G1914" i="5"/>
  <c r="G3246" i="5"/>
  <c r="G1377" i="5"/>
  <c r="G3015" i="5"/>
  <c r="G1449" i="5"/>
  <c r="G468" i="5"/>
  <c r="G2544" i="5"/>
  <c r="G930" i="5"/>
  <c r="G2493" i="5"/>
  <c r="G1317" i="5"/>
  <c r="G1686" i="5"/>
  <c r="G2658" i="5"/>
  <c r="G570" i="5"/>
  <c r="G393" i="5"/>
  <c r="G1467" i="5"/>
  <c r="G1638" i="5"/>
  <c r="G1173" i="5"/>
  <c r="G1425" i="5"/>
  <c r="G2754" i="5"/>
  <c r="G1857" i="5"/>
  <c r="G2505" i="5"/>
  <c r="G672" i="5"/>
  <c r="G1881" i="5"/>
  <c r="G564" i="5"/>
  <c r="G3174" i="5"/>
  <c r="G2904" i="5"/>
  <c r="G1551" i="5"/>
  <c r="G2847" i="5"/>
  <c r="G2970" i="5"/>
  <c r="G1140" i="5"/>
  <c r="G2340" i="5"/>
  <c r="G2910" i="5"/>
  <c r="G1104" i="5"/>
  <c r="G1740" i="5"/>
  <c r="G1011" i="5"/>
  <c r="G2055" i="5"/>
  <c r="G1344" i="5"/>
  <c r="G1413" i="5"/>
  <c r="G1362" i="5"/>
  <c r="G3150" i="5"/>
  <c r="G678" i="5"/>
  <c r="G2484" i="5"/>
  <c r="G801" i="5"/>
  <c r="G567" i="5"/>
  <c r="G2946" i="5"/>
  <c r="G876" i="5"/>
  <c r="G2250" i="5"/>
  <c r="G2007" i="5"/>
  <c r="G1926" i="5"/>
  <c r="G840" i="5"/>
  <c r="G2568" i="5"/>
  <c r="G1710" i="5"/>
  <c r="G1278" i="5"/>
  <c r="G762" i="5"/>
  <c r="G1275" i="5"/>
  <c r="G2265" i="5"/>
  <c r="G807" i="5"/>
  <c r="G966" i="5"/>
  <c r="G2136" i="5"/>
  <c r="G747" i="5"/>
  <c r="G3042" i="5"/>
  <c r="G2886" i="5"/>
  <c r="G3081" i="5"/>
  <c r="G2238" i="5"/>
  <c r="G1368" i="5"/>
  <c r="G69" i="5"/>
  <c r="G2571" i="5"/>
  <c r="G1611" i="5"/>
  <c r="G2739" i="5"/>
  <c r="G465" i="5"/>
  <c r="G933" i="5"/>
  <c r="G138" i="5"/>
  <c r="G909" i="5"/>
  <c r="G1350" i="5"/>
  <c r="G1296" i="5"/>
  <c r="G2100" i="5"/>
  <c r="G918" i="5"/>
  <c r="G990" i="5"/>
  <c r="G2799" i="5"/>
  <c r="G1185" i="5"/>
  <c r="G408" i="5"/>
  <c r="G432" i="5"/>
  <c r="G2397" i="5"/>
  <c r="G1938" i="5"/>
  <c r="G327" i="5"/>
  <c r="G1215" i="5"/>
  <c r="G684" i="5"/>
  <c r="G2394" i="5"/>
  <c r="G189" i="5"/>
  <c r="G2028" i="5"/>
  <c r="G972" i="5"/>
  <c r="G2220" i="5"/>
  <c r="G2271" i="5"/>
  <c r="G2592" i="5"/>
  <c r="G1119" i="5"/>
  <c r="G2229" i="5"/>
  <c r="G1068" i="5"/>
  <c r="G984" i="5"/>
  <c r="G2508" i="5"/>
  <c r="G2502" i="5"/>
  <c r="G1635" i="5"/>
  <c r="G1461" i="5"/>
  <c r="G765" i="5"/>
  <c r="G996" i="5"/>
  <c r="G1968" i="5"/>
  <c r="G1041" i="5"/>
  <c r="G3198" i="5"/>
  <c r="G3249" i="5"/>
  <c r="G720" i="5"/>
  <c r="G2031" i="5"/>
  <c r="G2082" i="5"/>
  <c r="G1923" i="5"/>
  <c r="G1995" i="5"/>
  <c r="G1851" i="5"/>
  <c r="G2256" i="5"/>
  <c r="G276" i="5"/>
  <c r="G222" i="5"/>
  <c r="G1098" i="5"/>
  <c r="G270" i="5"/>
  <c r="G438" i="5"/>
  <c r="G2601" i="5"/>
  <c r="G1017" i="5"/>
  <c r="G225" i="5"/>
  <c r="G2316" i="5"/>
  <c r="G780" i="5"/>
  <c r="G2541" i="5"/>
  <c r="G1200" i="5"/>
  <c r="G2352" i="5"/>
  <c r="G180" i="5"/>
  <c r="G1497" i="5"/>
  <c r="G2409" i="5"/>
  <c r="G714" i="5"/>
  <c r="G2892" i="5"/>
  <c r="G738" i="5"/>
  <c r="G2562" i="5"/>
  <c r="G2532" i="5"/>
  <c r="G1428" i="5"/>
  <c r="G789" i="5"/>
  <c r="G1420" i="5"/>
  <c r="G1782" i="5"/>
  <c r="G297" i="5"/>
  <c r="G252" i="5"/>
  <c r="G369" i="5"/>
  <c r="G1302" i="5"/>
  <c r="G1896" i="5"/>
  <c r="G1341" i="5"/>
  <c r="G1152" i="5"/>
  <c r="G2511" i="5"/>
  <c r="G855" i="5"/>
  <c r="G600" i="5"/>
  <c r="G3255" i="5"/>
  <c r="G2259" i="5"/>
  <c r="G1554" i="5"/>
  <c r="G2478" i="5"/>
  <c r="G1083" i="5"/>
  <c r="G294" i="5"/>
  <c r="G3045" i="5"/>
  <c r="G1569" i="5"/>
  <c r="G2481" i="5"/>
  <c r="G471" i="5"/>
  <c r="G2385" i="5"/>
  <c r="G1473" i="5"/>
  <c r="G1770" i="5"/>
  <c r="G2958" i="5"/>
  <c r="G1536" i="5"/>
  <c r="G2841" i="5"/>
  <c r="G1848" i="5"/>
  <c r="G2610" i="5"/>
  <c r="G654" i="5"/>
  <c r="G219" i="5"/>
  <c r="G2373" i="5"/>
  <c r="G1737" i="5"/>
  <c r="G1587" i="5"/>
  <c r="G3162" i="5"/>
  <c r="G261" i="5"/>
  <c r="G330" i="5"/>
  <c r="G2625" i="5"/>
  <c r="G1308" i="5"/>
  <c r="G1989" i="5"/>
  <c r="G405" i="5"/>
  <c r="G306" i="5"/>
  <c r="G1977" i="5"/>
  <c r="G666" i="5"/>
  <c r="G2850" i="5"/>
  <c r="G2421" i="5"/>
  <c r="G1593" i="5"/>
  <c r="G768" i="5"/>
  <c r="G612" i="5"/>
  <c r="G375" i="5"/>
  <c r="G3135" i="5"/>
  <c r="G165" i="5"/>
  <c r="G1047" i="5"/>
  <c r="G204" i="5"/>
  <c r="G1932" i="5"/>
  <c r="G156" i="5"/>
  <c r="G1053" i="5"/>
  <c r="G3186" i="5"/>
  <c r="G1539" i="5"/>
  <c r="G822" i="5"/>
  <c r="G210" i="5"/>
  <c r="G1521" i="5"/>
  <c r="G1155" i="5"/>
  <c r="G2019" i="5"/>
  <c r="G630" i="5"/>
  <c r="G1248" i="5"/>
  <c r="G936" i="5"/>
  <c r="G1179" i="5"/>
  <c r="G1875" i="5"/>
  <c r="G135" i="5"/>
  <c r="G1329" i="5"/>
  <c r="G2757" i="5"/>
  <c r="G2574" i="5"/>
  <c r="G1707" i="5"/>
  <c r="G2067" i="5"/>
  <c r="G1692" i="5"/>
  <c r="G3060" i="5"/>
  <c r="G531" i="5"/>
  <c r="G2151" i="5"/>
  <c r="G3168" i="5"/>
  <c r="G675" i="5"/>
  <c r="G2988" i="5"/>
  <c r="G2961" i="5"/>
  <c r="G2469" i="5"/>
  <c r="G2613" i="5"/>
  <c r="G237" i="5"/>
  <c r="G2406" i="5"/>
  <c r="G2862" i="5"/>
  <c r="G1722" i="5"/>
  <c r="G105" i="5"/>
  <c r="G2004" i="5"/>
  <c r="G1728" i="5"/>
  <c r="G819" i="5"/>
  <c r="G1284" i="5"/>
  <c r="G3096" i="5"/>
  <c r="G2070" i="5"/>
  <c r="G2565" i="5"/>
  <c r="G1920" i="5"/>
  <c r="G2718" i="5"/>
  <c r="G558" i="5"/>
  <c r="G2154" i="5"/>
  <c r="G945" i="5"/>
  <c r="G402" i="5"/>
  <c r="G507" i="5"/>
  <c r="G2865" i="5"/>
  <c r="G663" i="5"/>
  <c r="G1263" i="5"/>
  <c r="G3231" i="5"/>
  <c r="G243" i="5"/>
  <c r="G1260" i="5"/>
  <c r="G3267" i="5"/>
  <c r="G774" i="5"/>
  <c r="G1632" i="5"/>
  <c r="G2964" i="5"/>
  <c r="G3105" i="5"/>
  <c r="G2676" i="5"/>
  <c r="G3156" i="5"/>
  <c r="G351" i="5"/>
  <c r="G1839" i="5"/>
  <c r="G2124" i="5"/>
  <c r="G2526" i="5"/>
  <c r="G1476" i="5"/>
  <c r="G2583" i="5"/>
  <c r="G1158" i="5"/>
  <c r="G1620" i="5"/>
  <c r="G2214" i="5"/>
  <c r="G2715" i="5"/>
  <c r="G852" i="5"/>
  <c r="G2109" i="5"/>
  <c r="G1731" i="5"/>
  <c r="G2244" i="5"/>
  <c r="G2805" i="5"/>
  <c r="G2157" i="5"/>
  <c r="G1221" i="5"/>
  <c r="G1347" i="5"/>
  <c r="G3195" i="5"/>
  <c r="G2292" i="5"/>
  <c r="G2274" i="5"/>
  <c r="G2223" i="5"/>
  <c r="G723" i="5"/>
  <c r="G1644" i="5"/>
  <c r="G2172" i="5"/>
  <c r="G2637" i="5"/>
  <c r="G1548" i="5"/>
  <c r="G2037" i="5"/>
  <c r="G453" i="5"/>
  <c r="G2631" i="5"/>
  <c r="G2163" i="5"/>
  <c r="G111" i="5"/>
  <c r="G960" i="5"/>
  <c r="G1560" i="5"/>
  <c r="G2628" i="5"/>
  <c r="G2217" i="5"/>
  <c r="G255" i="5"/>
  <c r="G1419" i="5"/>
  <c r="G1980" i="5"/>
  <c r="G3204" i="5"/>
  <c r="G3171" i="5"/>
  <c r="G2319" i="5"/>
  <c r="G1035" i="5"/>
  <c r="G30" i="5"/>
  <c r="G942" i="5"/>
  <c r="G2289" i="5"/>
  <c r="G2088" i="5"/>
  <c r="G939" i="5"/>
  <c r="G2931" i="5"/>
  <c r="G2979" i="5"/>
  <c r="G1418" i="5"/>
  <c r="G1101" i="5"/>
  <c r="G114" i="5"/>
  <c r="G651" i="5"/>
  <c r="G3141" i="5"/>
  <c r="G2643" i="5"/>
  <c r="G648" i="5"/>
  <c r="G2925" i="5"/>
  <c r="G3159" i="5"/>
  <c r="G84" i="5"/>
  <c r="G1767" i="5"/>
  <c r="G1287" i="5"/>
  <c r="G1314" i="5"/>
  <c r="G1689" i="5"/>
  <c r="G2712" i="5"/>
  <c r="G588" i="5"/>
  <c r="G3051" i="5"/>
  <c r="G3192" i="5"/>
  <c r="G2700" i="5"/>
  <c r="G2016" i="5"/>
  <c r="G2130" i="5"/>
  <c r="G2529" i="5"/>
  <c r="G15" i="5"/>
  <c r="G3" i="5"/>
  <c r="G126" i="5"/>
  <c r="G435" i="5"/>
  <c r="G750" i="5"/>
  <c r="G1716" i="5"/>
  <c r="G2556" i="5"/>
  <c r="G390" i="5"/>
  <c r="G1095" i="5"/>
  <c r="G414" i="5"/>
  <c r="G831" i="5"/>
  <c r="G861" i="5"/>
  <c r="G2955" i="5"/>
  <c r="G816" i="5"/>
  <c r="G3165" i="5"/>
  <c r="G1950" i="5"/>
  <c r="G2298" i="5"/>
  <c r="G66" i="5"/>
  <c r="G2430" i="5"/>
  <c r="G2091" i="5"/>
  <c r="G2232" i="5"/>
  <c r="G2025" i="5"/>
  <c r="G561" i="5"/>
  <c r="G2181" i="5"/>
  <c r="G87" i="5"/>
  <c r="G3018" i="5"/>
  <c r="G27" i="5"/>
  <c r="G2064" i="5"/>
  <c r="G3201" i="5"/>
  <c r="G2874" i="5"/>
  <c r="G3120" i="5"/>
  <c r="G1014" i="5"/>
  <c r="G1026" i="5"/>
  <c r="G1563" i="5"/>
  <c r="G2937" i="5"/>
  <c r="G2022" i="5"/>
  <c r="G1833" i="5"/>
  <c r="G1542" i="5"/>
  <c r="G2634" i="5"/>
  <c r="G1458" i="5"/>
  <c r="G411" i="5"/>
  <c r="G903" i="5"/>
  <c r="G285" i="5"/>
  <c r="G3027" i="5"/>
  <c r="G3072" i="5"/>
  <c r="G264" i="5"/>
  <c r="G2598" i="5"/>
  <c r="G2049" i="5"/>
  <c r="G2433" i="5"/>
  <c r="G240" i="5"/>
  <c r="G2880" i="5"/>
  <c r="G399" i="5"/>
  <c r="G1755" i="5"/>
  <c r="G1338" i="5"/>
  <c r="G2751" i="5"/>
  <c r="G3108" i="5"/>
  <c r="G1797" i="5"/>
  <c r="G1590" i="5"/>
  <c r="G1245" i="5"/>
  <c r="G3087" i="5"/>
  <c r="G1794" i="5"/>
  <c r="G2009" i="5"/>
  <c r="G1121" i="5"/>
  <c r="G686" i="5"/>
  <c r="G1817" i="5"/>
  <c r="G1973" i="5"/>
  <c r="G422" i="5"/>
  <c r="G299" i="5"/>
  <c r="G977" i="5"/>
  <c r="G182" i="5"/>
  <c r="G2942" i="5"/>
  <c r="G2330" i="5"/>
  <c r="G554" i="5"/>
  <c r="G1079" i="5"/>
  <c r="G1787" i="5"/>
  <c r="G1664" i="5"/>
  <c r="G1862" i="5"/>
  <c r="G2684" i="5"/>
  <c r="G1109" i="5"/>
  <c r="G2966" i="5"/>
  <c r="G53" i="5"/>
  <c r="G2939" i="5"/>
  <c r="G2465" i="5"/>
  <c r="G968" i="5"/>
  <c r="G2678" i="5"/>
  <c r="G2261" i="5"/>
  <c r="G2303" i="5"/>
  <c r="G602" i="5"/>
  <c r="G2918" i="5"/>
  <c r="G2819" i="5"/>
  <c r="G1304" i="5"/>
  <c r="G41" i="5"/>
  <c r="G1049" i="5"/>
  <c r="G3047" i="5"/>
  <c r="G2951" i="5"/>
  <c r="G836" i="5"/>
  <c r="G659" i="5"/>
  <c r="G2549" i="5"/>
  <c r="G2381" i="5"/>
  <c r="G2363" i="5"/>
  <c r="G626" i="5"/>
  <c r="G1934" i="5"/>
  <c r="G1334" i="5"/>
  <c r="G3101" i="5"/>
  <c r="G2834" i="5"/>
  <c r="G698" i="5"/>
  <c r="G2912" i="5"/>
  <c r="G2615" i="5"/>
  <c r="G596" i="5"/>
  <c r="G1124" i="5"/>
  <c r="G1511" i="5"/>
  <c r="G1661" i="5"/>
  <c r="G1094" i="5"/>
  <c r="G1058" i="5"/>
  <c r="G3056" i="5"/>
  <c r="G2105" i="5"/>
  <c r="G272" i="5"/>
  <c r="G2411" i="5"/>
  <c r="G59" i="5"/>
  <c r="G911" i="5"/>
  <c r="G1382" i="5"/>
  <c r="G1763" i="5"/>
  <c r="G869" i="5"/>
  <c r="G173" i="5"/>
  <c r="G1526" i="5"/>
  <c r="G1697" i="5"/>
  <c r="G3065" i="5"/>
  <c r="G212" i="5"/>
  <c r="G23" i="5"/>
  <c r="G3206" i="5"/>
  <c r="G1160" i="5"/>
  <c r="G3143" i="5"/>
  <c r="G353" i="5"/>
  <c r="G947" i="5"/>
  <c r="G317" i="5"/>
  <c r="G419" i="5"/>
  <c r="G1043" i="5"/>
  <c r="G2645" i="5"/>
  <c r="G1871" i="5"/>
  <c r="G2414" i="5"/>
  <c r="G2795" i="5"/>
  <c r="G2093" i="5"/>
  <c r="G1187" i="5"/>
  <c r="G2870" i="5"/>
  <c r="G1910" i="5"/>
  <c r="G1859" i="5"/>
  <c r="G1901" i="5"/>
  <c r="G1961" i="5"/>
  <c r="G71" i="5"/>
  <c r="G1142" i="5"/>
  <c r="G2723" i="5"/>
  <c r="G2975" i="5"/>
  <c r="G2576" i="5"/>
  <c r="G1952" i="5"/>
  <c r="G581" i="5"/>
  <c r="G1718" i="5"/>
  <c r="G2669" i="5"/>
  <c r="G668" i="5"/>
  <c r="G805" i="5"/>
  <c r="G920" i="5"/>
  <c r="G1436" i="5"/>
  <c r="G1403" i="5"/>
  <c r="G494" i="5"/>
  <c r="G2783" i="5"/>
  <c r="G2423" i="5"/>
  <c r="G233" i="5"/>
  <c r="G278" i="5"/>
  <c r="G881" i="5"/>
  <c r="G893" i="5"/>
  <c r="G515" i="5"/>
  <c r="G1319" i="5"/>
  <c r="G1253" i="5"/>
  <c r="G1028" i="5"/>
  <c r="G1127" i="5"/>
  <c r="G428" i="5"/>
  <c r="G1478" i="5"/>
  <c r="G2426" i="5"/>
  <c r="G2210" i="5"/>
  <c r="G1205" i="5"/>
  <c r="G605" i="5"/>
  <c r="G1970" i="5"/>
  <c r="G1742" i="5"/>
  <c r="G1505" i="5"/>
  <c r="G3089" i="5"/>
  <c r="G2342" i="5"/>
  <c r="G638" i="5"/>
  <c r="G635" i="5"/>
  <c r="G1211" i="5"/>
  <c r="G701" i="5"/>
  <c r="G323" i="5"/>
  <c r="G2660" i="5"/>
  <c r="G527" i="5"/>
  <c r="G1499" i="5"/>
  <c r="G2777" i="5"/>
  <c r="G804" i="5"/>
  <c r="G518" i="5"/>
  <c r="G2459" i="5"/>
  <c r="G281" i="5"/>
  <c r="G2198" i="5"/>
  <c r="G914" i="5"/>
  <c r="G2882" i="5"/>
  <c r="G2285" i="5"/>
  <c r="G1985" i="5"/>
  <c r="G3116" i="5"/>
  <c r="G2375" i="5"/>
  <c r="G1055" i="5"/>
  <c r="G2681" i="5"/>
  <c r="G3257" i="5"/>
  <c r="G3209" i="5"/>
  <c r="G1826" i="5"/>
  <c r="G1670" i="5"/>
  <c r="G2720" i="5"/>
  <c r="G2900" i="5"/>
  <c r="G149" i="5"/>
  <c r="G380" i="5"/>
  <c r="G3032" i="5"/>
  <c r="G2822" i="5"/>
  <c r="G2843" i="5"/>
  <c r="G3212" i="5"/>
  <c r="G161" i="5"/>
  <c r="G2774" i="5"/>
  <c r="G2690" i="5"/>
  <c r="G695" i="5"/>
  <c r="G2915" i="5"/>
  <c r="G1898" i="5"/>
  <c r="G1091" i="5"/>
  <c r="G2174" i="5"/>
  <c r="G905" i="5"/>
  <c r="G731" i="5"/>
  <c r="G1889" i="5"/>
  <c r="G2306" i="5"/>
  <c r="G1370" i="5"/>
  <c r="G2147" i="5"/>
  <c r="G3215" i="5"/>
  <c r="G3224" i="5"/>
  <c r="G3272" i="5"/>
  <c r="G131" i="5"/>
  <c r="G2489" i="5"/>
  <c r="G710" i="5"/>
  <c r="G1442" i="5"/>
  <c r="G1616" i="5"/>
  <c r="G3020" i="5"/>
  <c r="G950" i="5"/>
  <c r="G752" i="5"/>
  <c r="G206" i="5"/>
  <c r="G884" i="5"/>
  <c r="G809" i="5"/>
  <c r="G2855" i="5"/>
  <c r="G245" i="5"/>
  <c r="G2672" i="5"/>
  <c r="G2651" i="5"/>
  <c r="G1256" i="5"/>
  <c r="G2204" i="5"/>
  <c r="G2747" i="5"/>
  <c r="G1772" i="5"/>
  <c r="G584" i="5"/>
  <c r="G1433" i="5"/>
  <c r="G1421" i="5"/>
  <c r="G311" i="5"/>
  <c r="G1784" i="5"/>
  <c r="G1904" i="5"/>
  <c r="G1523" i="5"/>
  <c r="G3038" i="5"/>
  <c r="G2126" i="5"/>
  <c r="G1022" i="5"/>
  <c r="G1907" i="5"/>
  <c r="G3236" i="5"/>
  <c r="G3221" i="5"/>
  <c r="G1490" i="5"/>
  <c r="G1250" i="5"/>
  <c r="G845" i="5"/>
  <c r="G2762" i="5"/>
  <c r="G2789" i="5"/>
  <c r="G143" i="5"/>
  <c r="G1163" i="5"/>
  <c r="G3002" i="5"/>
  <c r="G1280" i="5"/>
  <c r="G56" i="5"/>
  <c r="G308" i="5"/>
  <c r="G332" i="5"/>
  <c r="G128" i="5"/>
  <c r="G2345" i="5"/>
  <c r="G2333" i="5"/>
  <c r="G2858" i="5"/>
  <c r="G1532" i="5"/>
  <c r="G1712" i="5"/>
  <c r="G1373" i="5"/>
  <c r="G1658" i="5"/>
  <c r="G1190" i="5"/>
  <c r="G803" i="5"/>
  <c r="G2696" i="5"/>
  <c r="G485" i="5"/>
  <c r="G1667" i="5"/>
  <c r="G785" i="5"/>
  <c r="G2102" i="5"/>
  <c r="G1565" i="5"/>
  <c r="G2558" i="5"/>
  <c r="G2402" i="5"/>
  <c r="G2267" i="5"/>
  <c r="G533" i="5"/>
  <c r="G623" i="5"/>
  <c r="G1004" i="5"/>
  <c r="G2537" i="5"/>
  <c r="G1145" i="5"/>
  <c r="G1439" i="5"/>
  <c r="G1991" i="5"/>
  <c r="G2075" i="5"/>
  <c r="G1112" i="5"/>
  <c r="G8" i="5"/>
  <c r="G1733" i="5"/>
  <c r="G455" i="5"/>
  <c r="G2300" i="5"/>
  <c r="G11" i="5"/>
  <c r="G1508" i="5"/>
  <c r="G3122" i="5"/>
  <c r="G2705" i="5"/>
  <c r="G1202" i="5"/>
  <c r="G1820" i="5"/>
  <c r="G2060" i="5"/>
  <c r="G2813" i="5"/>
  <c r="G2453" i="5"/>
  <c r="G2441" i="5"/>
  <c r="G1388" i="5"/>
  <c r="G158" i="5"/>
  <c r="G1775" i="5"/>
  <c r="G3218" i="5"/>
  <c r="G3152" i="5"/>
  <c r="G482" i="5"/>
  <c r="G1580" i="5"/>
  <c r="G479" i="5"/>
  <c r="G140" i="5"/>
  <c r="G449" i="5"/>
  <c r="G992" i="5"/>
  <c r="G2546" i="5"/>
  <c r="G2234" i="5"/>
  <c r="G2201" i="5"/>
  <c r="G1811" i="5"/>
  <c r="G2057" i="5"/>
  <c r="G2759" i="5"/>
  <c r="G2486" i="5"/>
  <c r="G3125" i="5"/>
  <c r="G2765" i="5"/>
  <c r="G152" i="5"/>
  <c r="G1484" i="5"/>
  <c r="G689" i="5"/>
  <c r="G1265" i="5"/>
  <c r="G47" i="5"/>
  <c r="G503" i="5"/>
  <c r="G458" i="5"/>
  <c r="G734" i="5"/>
  <c r="G2999" i="5"/>
  <c r="G1865" i="5"/>
  <c r="G1529" i="5"/>
  <c r="G523" i="5"/>
  <c r="G1886" i="5"/>
  <c r="G1808" i="5"/>
  <c r="G2456" i="5"/>
  <c r="G17" i="5"/>
  <c r="G3008" i="5"/>
  <c r="G2768" i="5"/>
  <c r="G2771" i="5"/>
  <c r="G2972" i="5"/>
  <c r="G539" i="5"/>
  <c r="G1271" i="5"/>
  <c r="G146" i="5"/>
  <c r="G728" i="5"/>
  <c r="G3251" i="5"/>
  <c r="G1085" i="5"/>
  <c r="G491" i="5"/>
  <c r="G2159" i="5"/>
  <c r="G2144" i="5"/>
  <c r="G1136" i="5"/>
  <c r="G341" i="5"/>
  <c r="G2741" i="5"/>
  <c r="G878" i="5"/>
  <c r="G3281" i="5"/>
  <c r="G1322" i="5"/>
  <c r="G1544" i="5"/>
  <c r="G1001" i="5"/>
  <c r="G2111" i="5"/>
  <c r="G1595" i="5"/>
  <c r="G2474" i="5"/>
  <c r="G2321" i="5"/>
  <c r="G593" i="5"/>
  <c r="G2132" i="5"/>
  <c r="G1982" i="5"/>
  <c r="G3062" i="5"/>
  <c r="G2786" i="5"/>
  <c r="G3029" i="5"/>
  <c r="G1379" i="5"/>
  <c r="G248" i="5"/>
  <c r="G119" i="5"/>
  <c r="G1088" i="5"/>
  <c r="G2189" i="5"/>
  <c r="G824" i="5"/>
  <c r="G1406" i="5"/>
  <c r="G1463" i="5"/>
  <c r="G2585" i="5"/>
  <c r="G365" i="5"/>
  <c r="G1226" i="5"/>
  <c r="G1703" i="5"/>
  <c r="G1622" i="5"/>
  <c r="G2141" i="5"/>
  <c r="G2867" i="5"/>
  <c r="G1193" i="5"/>
  <c r="G320" i="5"/>
  <c r="G2183" i="5"/>
  <c r="G3053" i="5"/>
  <c r="G704" i="5"/>
  <c r="G2399" i="5"/>
  <c r="G287" i="5"/>
  <c r="G1073" i="5"/>
  <c r="G1208" i="5"/>
  <c r="G1064" i="5"/>
  <c r="G122" i="5"/>
  <c r="G3146" i="5"/>
  <c r="G522" i="5"/>
  <c r="G974" i="5"/>
  <c r="G1556" i="5"/>
  <c r="G1358" i="5"/>
  <c r="G758" i="5"/>
  <c r="G2831" i="5"/>
  <c r="G1676" i="5"/>
  <c r="G2594" i="5"/>
  <c r="G1955" i="5"/>
  <c r="G2996" i="5"/>
  <c r="G524" i="5"/>
  <c r="G3239" i="5"/>
  <c r="G1235" i="5"/>
  <c r="G3182" i="5"/>
  <c r="G2366" i="5"/>
  <c r="G707" i="5"/>
  <c r="G2603" i="5"/>
  <c r="G89" i="5"/>
  <c r="G3227" i="5"/>
  <c r="G2033" i="5"/>
  <c r="G2921" i="5"/>
  <c r="G2279" i="5"/>
  <c r="G617" i="5"/>
  <c r="G101" i="5"/>
  <c r="G521" i="5"/>
  <c r="G812" i="5"/>
  <c r="G176" i="5"/>
  <c r="G1673" i="5"/>
  <c r="G2828" i="5"/>
  <c r="G1613" i="5"/>
  <c r="G842" i="5"/>
  <c r="G614" i="5"/>
  <c r="G1844" i="5"/>
  <c r="G3242" i="5"/>
  <c r="G2516" i="5"/>
  <c r="G782" i="5"/>
  <c r="G590" i="5"/>
  <c r="G887" i="5"/>
  <c r="G2933" i="5"/>
  <c r="G2897" i="5"/>
  <c r="G2894" i="5"/>
  <c r="G2192" i="5"/>
  <c r="G3074" i="5"/>
  <c r="G2513" i="5"/>
  <c r="G863" i="5"/>
  <c r="G2816" i="5"/>
  <c r="G1166" i="5"/>
  <c r="G1757" i="5"/>
  <c r="G1802" i="5"/>
  <c r="G2648" i="5"/>
  <c r="G1415" i="5"/>
  <c r="G338" i="5"/>
  <c r="G3269" i="5"/>
  <c r="G2462" i="5"/>
  <c r="G425" i="5"/>
  <c r="G923" i="5"/>
  <c r="G3035" i="5"/>
  <c r="G1409" i="5"/>
  <c r="G1646" i="5"/>
  <c r="G1853" i="5"/>
  <c r="G1397" i="5"/>
  <c r="G2207" i="5"/>
  <c r="G1175" i="5"/>
  <c r="G1679" i="5"/>
  <c r="G92" i="5"/>
  <c r="G1799" i="5"/>
  <c r="G1724" i="5"/>
  <c r="G1031" i="5"/>
  <c r="G77" i="5"/>
  <c r="G1517" i="5"/>
  <c r="G1430" i="5"/>
  <c r="G44" i="5"/>
  <c r="G1652" i="5"/>
  <c r="G35" i="5"/>
  <c r="G1481" i="5"/>
  <c r="G314" i="5"/>
  <c r="G866" i="5"/>
  <c r="G1352" i="5"/>
  <c r="G1514" i="5"/>
  <c r="G725" i="5"/>
  <c r="G395" i="5"/>
  <c r="G1877" i="5"/>
  <c r="G833" i="5"/>
  <c r="G2654" i="5"/>
  <c r="G2039" i="5"/>
  <c r="G197" i="5"/>
  <c r="G1598" i="5"/>
  <c r="G1682" i="5"/>
  <c r="G1355" i="5"/>
  <c r="G3113" i="5"/>
  <c r="G2282" i="5"/>
  <c r="G1469" i="5"/>
  <c r="G416" i="5"/>
  <c r="G3188" i="5"/>
  <c r="G3077" i="5"/>
  <c r="G230" i="5"/>
  <c r="G371" i="5"/>
  <c r="G473" i="5"/>
  <c r="G167" i="5"/>
  <c r="G998" i="5"/>
  <c r="G1385" i="5"/>
  <c r="G446" i="5"/>
  <c r="G797" i="5"/>
  <c r="G2357" i="5"/>
  <c r="G62" i="5"/>
  <c r="G3275" i="5"/>
  <c r="G2906" i="5"/>
  <c r="G2195" i="5"/>
  <c r="G2309" i="5"/>
  <c r="G32" i="5"/>
  <c r="G3176" i="5"/>
  <c r="G755" i="5"/>
  <c r="G953" i="5"/>
  <c r="G1268" i="5"/>
  <c r="G1655" i="5"/>
  <c r="G1502" i="5"/>
  <c r="G1223" i="5"/>
  <c r="G2138" i="5"/>
  <c r="G2240" i="5"/>
  <c r="G656" i="5"/>
  <c r="G2012" i="5"/>
  <c r="G2327" i="5"/>
  <c r="G926" i="5"/>
  <c r="G890" i="5"/>
  <c r="G1325" i="5"/>
  <c r="G2876" i="5"/>
  <c r="G2177" i="5"/>
  <c r="G512" i="5"/>
  <c r="G2729" i="5"/>
  <c r="G1583" i="5"/>
  <c r="G1694" i="5"/>
  <c r="G2378" i="5"/>
  <c r="G50" i="5"/>
  <c r="G3263" i="5"/>
  <c r="G2042" i="5"/>
  <c r="G1745" i="5"/>
  <c r="G2117" i="5"/>
  <c r="G1454" i="5"/>
  <c r="G1130" i="5"/>
  <c r="G1229" i="5"/>
  <c r="G257" i="5"/>
  <c r="G1805" i="5"/>
  <c r="G476" i="5"/>
  <c r="G1400" i="5"/>
  <c r="G641" i="5"/>
  <c r="G98" i="5"/>
  <c r="G74" i="5"/>
  <c r="G3128" i="5"/>
  <c r="G740" i="5"/>
  <c r="G872" i="5"/>
  <c r="G2981" i="5"/>
  <c r="G1232" i="5"/>
  <c r="G680" i="5"/>
  <c r="G2417" i="5"/>
  <c r="G980" i="5"/>
  <c r="G2294" i="5"/>
  <c r="G2225" i="5"/>
  <c r="G3092" i="5"/>
  <c r="G3005" i="5"/>
  <c r="G1487" i="5"/>
  <c r="G1790" i="5"/>
  <c r="G2807" i="5"/>
  <c r="G1640" i="5"/>
  <c r="G1604" i="5"/>
  <c r="G1841" i="5"/>
  <c r="G1115" i="5"/>
  <c r="G362" i="5"/>
  <c r="G502" i="5"/>
  <c r="G1940" i="5"/>
  <c r="G857" i="5"/>
  <c r="G2120" i="5"/>
  <c r="G1778" i="5"/>
  <c r="G1868" i="5"/>
  <c r="G2522" i="5"/>
  <c r="G2114" i="5"/>
  <c r="G2336" i="5"/>
  <c r="G2780" i="5"/>
  <c r="G1601" i="5"/>
  <c r="G608" i="5"/>
  <c r="G1007" i="5"/>
  <c r="G2792" i="5"/>
  <c r="G1829" i="5"/>
  <c r="G2444" i="5"/>
  <c r="G501" i="5"/>
  <c r="G2639" i="5"/>
  <c r="G509" i="5"/>
  <c r="G386" i="5"/>
  <c r="G356" i="5"/>
  <c r="G2471" i="5"/>
  <c r="G542" i="5"/>
  <c r="G1106" i="5"/>
  <c r="G2096" i="5"/>
  <c r="G2837" i="5"/>
  <c r="G1217" i="5"/>
  <c r="G1628" i="5"/>
  <c r="G716" i="5"/>
  <c r="G578" i="5"/>
  <c r="G1607" i="5"/>
  <c r="G2354" i="5"/>
  <c r="G632" i="5"/>
  <c r="G2078" i="5"/>
  <c r="G1394" i="5"/>
  <c r="G572" i="5"/>
  <c r="G1169" i="5"/>
  <c r="G107" i="5"/>
  <c r="G3098" i="5"/>
  <c r="G440" i="5"/>
  <c r="G1445" i="5"/>
  <c r="G1070" i="5"/>
  <c r="G335" i="5"/>
  <c r="G536" i="5"/>
  <c r="G2618" i="5"/>
  <c r="G2579" i="5"/>
  <c r="G1391" i="5"/>
  <c r="G2387" i="5"/>
  <c r="G3260" i="5"/>
  <c r="G1037" i="5"/>
  <c r="G3011" i="5"/>
  <c r="G383" i="5"/>
  <c r="G2186" i="5"/>
  <c r="G2519" i="5"/>
  <c r="G1331" i="5"/>
  <c r="G2606" i="5"/>
  <c r="G1964" i="5"/>
  <c r="G2801" i="5"/>
  <c r="G827" i="5"/>
  <c r="G2276" i="5"/>
  <c r="G2348" i="5"/>
  <c r="G2732" i="5"/>
  <c r="G1835" i="5"/>
  <c r="G2435" i="5"/>
  <c r="G2888" i="5"/>
  <c r="G2993" i="5"/>
  <c r="G1823" i="5"/>
  <c r="G2000" i="5"/>
  <c r="G1748" i="5"/>
  <c r="G2312" i="5"/>
  <c r="G1814" i="5"/>
  <c r="G1760" i="5"/>
  <c r="G497" i="5"/>
  <c r="G644" i="5"/>
  <c r="G1946" i="5"/>
  <c r="G770" i="5"/>
  <c r="G2588" i="5"/>
  <c r="G1577" i="5"/>
  <c r="G1493" i="5"/>
  <c r="G227" i="5"/>
  <c r="G215" i="5"/>
  <c r="G1997" i="5"/>
  <c r="G2168" i="5"/>
  <c r="G1292" i="5"/>
  <c r="G2693" i="5"/>
  <c r="G1451" i="5"/>
  <c r="G899" i="5"/>
  <c r="G986" i="5"/>
  <c r="G20" i="5"/>
  <c r="G1571" i="5"/>
  <c r="G344" i="5"/>
  <c r="G962" i="5"/>
  <c r="G200" i="5"/>
  <c r="G1310" i="5"/>
  <c r="G191" i="5"/>
  <c r="G3278" i="5"/>
  <c r="G3179" i="5"/>
  <c r="G3083" i="5"/>
  <c r="G3131" i="5"/>
  <c r="G2447" i="5"/>
  <c r="G1196" i="5"/>
  <c r="G2246" i="5"/>
  <c r="G1181" i="5"/>
  <c r="G2360" i="5"/>
  <c r="G2687" i="5"/>
  <c r="G194" i="5"/>
  <c r="G116" i="5"/>
  <c r="G2390" i="5"/>
  <c r="G896" i="5"/>
  <c r="G2084" i="5"/>
  <c r="G1700" i="5"/>
  <c r="G38" i="5"/>
  <c r="G2072" i="5"/>
  <c r="G2948" i="5"/>
  <c r="G575" i="5"/>
  <c r="G5" i="5"/>
  <c r="G1298" i="5"/>
  <c r="G620" i="5"/>
  <c r="G2663" i="5"/>
  <c r="G848" i="5"/>
  <c r="G3023" i="5"/>
  <c r="G1364" i="5"/>
  <c r="G1958" i="5"/>
  <c r="G1916" i="5"/>
  <c r="G443" i="5"/>
  <c r="G791" i="5"/>
  <c r="G266" i="5"/>
  <c r="G1574" i="5"/>
  <c r="G1289" i="5"/>
  <c r="G743" i="5"/>
  <c r="G2708" i="5"/>
  <c r="G1061" i="5"/>
  <c r="G2735" i="5"/>
  <c r="G461" i="5"/>
  <c r="G1943" i="5"/>
  <c r="G2825" i="5"/>
  <c r="G1148" i="5"/>
  <c r="G1649" i="5"/>
  <c r="G3110" i="5"/>
  <c r="G1241" i="5"/>
  <c r="G1133" i="5"/>
  <c r="G1019" i="5"/>
  <c r="G794" i="5"/>
  <c r="G776" i="5"/>
  <c r="G2450" i="5"/>
  <c r="G2324" i="5"/>
  <c r="G2438" i="5"/>
  <c r="G2927" i="5"/>
  <c r="G1076" i="5"/>
  <c r="G2666" i="5"/>
  <c r="G359" i="5"/>
  <c r="G185" i="5"/>
  <c r="G80" i="5"/>
  <c r="G2045" i="5"/>
  <c r="G2165" i="5"/>
  <c r="G95" i="5"/>
  <c r="G2744" i="5"/>
  <c r="G2810" i="5"/>
  <c r="G1238" i="5"/>
  <c r="G2369" i="5"/>
  <c r="G302" i="5"/>
  <c r="G2495" i="5"/>
  <c r="G2498" i="5"/>
  <c r="G1883" i="5"/>
  <c r="G548" i="5"/>
  <c r="G692" i="5"/>
  <c r="G488" i="5"/>
  <c r="G2621" i="5"/>
  <c r="G170" i="5"/>
  <c r="G2051" i="5"/>
  <c r="G545" i="5"/>
  <c r="G377" i="5"/>
  <c r="G2852" i="5"/>
  <c r="G2552" i="5"/>
  <c r="G3137" i="5"/>
  <c r="G2984" i="5"/>
  <c r="G551" i="5"/>
  <c r="G290" i="5"/>
  <c r="G2534" i="5"/>
  <c r="G956" i="5"/>
  <c r="G2726" i="5"/>
  <c r="G3233" i="5"/>
  <c r="G3068" i="5"/>
  <c r="G1913" i="5"/>
  <c r="G3245" i="5"/>
  <c r="G1376" i="5"/>
  <c r="G3014" i="5"/>
  <c r="G1448" i="5"/>
  <c r="G467" i="5"/>
  <c r="G2543" i="5"/>
  <c r="G929" i="5"/>
  <c r="G2492" i="5"/>
  <c r="G1316" i="5"/>
  <c r="G1685" i="5"/>
  <c r="G2657" i="5"/>
  <c r="G569" i="5"/>
  <c r="G392" i="5"/>
  <c r="G1466" i="5"/>
  <c r="G1637" i="5"/>
  <c r="G1172" i="5"/>
  <c r="G1424" i="5"/>
  <c r="G2753" i="5"/>
  <c r="G1856" i="5"/>
  <c r="G2504" i="5"/>
  <c r="G671" i="5"/>
  <c r="G1880" i="5"/>
  <c r="G563" i="5"/>
  <c r="G3173" i="5"/>
  <c r="G2903" i="5"/>
  <c r="G1550" i="5"/>
  <c r="G2846" i="5"/>
  <c r="G2969" i="5"/>
  <c r="G1139" i="5"/>
  <c r="G2339" i="5"/>
  <c r="G2909" i="5"/>
  <c r="G1103" i="5"/>
  <c r="G1739" i="5"/>
  <c r="G1010" i="5"/>
  <c r="G2054" i="5"/>
  <c r="G1343" i="5"/>
  <c r="G1412" i="5"/>
  <c r="G1361" i="5"/>
  <c r="G3149" i="5"/>
  <c r="G677" i="5"/>
  <c r="G2483" i="5"/>
  <c r="G800" i="5"/>
  <c r="G566" i="5"/>
  <c r="G2945" i="5"/>
  <c r="G875" i="5"/>
  <c r="G2249" i="5"/>
  <c r="G2006" i="5"/>
  <c r="G1925" i="5"/>
  <c r="G839" i="5"/>
  <c r="G2567" i="5"/>
  <c r="G1709" i="5"/>
  <c r="G1277" i="5"/>
  <c r="G761" i="5"/>
  <c r="G1274" i="5"/>
  <c r="G2264" i="5"/>
  <c r="G806" i="5"/>
  <c r="G965" i="5"/>
  <c r="G2135" i="5"/>
  <c r="G746" i="5"/>
  <c r="G3041" i="5"/>
  <c r="G2885" i="5"/>
  <c r="G3080" i="5"/>
  <c r="G2237" i="5"/>
  <c r="G1367" i="5"/>
  <c r="G68" i="5"/>
  <c r="G2570" i="5"/>
  <c r="G1610" i="5"/>
  <c r="G2738" i="5"/>
  <c r="G464" i="5"/>
  <c r="G932" i="5"/>
  <c r="G137" i="5"/>
  <c r="G908" i="5"/>
  <c r="G1349" i="5"/>
  <c r="G1295" i="5"/>
  <c r="G2099" i="5"/>
  <c r="G917" i="5"/>
  <c r="G989" i="5"/>
  <c r="G2798" i="5"/>
  <c r="G1184" i="5"/>
  <c r="G407" i="5"/>
  <c r="G431" i="5"/>
  <c r="G2396" i="5"/>
  <c r="G1937" i="5"/>
  <c r="G326" i="5"/>
  <c r="G1214" i="5"/>
  <c r="G683" i="5"/>
  <c r="G2393" i="5"/>
  <c r="G188" i="5"/>
  <c r="G2027" i="5"/>
  <c r="G971" i="5"/>
  <c r="G2219" i="5"/>
  <c r="G2270" i="5"/>
  <c r="G2591" i="5"/>
  <c r="G1118" i="5"/>
  <c r="G2228" i="5"/>
  <c r="G1067" i="5"/>
  <c r="G983" i="5"/>
  <c r="G2507" i="5"/>
  <c r="G2501" i="5"/>
  <c r="G1634" i="5"/>
  <c r="G1460" i="5"/>
  <c r="G764" i="5"/>
  <c r="G995" i="5"/>
  <c r="G1967" i="5"/>
  <c r="G1040" i="5"/>
  <c r="G3197" i="5"/>
  <c r="G3248" i="5"/>
  <c r="G719" i="5"/>
  <c r="G2030" i="5"/>
  <c r="G2081" i="5"/>
  <c r="G1922" i="5"/>
  <c r="G1994" i="5"/>
  <c r="G1850" i="5"/>
  <c r="G2255" i="5"/>
  <c r="G275" i="5"/>
  <c r="G221" i="5"/>
  <c r="G1097" i="5"/>
  <c r="G269" i="5"/>
  <c r="G437" i="5"/>
  <c r="G2600" i="5"/>
  <c r="G1016" i="5"/>
  <c r="G224" i="5"/>
  <c r="G2315" i="5"/>
  <c r="G779" i="5"/>
  <c r="G2540" i="5"/>
  <c r="G1199" i="5"/>
  <c r="G2351" i="5"/>
  <c r="G179" i="5"/>
  <c r="G1496" i="5"/>
  <c r="G2408" i="5"/>
  <c r="G713" i="5"/>
  <c r="G2891" i="5"/>
  <c r="G737" i="5"/>
  <c r="G2561" i="5"/>
  <c r="G2531" i="5"/>
  <c r="G1427" i="5"/>
  <c r="G788" i="5"/>
  <c r="G500" i="5"/>
  <c r="G1781" i="5"/>
  <c r="G296" i="5"/>
  <c r="G251" i="5"/>
  <c r="G368" i="5"/>
  <c r="G1301" i="5"/>
  <c r="G1895" i="5"/>
  <c r="G1340" i="5"/>
  <c r="G1151" i="5"/>
  <c r="G2510" i="5"/>
  <c r="G854" i="5"/>
  <c r="G599" i="5"/>
  <c r="G3254" i="5"/>
  <c r="G2258" i="5"/>
  <c r="G1553" i="5"/>
  <c r="G2477" i="5"/>
  <c r="G1082" i="5"/>
  <c r="G293" i="5"/>
  <c r="G3044" i="5"/>
  <c r="G1568" i="5"/>
  <c r="G2480" i="5"/>
  <c r="G470" i="5"/>
  <c r="G2384" i="5"/>
  <c r="G1472" i="5"/>
  <c r="G1769" i="5"/>
  <c r="G2957" i="5"/>
  <c r="G1535" i="5"/>
  <c r="G2840" i="5"/>
  <c r="G1847" i="5"/>
  <c r="G2609" i="5"/>
  <c r="G653" i="5"/>
  <c r="G218" i="5"/>
  <c r="G2372" i="5"/>
  <c r="G1736" i="5"/>
  <c r="G1586" i="5"/>
  <c r="G3161" i="5"/>
  <c r="G260" i="5"/>
  <c r="G329" i="5"/>
  <c r="G2624" i="5"/>
  <c r="G1307" i="5"/>
  <c r="G1988" i="5"/>
  <c r="G404" i="5"/>
  <c r="G305" i="5"/>
  <c r="G1976" i="5"/>
  <c r="G665" i="5"/>
  <c r="G2849" i="5"/>
  <c r="G2420" i="5"/>
  <c r="G1592" i="5"/>
  <c r="G767" i="5"/>
  <c r="G611" i="5"/>
  <c r="G374" i="5"/>
  <c r="G3134" i="5"/>
  <c r="G164" i="5"/>
  <c r="G1046" i="5"/>
  <c r="G203" i="5"/>
  <c r="G1931" i="5"/>
  <c r="G155" i="5"/>
  <c r="G1052" i="5"/>
  <c r="G3185" i="5"/>
  <c r="G1538" i="5"/>
  <c r="G821" i="5"/>
  <c r="G209" i="5"/>
  <c r="G1520" i="5"/>
  <c r="G1154" i="5"/>
  <c r="G2018" i="5"/>
  <c r="G629" i="5"/>
  <c r="G1247" i="5"/>
  <c r="G935" i="5"/>
  <c r="G1178" i="5"/>
  <c r="G1874" i="5"/>
  <c r="G134" i="5"/>
  <c r="G1328" i="5"/>
  <c r="G2756" i="5"/>
  <c r="G2573" i="5"/>
  <c r="G1706" i="5"/>
  <c r="G2066" i="5"/>
  <c r="G1691" i="5"/>
  <c r="G3059" i="5"/>
  <c r="G530" i="5"/>
  <c r="G2150" i="5"/>
  <c r="G3167" i="5"/>
  <c r="G674" i="5"/>
  <c r="G2987" i="5"/>
  <c r="G2960" i="5"/>
  <c r="G2468" i="5"/>
  <c r="G2612" i="5"/>
  <c r="G236" i="5"/>
  <c r="G2405" i="5"/>
  <c r="G2861" i="5"/>
  <c r="G1721" i="5"/>
  <c r="G104" i="5"/>
  <c r="G2003" i="5"/>
  <c r="G1727" i="5"/>
  <c r="G818" i="5"/>
  <c r="G1283" i="5"/>
  <c r="G3095" i="5"/>
  <c r="G2069" i="5"/>
  <c r="G2564" i="5"/>
  <c r="G1919" i="5"/>
  <c r="G2717" i="5"/>
  <c r="G557" i="5"/>
  <c r="G2153" i="5"/>
  <c r="G944" i="5"/>
  <c r="G401" i="5"/>
  <c r="G506" i="5"/>
  <c r="G2864" i="5"/>
  <c r="G662" i="5"/>
  <c r="G1262" i="5"/>
  <c r="G3230" i="5"/>
  <c r="G242" i="5"/>
  <c r="G1259" i="5"/>
  <c r="G3266" i="5"/>
  <c r="G773" i="5"/>
  <c r="G1631" i="5"/>
  <c r="G2963" i="5"/>
  <c r="G3104" i="5"/>
  <c r="G2675" i="5"/>
  <c r="G3155" i="5"/>
  <c r="G350" i="5"/>
  <c r="G1838" i="5"/>
  <c r="G2123" i="5"/>
  <c r="G2525" i="5"/>
  <c r="G1475" i="5"/>
  <c r="G2582" i="5"/>
  <c r="G1157" i="5"/>
  <c r="G1619" i="5"/>
  <c r="G2213" i="5"/>
  <c r="G2714" i="5"/>
  <c r="G851" i="5"/>
  <c r="G2108" i="5"/>
  <c r="G1730" i="5"/>
  <c r="G2243" i="5"/>
  <c r="G2804" i="5"/>
  <c r="G2156" i="5"/>
  <c r="G1220" i="5"/>
  <c r="G1346" i="5"/>
  <c r="G3194" i="5"/>
  <c r="G2291" i="5"/>
  <c r="G2273" i="5"/>
  <c r="G2222" i="5"/>
  <c r="G722" i="5"/>
  <c r="G1643" i="5"/>
  <c r="G2171" i="5"/>
  <c r="G2636" i="5"/>
  <c r="G1547" i="5"/>
  <c r="G2036" i="5"/>
  <c r="G452" i="5"/>
  <c r="G2630" i="5"/>
  <c r="G2162" i="5"/>
  <c r="G110" i="5"/>
  <c r="G959" i="5"/>
  <c r="G1559" i="5"/>
  <c r="G2627" i="5"/>
  <c r="G2216" i="5"/>
  <c r="G254" i="5"/>
  <c r="G349" i="5"/>
  <c r="G1979" i="5"/>
  <c r="G3203" i="5"/>
  <c r="G3170" i="5"/>
  <c r="G2318" i="5"/>
  <c r="G1034" i="5"/>
  <c r="G29" i="5"/>
  <c r="G941" i="5"/>
  <c r="G2288" i="5"/>
  <c r="G2087" i="5"/>
  <c r="G938" i="5"/>
  <c r="G2930" i="5"/>
  <c r="G2978" i="5"/>
  <c r="G348" i="5"/>
  <c r="G1100" i="5"/>
  <c r="G113" i="5"/>
  <c r="G650" i="5"/>
  <c r="G3140" i="5"/>
  <c r="G2642" i="5"/>
  <c r="G647" i="5"/>
  <c r="G2924" i="5"/>
  <c r="G3158" i="5"/>
  <c r="G83" i="5"/>
  <c r="G1766" i="5"/>
  <c r="G1286" i="5"/>
  <c r="G1313" i="5"/>
  <c r="G1688" i="5"/>
  <c r="G2711" i="5"/>
  <c r="G587" i="5"/>
  <c r="G3050" i="5"/>
  <c r="G3191" i="5"/>
  <c r="G2699" i="5"/>
  <c r="G2015" i="5"/>
  <c r="G2129" i="5"/>
  <c r="G2528" i="5"/>
  <c r="G14" i="5"/>
  <c r="G2" i="5"/>
  <c r="G125" i="5"/>
  <c r="G434" i="5"/>
  <c r="K58" i="5"/>
  <c r="J58" i="5"/>
  <c r="I58" i="5"/>
  <c r="G749" i="5"/>
  <c r="G1715" i="5"/>
  <c r="G2555" i="5"/>
  <c r="G389" i="5"/>
  <c r="G347" i="5"/>
  <c r="G413" i="5"/>
  <c r="G830" i="5"/>
  <c r="G860" i="5"/>
  <c r="G2954" i="5"/>
  <c r="G815" i="5"/>
  <c r="G3164" i="5"/>
  <c r="G1949" i="5"/>
  <c r="G2297" i="5"/>
  <c r="G65" i="5"/>
  <c r="G2429" i="5"/>
  <c r="G2090" i="5"/>
  <c r="G2231" i="5"/>
  <c r="G2024" i="5"/>
  <c r="G560" i="5"/>
  <c r="G2180" i="5"/>
  <c r="G86" i="5"/>
  <c r="G3017" i="5"/>
  <c r="G26" i="5"/>
  <c r="G2063" i="5"/>
  <c r="G3200" i="5"/>
  <c r="G2873" i="5"/>
  <c r="G3119" i="5"/>
  <c r="G1013" i="5"/>
  <c r="G1025" i="5"/>
  <c r="G1562" i="5"/>
  <c r="G2936" i="5"/>
  <c r="I27" i="5"/>
  <c r="G2021" i="5"/>
  <c r="G1832" i="5"/>
  <c r="G1541" i="5"/>
  <c r="J24" i="5"/>
  <c r="G2633" i="5"/>
  <c r="G1457" i="5"/>
  <c r="G410" i="5"/>
  <c r="G902" i="5"/>
  <c r="G284" i="5"/>
  <c r="G3026" i="5"/>
  <c r="G3071" i="5"/>
  <c r="G263" i="5"/>
  <c r="G2597" i="5"/>
  <c r="G2048" i="5"/>
  <c r="G2432" i="5"/>
  <c r="G239" i="5"/>
  <c r="G2879" i="5"/>
  <c r="G398" i="5"/>
  <c r="G1754" i="5"/>
  <c r="G1337" i="5"/>
  <c r="K8" i="5"/>
  <c r="G2750" i="5"/>
  <c r="G3107" i="5"/>
  <c r="G1796" i="5"/>
  <c r="G1589" i="5"/>
  <c r="G1244" i="5"/>
  <c r="G3086" i="5"/>
  <c r="G1793" i="5"/>
  <c r="F54" i="1"/>
  <c r="X1" i="14"/>
  <c r="AK1" i="14"/>
  <c r="B2" i="23"/>
  <c r="B5" i="14"/>
  <c r="A5" i="14"/>
  <c r="R2" i="14"/>
  <c r="BQ4" i="1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00000000-0015-0000-FFFF-FFFF01000000}" keepAlive="1" name="Query - Table1_2" description="Connection to the 'Table1_2' query in the workbook." type="5" refreshedVersion="7" background="1" saveData="1">
    <dbPr connection="Provider=Microsoft.Mashup.OleDb.1;Data Source=$Workbook$;Location=Table1_2;Extended Properties=&quot;&quot;" command="SELECT * FROM [Table1_2]"/>
  </connection>
  <connection id="3" xr16:uid="{7B8C80FC-4BDF-43E1-8D09-A035DFC7640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357273DA-D49F-497F-A73D-EC0427E1A523}" name="WorksheetConnection_analysis Chocolate Sales.xlsx!Table1_3" type="102" refreshedVersion="7" minRefreshableVersion="5">
    <extLst>
      <ext xmlns:x15="http://schemas.microsoft.com/office/spreadsheetml/2010/11/main" uri="{DE250136-89BD-433C-8126-D09CA5730AF9}">
        <x15:connection id="Table1_3" autoDelete="1">
          <x15:rangePr sourceName="_xlcn.WorksheetConnection_analysisChocolateSales.xlsxTable1_31"/>
        </x15:connection>
      </ext>
    </extLst>
  </connection>
</connections>
</file>

<file path=xl/sharedStrings.xml><?xml version="1.0" encoding="utf-8"?>
<sst xmlns="http://schemas.openxmlformats.org/spreadsheetml/2006/main" count="22140" uniqueCount="390">
  <si>
    <t>Sales Person</t>
  </si>
  <si>
    <t>Country</t>
  </si>
  <si>
    <t>Product</t>
  </si>
  <si>
    <t>Date</t>
  </si>
  <si>
    <t>Amount</t>
  </si>
  <si>
    <t>Boxes Shipped</t>
  </si>
  <si>
    <t>Jehu Rudeforth</t>
  </si>
  <si>
    <t>UK</t>
  </si>
  <si>
    <t>Mint Chip Choco</t>
  </si>
  <si>
    <t>Van Tuxwell</t>
  </si>
  <si>
    <t>India</t>
  </si>
  <si>
    <t>85% Dark Bars</t>
  </si>
  <si>
    <t>Gigi Bohling</t>
  </si>
  <si>
    <t>Peanut Butter Cubes</t>
  </si>
  <si>
    <t>Jan Morforth</t>
  </si>
  <si>
    <t>Australia</t>
  </si>
  <si>
    <t>27/04/2022</t>
  </si>
  <si>
    <t>24/02/2022</t>
  </si>
  <si>
    <t>Smooth Sliky Salty</t>
  </si>
  <si>
    <t>Oby Sorrel</t>
  </si>
  <si>
    <t>99% Dark &amp; Pure</t>
  </si>
  <si>
    <t>25/01/2022</t>
  </si>
  <si>
    <t>Gunar Cockshoot</t>
  </si>
  <si>
    <t>After Nines</t>
  </si>
  <si>
    <t>24/03/2022</t>
  </si>
  <si>
    <t>New Zealand</t>
  </si>
  <si>
    <t>50% Dark Bites</t>
  </si>
  <si>
    <t>20/04/2022</t>
  </si>
  <si>
    <t>Brien Boise</t>
  </si>
  <si>
    <t>Rafaelita Blaksland</t>
  </si>
  <si>
    <t>13/01/2022</t>
  </si>
  <si>
    <t>Barr Faughny</t>
  </si>
  <si>
    <t>USA</t>
  </si>
  <si>
    <t>Orange Choco</t>
  </si>
  <si>
    <t>Mallorie Waber</t>
  </si>
  <si>
    <t>Canada</t>
  </si>
  <si>
    <t>Eclairs</t>
  </si>
  <si>
    <t>Karlen McCaffrey</t>
  </si>
  <si>
    <t>Drinking Coco</t>
  </si>
  <si>
    <t>28/07/2022</t>
  </si>
  <si>
    <t>Marney O'Breen</t>
  </si>
  <si>
    <t>Beverie Moffet</t>
  </si>
  <si>
    <t>Organic Choco Syrup</t>
  </si>
  <si>
    <t>26/01/2022</t>
  </si>
  <si>
    <t>14/02/2022</t>
  </si>
  <si>
    <t>Roddy Speechley</t>
  </si>
  <si>
    <t>Milk Bars</t>
  </si>
  <si>
    <t>16/02/2022</t>
  </si>
  <si>
    <t>Curtice Advani</t>
  </si>
  <si>
    <t>27/06/2022</t>
  </si>
  <si>
    <t>Spicy Special Slims</t>
  </si>
  <si>
    <t>17/02/2022</t>
  </si>
  <si>
    <t>30/05/2022</t>
  </si>
  <si>
    <t>Husein Augar</t>
  </si>
  <si>
    <t>14/03/2022</t>
  </si>
  <si>
    <t>Kaine Padly</t>
  </si>
  <si>
    <t>28/02/2022</t>
  </si>
  <si>
    <t>Fruit &amp; Nut Bars</t>
  </si>
  <si>
    <t>Dennison Crosswaite</t>
  </si>
  <si>
    <t>White Choc</t>
  </si>
  <si>
    <t>Manuka Honey Choco</t>
  </si>
  <si>
    <t>15/06/2022</t>
  </si>
  <si>
    <t>24/05/2022</t>
  </si>
  <si>
    <t>29/06/2022</t>
  </si>
  <si>
    <t>Wilone O'Kielt</t>
  </si>
  <si>
    <t>Almond Choco</t>
  </si>
  <si>
    <t>30/06/2022</t>
  </si>
  <si>
    <t>Andria Kimpton</t>
  </si>
  <si>
    <t>22/07/2022</t>
  </si>
  <si>
    <t>24/08/2022</t>
  </si>
  <si>
    <t>Kelci Walkden</t>
  </si>
  <si>
    <t>Camilla Castle</t>
  </si>
  <si>
    <t>19/05/2022</t>
  </si>
  <si>
    <t>Raspberry Choco</t>
  </si>
  <si>
    <t>15/04/2022</t>
  </si>
  <si>
    <t>Choco Coated Almonds</t>
  </si>
  <si>
    <t>23/02/2022</t>
  </si>
  <si>
    <t>Madelene Upcott</t>
  </si>
  <si>
    <t>22/08/2022</t>
  </si>
  <si>
    <t>Dotty Strutley</t>
  </si>
  <si>
    <t>19/07/2022</t>
  </si>
  <si>
    <t>19/04/2022</t>
  </si>
  <si>
    <t>15/07/2022</t>
  </si>
  <si>
    <t>Ches Bonnell</t>
  </si>
  <si>
    <t>18/05/2022</t>
  </si>
  <si>
    <t>28/06/2022</t>
  </si>
  <si>
    <t>16/05/2022</t>
  </si>
  <si>
    <t>Baker's Choco Chips</t>
  </si>
  <si>
    <t>26/05/2022</t>
  </si>
  <si>
    <t>27/05/2022</t>
  </si>
  <si>
    <t>Caramel Stuffed Bars</t>
  </si>
  <si>
    <t>14/04/2022</t>
  </si>
  <si>
    <t>20/06/2022</t>
  </si>
  <si>
    <t>26/08/2022</t>
  </si>
  <si>
    <t>13/07/2022</t>
  </si>
  <si>
    <t>27/01/2022</t>
  </si>
  <si>
    <t>31/01/2022</t>
  </si>
  <si>
    <t>18/08/2022</t>
  </si>
  <si>
    <t>23/08/2022</t>
  </si>
  <si>
    <t>25/05/2022</t>
  </si>
  <si>
    <t>70% Dark Bites</t>
  </si>
  <si>
    <t>26/07/2022</t>
  </si>
  <si>
    <t>28/03/2022</t>
  </si>
  <si>
    <t>25/08/2022</t>
  </si>
  <si>
    <t>25/02/2022</t>
  </si>
  <si>
    <t>19/01/2022</t>
  </si>
  <si>
    <t>24/01/2022</t>
  </si>
  <si>
    <t>28/01/2022</t>
  </si>
  <si>
    <t>16/03/2022</t>
  </si>
  <si>
    <t>21/02/2022</t>
  </si>
  <si>
    <t>23/03/2022</t>
  </si>
  <si>
    <t>16/06/2022</t>
  </si>
  <si>
    <t>15/08/2022</t>
  </si>
  <si>
    <t>25/07/2022</t>
  </si>
  <si>
    <t>25/04/2022</t>
  </si>
  <si>
    <t>18/01/2022</t>
  </si>
  <si>
    <t>29/04/2022</t>
  </si>
  <si>
    <t>31/03/2022</t>
  </si>
  <si>
    <t>29/03/2022</t>
  </si>
  <si>
    <t>20/05/2022</t>
  </si>
  <si>
    <t>29/07/2022</t>
  </si>
  <si>
    <t>13/04/2022</t>
  </si>
  <si>
    <t>14/01/2022</t>
  </si>
  <si>
    <t>17/03/2022</t>
  </si>
  <si>
    <t>21/01/2022</t>
  </si>
  <si>
    <t>22/02/2022</t>
  </si>
  <si>
    <t>31/05/2022</t>
  </si>
  <si>
    <t>14/06/2022</t>
  </si>
  <si>
    <t>13/06/2022</t>
  </si>
  <si>
    <t>27/07/2022</t>
  </si>
  <si>
    <t>13/05/2022</t>
  </si>
  <si>
    <t>15/03/2022</t>
  </si>
  <si>
    <t>25/03/2022</t>
  </si>
  <si>
    <t>18/03/2022</t>
  </si>
  <si>
    <t>22/04/2022</t>
  </si>
  <si>
    <t>17/08/2022</t>
  </si>
  <si>
    <t>23/05/2022</t>
  </si>
  <si>
    <t>19/08/2022</t>
  </si>
  <si>
    <t>21/04/2022</t>
  </si>
  <si>
    <t>22/03/2022</t>
  </si>
  <si>
    <t>30/08/2022</t>
  </si>
  <si>
    <t>21/07/2022</t>
  </si>
  <si>
    <t>23/06/2022</t>
  </si>
  <si>
    <t>24/06/2022</t>
  </si>
  <si>
    <t>17/05/2022</t>
  </si>
  <si>
    <t>18/07/2022</t>
  </si>
  <si>
    <t>21/06/2022</t>
  </si>
  <si>
    <t>22/06/2022</t>
  </si>
  <si>
    <t>21/03/2022</t>
  </si>
  <si>
    <t>15/02/2022</t>
  </si>
  <si>
    <t>31/08/2022</t>
  </si>
  <si>
    <t>26/04/2022</t>
  </si>
  <si>
    <t>17/01/2022</t>
  </si>
  <si>
    <t>17/06/2022</t>
  </si>
  <si>
    <t>18/04/2022</t>
  </si>
  <si>
    <t>30/03/2022</t>
  </si>
  <si>
    <t>16/08/2022</t>
  </si>
  <si>
    <t>18/02/2022</t>
  </si>
  <si>
    <t>20/07/2022</t>
  </si>
  <si>
    <t>28/04/2022</t>
  </si>
  <si>
    <t>14/07/2022</t>
  </si>
  <si>
    <t>20/01/2022</t>
  </si>
  <si>
    <t>27/04/2023</t>
  </si>
  <si>
    <t>24/02/2023</t>
  </si>
  <si>
    <t>25/01/2023</t>
  </si>
  <si>
    <t>24/03/2023</t>
  </si>
  <si>
    <t>20/04/2023</t>
  </si>
  <si>
    <t>13/01/2023</t>
  </si>
  <si>
    <t>28/07/2023</t>
  </si>
  <si>
    <t>26/01/2023</t>
  </si>
  <si>
    <t>14/02/2023</t>
  </si>
  <si>
    <t>16/02/2023</t>
  </si>
  <si>
    <t>27/06/2023</t>
  </si>
  <si>
    <t>17/02/2023</t>
  </si>
  <si>
    <t>30/05/2023</t>
  </si>
  <si>
    <t>14/03/2023</t>
  </si>
  <si>
    <t>28/02/2023</t>
  </si>
  <si>
    <t>15/06/2023</t>
  </si>
  <si>
    <t>24/05/2023</t>
  </si>
  <si>
    <t>29/06/2023</t>
  </si>
  <si>
    <t>30/06/2023</t>
  </si>
  <si>
    <t>22/07/2023</t>
  </si>
  <si>
    <t>24/08/2023</t>
  </si>
  <si>
    <t>19/05/2023</t>
  </si>
  <si>
    <t>15/04/2023</t>
  </si>
  <si>
    <t>23/02/2023</t>
  </si>
  <si>
    <t>22/08/2023</t>
  </si>
  <si>
    <t>19/07/2023</t>
  </si>
  <si>
    <t>19/04/2023</t>
  </si>
  <si>
    <t>15/07/2023</t>
  </si>
  <si>
    <t>18/05/2023</t>
  </si>
  <si>
    <t>28/06/2023</t>
  </si>
  <si>
    <t>16/05/2023</t>
  </si>
  <si>
    <t>26/05/2023</t>
  </si>
  <si>
    <t>27/05/2023</t>
  </si>
  <si>
    <t>14/04/2023</t>
  </si>
  <si>
    <t>20/06/2023</t>
  </si>
  <si>
    <t>26/08/2023</t>
  </si>
  <si>
    <t>13/07/2023</t>
  </si>
  <si>
    <t>27/01/2023</t>
  </si>
  <si>
    <t>31/01/2023</t>
  </si>
  <si>
    <t>18/08/2023</t>
  </si>
  <si>
    <t>23/08/2023</t>
  </si>
  <si>
    <t>25/05/2023</t>
  </si>
  <si>
    <t>26/07/2023</t>
  </si>
  <si>
    <t>28/03/2023</t>
  </si>
  <si>
    <t>25/08/2023</t>
  </si>
  <si>
    <t>25/02/2023</t>
  </si>
  <si>
    <t>19/01/2023</t>
  </si>
  <si>
    <t>24/01/2023</t>
  </si>
  <si>
    <t>28/01/2023</t>
  </si>
  <si>
    <t>16/03/2023</t>
  </si>
  <si>
    <t>21/02/2023</t>
  </si>
  <si>
    <t>23/03/2023</t>
  </si>
  <si>
    <t>16/06/2023</t>
  </si>
  <si>
    <t>15/08/2023</t>
  </si>
  <si>
    <t>25/07/2023</t>
  </si>
  <si>
    <t>25/04/2023</t>
  </si>
  <si>
    <t>18/01/2023</t>
  </si>
  <si>
    <t>29/04/2023</t>
  </si>
  <si>
    <t>31/03/2023</t>
  </si>
  <si>
    <t>29/03/2023</t>
  </si>
  <si>
    <t>20/05/2023</t>
  </si>
  <si>
    <t>29/07/2023</t>
  </si>
  <si>
    <t>13/04/2023</t>
  </si>
  <si>
    <t>14/01/2023</t>
  </si>
  <si>
    <t>17/03/2023</t>
  </si>
  <si>
    <t>21/01/2023</t>
  </si>
  <si>
    <t>22/02/2023</t>
  </si>
  <si>
    <t>31/05/2023</t>
  </si>
  <si>
    <t>14/06/2023</t>
  </si>
  <si>
    <t>13/06/2023</t>
  </si>
  <si>
    <t>27/07/2023</t>
  </si>
  <si>
    <t>13/05/2023</t>
  </si>
  <si>
    <t>15/03/2023</t>
  </si>
  <si>
    <t>25/03/2023</t>
  </si>
  <si>
    <t>18/03/2023</t>
  </si>
  <si>
    <t>22/04/2023</t>
  </si>
  <si>
    <t>17/08/2023</t>
  </si>
  <si>
    <t>23/05/2023</t>
  </si>
  <si>
    <t>19/08/2023</t>
  </si>
  <si>
    <t>21/04/2023</t>
  </si>
  <si>
    <t>22/03/2023</t>
  </si>
  <si>
    <t>30/08/2023</t>
  </si>
  <si>
    <t>21/07/2023</t>
  </si>
  <si>
    <t>23/06/2023</t>
  </si>
  <si>
    <t>24/06/2023</t>
  </si>
  <si>
    <t>17/05/2023</t>
  </si>
  <si>
    <t>18/07/2023</t>
  </si>
  <si>
    <t>21/06/2023</t>
  </si>
  <si>
    <t>22/06/2023</t>
  </si>
  <si>
    <t>21/03/2023</t>
  </si>
  <si>
    <t>15/02/2023</t>
  </si>
  <si>
    <t>31/08/2023</t>
  </si>
  <si>
    <t>26/04/2023</t>
  </si>
  <si>
    <t>17/01/2023</t>
  </si>
  <si>
    <t>17/06/2023</t>
  </si>
  <si>
    <t>18/04/2023</t>
  </si>
  <si>
    <t>30/03/2023</t>
  </si>
  <si>
    <t>16/08/2023</t>
  </si>
  <si>
    <t>18/02/2023</t>
  </si>
  <si>
    <t>20/07/2023</t>
  </si>
  <si>
    <t>28/04/2023</t>
  </si>
  <si>
    <t>14/07/2023</t>
  </si>
  <si>
    <t>20/01/2023</t>
  </si>
  <si>
    <t>27/04/2024</t>
  </si>
  <si>
    <t>24/02/2024</t>
  </si>
  <si>
    <t>25/01/2024</t>
  </si>
  <si>
    <t>24/03/2024</t>
  </si>
  <si>
    <t>20/04/2024</t>
  </si>
  <si>
    <t>13/01/2024</t>
  </si>
  <si>
    <t>28/07/2024</t>
  </si>
  <si>
    <t>26/01/2024</t>
  </si>
  <si>
    <t>14/02/2024</t>
  </si>
  <si>
    <t>16/02/2024</t>
  </si>
  <si>
    <t>27/06/2024</t>
  </si>
  <si>
    <t>17/02/2024</t>
  </si>
  <si>
    <t>30/05/2024</t>
  </si>
  <si>
    <t>14/03/2024</t>
  </si>
  <si>
    <t>28/02/2024</t>
  </si>
  <si>
    <t>15/06/2024</t>
  </si>
  <si>
    <t>24/05/2024</t>
  </si>
  <si>
    <t>29/06/2024</t>
  </si>
  <si>
    <t>30/06/2024</t>
  </si>
  <si>
    <t>22/07/2024</t>
  </si>
  <si>
    <t>24/08/2024</t>
  </si>
  <si>
    <t>19/05/2024</t>
  </si>
  <si>
    <t>15/04/2024</t>
  </si>
  <si>
    <t>23/02/2024</t>
  </si>
  <si>
    <t>22/08/2024</t>
  </si>
  <si>
    <t>19/07/2024</t>
  </si>
  <si>
    <t>19/04/2024</t>
  </si>
  <si>
    <t>15/07/2024</t>
  </si>
  <si>
    <t>18/05/2024</t>
  </si>
  <si>
    <t>28/06/2024</t>
  </si>
  <si>
    <t>16/05/2024</t>
  </si>
  <si>
    <t>26/05/2024</t>
  </si>
  <si>
    <t>27/05/2024</t>
  </si>
  <si>
    <t>14/04/2024</t>
  </si>
  <si>
    <t>20/06/2024</t>
  </si>
  <si>
    <t>26/08/2024</t>
  </si>
  <si>
    <t>13/07/2024</t>
  </si>
  <si>
    <t>27/01/2024</t>
  </si>
  <si>
    <t>31/01/2024</t>
  </si>
  <si>
    <t>18/08/2024</t>
  </si>
  <si>
    <t>23/08/2024</t>
  </si>
  <si>
    <t>25/05/2024</t>
  </si>
  <si>
    <t>26/07/2024</t>
  </si>
  <si>
    <t>28/03/2024</t>
  </si>
  <si>
    <t>25/08/2024</t>
  </si>
  <si>
    <t>25/02/2024</t>
  </si>
  <si>
    <t>19/01/2024</t>
  </si>
  <si>
    <t>24/01/2024</t>
  </si>
  <si>
    <t>28/01/2024</t>
  </si>
  <si>
    <t>16/03/2024</t>
  </si>
  <si>
    <t>21/02/2024</t>
  </si>
  <si>
    <t>23/03/2024</t>
  </si>
  <si>
    <t>16/06/2024</t>
  </si>
  <si>
    <t>15/08/2024</t>
  </si>
  <si>
    <t>25/07/2024</t>
  </si>
  <si>
    <t>25/04/2024</t>
  </si>
  <si>
    <t>18/01/2024</t>
  </si>
  <si>
    <t>29/04/2024</t>
  </si>
  <si>
    <t>31/03/2024</t>
  </si>
  <si>
    <t>29/03/2024</t>
  </si>
  <si>
    <t>20/05/2024</t>
  </si>
  <si>
    <t>29/07/2024</t>
  </si>
  <si>
    <t>13/04/2024</t>
  </si>
  <si>
    <t>14/01/2024</t>
  </si>
  <si>
    <t>17/03/2024</t>
  </si>
  <si>
    <t>21/01/2024</t>
  </si>
  <si>
    <t>22/02/2024</t>
  </si>
  <si>
    <t>31/05/2024</t>
  </si>
  <si>
    <t>14/06/2024</t>
  </si>
  <si>
    <t>13/06/2024</t>
  </si>
  <si>
    <t>27/07/2024</t>
  </si>
  <si>
    <t>13/05/2024</t>
  </si>
  <si>
    <t>15/03/2024</t>
  </si>
  <si>
    <t>25/03/2024</t>
  </si>
  <si>
    <t>18/03/2024</t>
  </si>
  <si>
    <t>22/04/2024</t>
  </si>
  <si>
    <t>17/08/2024</t>
  </si>
  <si>
    <t>23/05/2024</t>
  </si>
  <si>
    <t>19/08/2024</t>
  </si>
  <si>
    <t>21/04/2024</t>
  </si>
  <si>
    <t>22/03/2024</t>
  </si>
  <si>
    <t>30/08/2024</t>
  </si>
  <si>
    <t>21/07/2024</t>
  </si>
  <si>
    <t>23/06/2024</t>
  </si>
  <si>
    <t>24/06/2024</t>
  </si>
  <si>
    <t>17/05/2024</t>
  </si>
  <si>
    <t>18/07/2024</t>
  </si>
  <si>
    <t>21/06/2024</t>
  </si>
  <si>
    <t>22/06/2024</t>
  </si>
  <si>
    <t>21/03/2024</t>
  </si>
  <si>
    <t>15/02/2024</t>
  </si>
  <si>
    <t>31/08/2024</t>
  </si>
  <si>
    <t>26/04/2024</t>
  </si>
  <si>
    <t>17/01/2024</t>
  </si>
  <si>
    <t>17/06/2024</t>
  </si>
  <si>
    <t>18/04/2024</t>
  </si>
  <si>
    <t>30/03/2024</t>
  </si>
  <si>
    <t>16/08/2024</t>
  </si>
  <si>
    <t>18/02/2024</t>
  </si>
  <si>
    <t>20/07/2024</t>
  </si>
  <si>
    <t>28/04/2024</t>
  </si>
  <si>
    <t>14/07/2024</t>
  </si>
  <si>
    <t>20/01/2024</t>
  </si>
  <si>
    <t>Sum of Amount</t>
  </si>
  <si>
    <t>Column Labels</t>
  </si>
  <si>
    <t>Grand Total</t>
  </si>
  <si>
    <t>Row Labels</t>
  </si>
  <si>
    <t>Values</t>
  </si>
  <si>
    <t>Sum of Boxes Shipped</t>
  </si>
  <si>
    <t>2022</t>
  </si>
  <si>
    <t>2023</t>
  </si>
  <si>
    <t>2024</t>
  </si>
  <si>
    <t>Count of Sales Person</t>
  </si>
  <si>
    <t>Sum of Amount2</t>
  </si>
  <si>
    <t>Count of Amount</t>
  </si>
  <si>
    <t>Type (C&amp;D)</t>
  </si>
  <si>
    <t>Contract</t>
  </si>
  <si>
    <t>Deal</t>
  </si>
  <si>
    <t>Deals by year</t>
  </si>
  <si>
    <t>Distinct Count of Product</t>
  </si>
  <si>
    <t>Distinct Count of Country</t>
  </si>
  <si>
    <t>Distinct Count of Sales Person</t>
  </si>
  <si>
    <t>Growth %</t>
  </si>
  <si>
    <t>(All)</t>
  </si>
  <si>
    <t>Count of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</si>
</sst>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dd\-mm\-yyyy"/>
    <numFmt numFmtId="165" formatCode="_(* #,##0_);_(* \(#,##0\);_(* &quot;-&quot;??_);_(@_)"/>
    <numFmt numFmtId="166" formatCode="#,##0.0,,\ &quot;M&quot;"/>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8"/>
      <name val="Calibri"/>
      <family val="2"/>
      <scheme val="minor"/>
    </font>
    <font>
      <b/>
      <sz val="14"/>
      <color theme="0"/>
      <name val="Calibri"/>
      <family val="2"/>
      <scheme val="minor"/>
    </font>
    <font>
      <sz val="1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0000"/>
        <bgColor indexed="64"/>
      </patternFill>
    </fill>
    <fill>
      <patternFill patternType="solid">
        <fgColor theme="0"/>
        <bgColor indexed="64"/>
      </patternFill>
    </fill>
    <fill>
      <patternFill patternType="solid">
        <fgColor theme="7" tint="0.59999389629810485"/>
        <bgColor indexed="64"/>
      </patternFill>
    </fill>
    <fill>
      <patternFill patternType="solid">
        <fgColor theme="4"/>
        <bgColor theme="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top/>
      <bottom style="medium">
        <color indexed="64"/>
      </bottom>
      <diagonal/>
    </border>
    <border>
      <left/>
      <right/>
      <top style="medium">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50">
    <xf numFmtId="0" fontId="0" fillId="0" borderId="0" xfId="0"/>
    <xf numFmtId="14" fontId="0" fillId="0" borderId="0" xfId="0" applyNumberFormat="1"/>
    <xf numFmtId="3" fontId="0" fillId="0" borderId="0" xfId="0" applyNumberFormat="1"/>
    <xf numFmtId="0" fontId="0" fillId="0" borderId="0" xfId="0" applyNumberFormat="1"/>
    <xf numFmtId="0" fontId="16" fillId="33" borderId="10" xfId="0" applyFont="1" applyFill="1" applyBorder="1"/>
    <xf numFmtId="0" fontId="0" fillId="0" borderId="0" xfId="0" pivotButton="1"/>
    <xf numFmtId="0" fontId="0" fillId="0" borderId="0" xfId="0" applyAlignment="1">
      <alignment horizontal="left"/>
    </xf>
    <xf numFmtId="164" fontId="0" fillId="0" borderId="0" xfId="0" applyNumberFormat="1"/>
    <xf numFmtId="0" fontId="0" fillId="0" borderId="11" xfId="0" applyBorder="1"/>
    <xf numFmtId="0" fontId="17" fillId="35" borderId="0" xfId="0" applyFont="1" applyFill="1"/>
    <xf numFmtId="0" fontId="0" fillId="36" borderId="11" xfId="0" applyFill="1" applyBorder="1"/>
    <xf numFmtId="0" fontId="18" fillId="0" borderId="11" xfId="0" applyFont="1" applyBorder="1"/>
    <xf numFmtId="0" fontId="20" fillId="34" borderId="11" xfId="0" applyFont="1" applyFill="1" applyBorder="1" applyAlignment="1">
      <alignment horizontal="center"/>
    </xf>
    <xf numFmtId="0" fontId="0" fillId="0" borderId="0" xfId="0" applyBorder="1"/>
    <xf numFmtId="0" fontId="21" fillId="36" borderId="11" xfId="0" applyFont="1" applyFill="1" applyBorder="1"/>
    <xf numFmtId="14" fontId="0" fillId="0" borderId="0" xfId="0" applyNumberFormat="1" applyAlignment="1">
      <alignment horizontal="left"/>
    </xf>
    <xf numFmtId="10" fontId="0" fillId="0" borderId="0" xfId="0" applyNumberFormat="1"/>
    <xf numFmtId="2" fontId="0" fillId="0" borderId="0" xfId="0" applyNumberFormat="1"/>
    <xf numFmtId="165" fontId="0" fillId="0" borderId="0" xfId="0" applyNumberFormat="1"/>
    <xf numFmtId="43" fontId="0" fillId="0" borderId="0" xfId="0" applyNumberFormat="1"/>
    <xf numFmtId="165" fontId="0" fillId="0" borderId="0" xfId="42" applyNumberFormat="1" applyFont="1"/>
    <xf numFmtId="166" fontId="0" fillId="0" borderId="0" xfId="42" applyNumberFormat="1" applyFont="1"/>
    <xf numFmtId="0" fontId="0" fillId="0" borderId="13" xfId="0" applyFont="1" applyBorder="1"/>
    <xf numFmtId="0" fontId="0" fillId="0" borderId="14" xfId="0" applyFont="1" applyBorder="1"/>
    <xf numFmtId="0" fontId="0" fillId="0" borderId="15" xfId="0" applyFont="1" applyBorder="1"/>
    <xf numFmtId="0" fontId="13" fillId="37" borderId="16" xfId="0" applyFont="1" applyFill="1" applyBorder="1"/>
    <xf numFmtId="0" fontId="13" fillId="37" borderId="12" xfId="0" applyFont="1" applyFill="1" applyBorder="1"/>
    <xf numFmtId="164" fontId="13" fillId="37" borderId="12" xfId="0" applyNumberFormat="1" applyFont="1" applyFill="1" applyBorder="1"/>
    <xf numFmtId="3" fontId="13" fillId="37" borderId="12" xfId="0" applyNumberFormat="1" applyFont="1" applyFill="1" applyBorder="1"/>
    <xf numFmtId="0" fontId="13" fillId="37" borderId="17" xfId="0" applyFont="1" applyFill="1" applyBorder="1"/>
    <xf numFmtId="0" fontId="0" fillId="33" borderId="16" xfId="0" applyFont="1" applyFill="1" applyBorder="1"/>
    <xf numFmtId="0" fontId="0" fillId="33" borderId="12" xfId="0" applyFont="1" applyFill="1" applyBorder="1"/>
    <xf numFmtId="14" fontId="0" fillId="33" borderId="12" xfId="0" applyNumberFormat="1" applyFont="1" applyFill="1" applyBorder="1"/>
    <xf numFmtId="3" fontId="0" fillId="33" borderId="12" xfId="0" applyNumberFormat="1" applyFont="1" applyFill="1" applyBorder="1"/>
    <xf numFmtId="0" fontId="0" fillId="33" borderId="17" xfId="0" applyFont="1" applyFill="1" applyBorder="1"/>
    <xf numFmtId="0" fontId="0" fillId="0" borderId="16" xfId="0" applyFont="1" applyBorder="1"/>
    <xf numFmtId="0" fontId="0" fillId="0" borderId="12" xfId="0" applyFont="1" applyBorder="1"/>
    <xf numFmtId="14" fontId="0" fillId="0" borderId="12" xfId="0" applyNumberFormat="1" applyFont="1" applyBorder="1"/>
    <xf numFmtId="3" fontId="0" fillId="0" borderId="12" xfId="0" applyNumberFormat="1" applyFont="1" applyBorder="1"/>
    <xf numFmtId="0" fontId="0" fillId="0" borderId="17" xfId="0" applyFont="1" applyBorder="1"/>
    <xf numFmtId="164" fontId="0" fillId="33" borderId="12" xfId="0" applyNumberFormat="1" applyFont="1" applyFill="1" applyBorder="1"/>
    <xf numFmtId="164" fontId="0" fillId="0" borderId="12" xfId="0" applyNumberFormat="1" applyFont="1" applyBorder="1"/>
    <xf numFmtId="3" fontId="0" fillId="0" borderId="14" xfId="0" applyNumberFormat="1" applyFont="1" applyBorder="1"/>
    <xf numFmtId="0" fontId="0" fillId="0" borderId="0" xfId="0" applyFill="1" applyBorder="1" applyAlignment="1"/>
    <xf numFmtId="0" fontId="0" fillId="0" borderId="18" xfId="0" applyFill="1" applyBorder="1" applyAlignment="1"/>
    <xf numFmtId="0" fontId="18" fillId="0" borderId="19" xfId="0" applyFont="1" applyFill="1" applyBorder="1" applyAlignment="1">
      <alignment horizontal="center"/>
    </xf>
    <xf numFmtId="0" fontId="0" fillId="0" borderId="0" xfId="0" applyAlignment="1">
      <alignment horizontal="left" indent="1"/>
    </xf>
    <xf numFmtId="0" fontId="16" fillId="0" borderId="10" xfId="0" applyNumberFormat="1" applyFont="1" applyBorder="1"/>
    <xf numFmtId="165" fontId="16" fillId="33" borderId="10" xfId="42" applyNumberFormat="1" applyFont="1" applyFill="1" applyBorder="1"/>
    <xf numFmtId="166"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2" formatCode="0.00"/>
    </dxf>
    <dxf>
      <numFmt numFmtId="165" formatCode="_(* #,##0_);_(* \(#,##0\);_(* &quot;-&quot;??_);_(@_)"/>
    </dxf>
    <dxf>
      <numFmt numFmtId="166" formatCode="#,##0.0,,\ &quot;M&quot;"/>
    </dxf>
    <dxf>
      <numFmt numFmtId="166" formatCode="#,##0.0,,\ &quot;M&quot;"/>
    </dxf>
    <dxf>
      <numFmt numFmtId="0" formatCode="General"/>
    </dxf>
    <dxf>
      <numFmt numFmtId="19" formatCode="m/d/yyyy"/>
    </dxf>
    <dxf>
      <font>
        <b/>
        <i val="0"/>
        <sz val="18"/>
        <color theme="5" tint="-0.499984740745262"/>
        <name val="Calibri"/>
        <family val="2"/>
        <scheme val="minor"/>
      </font>
      <fill>
        <patternFill>
          <bgColor theme="0"/>
        </patternFill>
      </fill>
      <border diagonalUp="0" diagonalDown="0">
        <left style="thin">
          <color auto="1"/>
        </left>
        <right style="thin">
          <color auto="1"/>
        </right>
        <top style="thin">
          <color auto="1"/>
        </top>
        <bottom style="thin">
          <color auto="1"/>
        </bottom>
        <vertical/>
        <horizontal/>
      </border>
    </dxf>
    <dxf>
      <fill>
        <patternFill patternType="solid">
          <fgColor theme="0"/>
          <bgColor theme="5" tint="-0.499984740745262"/>
        </patternFill>
      </fill>
      <border diagonalUp="0" diagonalDown="0">
        <left/>
        <right/>
        <top/>
        <bottom/>
        <vertical/>
        <horizontal/>
      </border>
    </dxf>
    <dxf>
      <font>
        <b/>
        <i val="0"/>
        <sz val="28"/>
        <color theme="0"/>
        <name val="Calibri"/>
        <family val="2"/>
        <scheme val="minor"/>
      </font>
      <fill>
        <patternFill>
          <bgColor theme="5" tint="-0.499984740745262"/>
        </patternFill>
      </fill>
      <border diagonalUp="0" diagonalDown="0">
        <left/>
        <right/>
        <top/>
        <bottom/>
        <vertical/>
        <horizontal/>
      </border>
    </dxf>
    <dxf>
      <font>
        <b/>
        <i val="0"/>
        <sz val="16"/>
        <color auto="1"/>
        <name val="Calibri"/>
        <family val="2"/>
        <scheme val="minor"/>
      </font>
      <fill>
        <patternFill>
          <bgColor theme="5" tint="-0.499984740745262"/>
        </patternFill>
      </fill>
      <border diagonalUp="0" diagonalDown="0">
        <left style="thin">
          <color auto="1"/>
        </left>
        <right style="thin">
          <color auto="1"/>
        </right>
        <top style="thin">
          <color auto="1"/>
        </top>
        <bottom style="thin">
          <color auto="1"/>
        </bottom>
        <vertical/>
        <horizontal/>
      </border>
    </dxf>
  </dxfs>
  <tableStyles count="2" defaultTableStyle="TableStyleMedium2" defaultPivotStyle="PivotStyleLight16">
    <tableStyle name="Project" pivot="0" table="0" count="8" xr9:uid="{F70EBC62-B997-4E4C-9F69-9A8458E2A220}">
      <tableStyleElement type="wholeTable" dxfId="9"/>
      <tableStyleElement type="headerRow" dxfId="8"/>
    </tableStyle>
    <tableStyle name="Timeline Style 1" pivot="0" table="0" count="9" xr9:uid="{6625189A-8C4C-418F-8184-F074C3BE4565}">
      <tableStyleElement type="wholeTable" dxfId="7"/>
      <tableStyleElement type="headerRow" dxfId="6"/>
    </tableStyle>
  </tableStyles>
  <colors>
    <mruColors>
      <color rgb="FF663300"/>
      <color rgb="FFFFFFFF"/>
    </mruColors>
  </colors>
  <extLst>
    <ext xmlns:x14="http://schemas.microsoft.com/office/spreadsheetml/2009/9/main" uri="{46F421CA-312F-682f-3DD2-61675219B42D}">
      <x14:dxfs count="6">
        <dxf>
          <font>
            <b/>
            <i val="0"/>
            <sz val="28"/>
            <name val="Calibri"/>
            <family val="2"/>
            <scheme val="minor"/>
          </font>
          <fill>
            <patternFill>
              <bgColor theme="0"/>
            </patternFill>
          </fill>
          <border>
            <left style="thin">
              <color auto="1"/>
            </left>
            <right style="thin">
              <color auto="1"/>
            </right>
            <top style="thin">
              <color auto="1"/>
            </top>
            <bottom style="thin">
              <color auto="1"/>
            </bottom>
          </border>
        </dxf>
        <dxf>
          <font>
            <b/>
            <i val="0"/>
            <sz val="28"/>
            <name val="Calibri"/>
            <family val="2"/>
            <scheme val="minor"/>
          </font>
          <fill>
            <patternFill>
              <bgColor theme="0"/>
            </patternFill>
          </fill>
          <border>
            <left style="thin">
              <color auto="1"/>
            </left>
            <right style="thin">
              <color auto="1"/>
            </right>
            <top style="thin">
              <color auto="1"/>
            </top>
            <bottom style="thin">
              <color auto="1"/>
            </bottom>
          </border>
        </dxf>
        <dxf>
          <font>
            <b/>
            <i val="0"/>
            <sz val="28"/>
            <name val="Calibri"/>
            <family val="2"/>
            <scheme val="minor"/>
          </font>
          <fill>
            <patternFill>
              <bgColor theme="0"/>
            </patternFill>
          </fill>
          <border>
            <left style="double">
              <color auto="1"/>
            </left>
            <right style="double">
              <color auto="1"/>
            </right>
            <top style="double">
              <color auto="1"/>
            </top>
            <bottom style="double">
              <color auto="1"/>
            </bottom>
          </border>
        </dxf>
        <dxf>
          <font>
            <b/>
            <i val="0"/>
            <sz val="16"/>
            <name val="Calibri"/>
            <family val="2"/>
            <scheme val="minor"/>
          </font>
          <fill>
            <patternFill>
              <bgColor theme="5" tint="0.39994506668294322"/>
            </patternFill>
          </fill>
          <border>
            <left style="thin">
              <color auto="1"/>
            </left>
            <right style="thin">
              <color auto="1"/>
            </right>
            <top style="thin">
              <color auto="1"/>
            </top>
            <bottom style="thin">
              <color auto="1"/>
            </bottom>
          </border>
        </dxf>
        <dxf>
          <font>
            <b/>
            <i val="0"/>
            <sz val="18"/>
            <name val="Calibri"/>
            <family val="2"/>
            <scheme val="minor"/>
          </font>
          <fill>
            <patternFill>
              <bgColor theme="6" tint="0.79998168889431442"/>
            </patternFill>
          </fill>
          <border>
            <left style="thin">
              <color auto="1"/>
            </left>
            <right style="thin">
              <color auto="1"/>
            </right>
            <top style="thin">
              <color auto="1"/>
            </top>
            <bottom style="thin">
              <color auto="1"/>
            </bottom>
          </border>
        </dxf>
        <dxf>
          <font>
            <b/>
            <i val="0"/>
            <sz val="18"/>
            <name val="Calibri"/>
            <family val="2"/>
            <scheme val="minor"/>
          </font>
          <fill>
            <patternFill>
              <bgColor theme="5" tint="0.59996337778862885"/>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Project">
          <x14:slicerStyleElements>
            <x14:slicerStyleElement type="unselectedItemWith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7">
        <dxf>
          <fill>
            <patternFill>
              <bgColor theme="0"/>
            </patternFill>
          </fill>
        </dxf>
        <dxf>
          <fill>
            <patternFill>
              <bgColor theme="2" tint="-9.9948118533890809E-2"/>
            </patternFill>
          </fill>
        </dxf>
        <dxf>
          <fill>
            <patternFill patternType="solid">
              <fgColor theme="0"/>
              <bgColor theme="5" tint="0.79992065187536243"/>
            </patternFill>
          </fill>
          <border diagonalUp="0" diagonalDown="0">
            <left style="thin">
              <color auto="1"/>
            </left>
            <right style="thin">
              <color auto="1"/>
            </right>
            <top style="thin">
              <color auto="1"/>
            </top>
            <bottom style="thin">
              <color auto="1"/>
            </bottom>
            <vertical/>
            <horizontal/>
          </border>
        </dxf>
        <dxf>
          <font>
            <sz val="18"/>
            <color theme="0"/>
            <name val="Calibri"/>
            <family val="2"/>
            <scheme val="minor"/>
          </font>
        </dxf>
        <dxf>
          <font>
            <sz val="18"/>
            <color theme="0"/>
            <name val="Calibri"/>
            <family val="2"/>
            <scheme val="minor"/>
          </font>
        </dxf>
        <dxf>
          <font>
            <b/>
            <i val="0"/>
            <sz val="20"/>
            <color theme="0"/>
            <name val="Calibri"/>
            <family val="2"/>
            <scheme val="minor"/>
          </font>
        </dxf>
        <dxf>
          <font>
            <b/>
            <i val="0"/>
            <sz val="18"/>
            <color theme="0"/>
            <name val="Calibri"/>
            <family val="2"/>
            <scheme val="minor"/>
          </font>
        </dxf>
      </x15:dxfs>
    </ext>
    <ext xmlns:x15="http://schemas.microsoft.com/office/spreadsheetml/2010/11/main" uri="{9260A510-F301-46a8-8635-F512D64BE5F5}">
      <x15:timelineStyles defaultTimelineStyle="Timeline Style 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3.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10" Type="http://schemas.openxmlformats.org/officeDocument/2006/relationships/pivotCacheDefinition" Target="pivotCache/pivotCacheDefinition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Chocolate Sales 2026.xlsx]Anaylsis-1!PivotTable31</c:name>
    <c:fmtId val="10"/>
  </c:pivotSource>
  <c:chart>
    <c:title>
      <c:tx>
        <c:rich>
          <a:bodyPr rot="0" spcFirstLastPara="1" vertOverflow="ellipsis" vert="horz" wrap="square" anchor="ctr" anchorCtr="1"/>
          <a:lstStyle/>
          <a:p>
            <a:pPr>
              <a:defRPr sz="1400" b="0" i="0" u="none" strike="noStrike" kern="1200" spc="0" baseline="0">
                <a:solidFill>
                  <a:srgbClr val="663300"/>
                </a:solidFill>
                <a:latin typeface="+mn-lt"/>
                <a:ea typeface="+mn-ea"/>
                <a:cs typeface="+mn-cs"/>
              </a:defRPr>
            </a:pPr>
            <a:r>
              <a:rPr lang="en-US" sz="3200">
                <a:solidFill>
                  <a:srgbClr val="663300"/>
                </a:solidFill>
                <a:latin typeface="Berlin Sans FB Demi" panose="020E0802020502020306" pitchFamily="34" charset="0"/>
              </a:rPr>
              <a:t>Amount</a:t>
            </a:r>
            <a:r>
              <a:rPr lang="en-US" sz="3200" baseline="0">
                <a:solidFill>
                  <a:srgbClr val="663300"/>
                </a:solidFill>
                <a:latin typeface="Berlin Sans FB Demi" panose="020E0802020502020306" pitchFamily="34" charset="0"/>
              </a:rPr>
              <a:t> By Year</a:t>
            </a:r>
            <a:endParaRPr lang="en-US" sz="3200">
              <a:solidFill>
                <a:srgbClr val="663300"/>
              </a:solidFill>
              <a:latin typeface="Berlin Sans FB Demi" panose="020E0802020502020306" pitchFamily="34" charset="0"/>
            </a:endParaRPr>
          </a:p>
        </c:rich>
      </c:tx>
      <c:layout>
        <c:manualLayout>
          <c:xMode val="edge"/>
          <c:yMode val="edge"/>
          <c:x val="0.36667726213180757"/>
          <c:y val="1.50208150649076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6633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76200" cap="rnd">
            <a:solidFill>
              <a:schemeClr val="accent1"/>
            </a:solidFill>
            <a:round/>
          </a:ln>
          <a:effectLst/>
        </c:spPr>
        <c:marker>
          <c:symbol val="circle"/>
          <c:size val="5"/>
          <c:spPr>
            <a:solidFill>
              <a:schemeClr val="accent2">
                <a:lumMod val="50000"/>
              </a:schemeClr>
            </a:solidFill>
            <a:ln w="76200">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76200" cap="rnd">
            <a:solidFill>
              <a:schemeClr val="accent1"/>
            </a:solidFill>
            <a:round/>
          </a:ln>
          <a:effectLst/>
        </c:spPr>
        <c:marker>
          <c:spPr>
            <a:solidFill>
              <a:schemeClr val="accent1"/>
            </a:solidFill>
            <a:ln w="76200">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pivotFmt>
      <c:pivotFmt>
        <c:idx val="7"/>
      </c:pivotFmt>
      <c:pivotFmt>
        <c:idx val="8"/>
      </c:pivotFmt>
      <c:pivotFmt>
        <c:idx val="9"/>
        <c:spPr>
          <a:solidFill>
            <a:schemeClr val="accent1"/>
          </a:solidFill>
          <a:ln w="76200" cap="rnd">
            <a:solidFill>
              <a:schemeClr val="accent2">
                <a:lumMod val="50000"/>
              </a:schemeClr>
            </a:solidFill>
            <a:round/>
          </a:ln>
          <a:effectLst/>
        </c:spPr>
        <c:marker>
          <c:symbol val="circle"/>
          <c:size val="5"/>
          <c:spPr>
            <a:solidFill>
              <a:schemeClr val="accent2">
                <a:lumMod val="50000"/>
              </a:schemeClr>
            </a:solidFill>
            <a:ln w="76200">
              <a:solidFill>
                <a:schemeClr val="accent2">
                  <a:lumMod val="50000"/>
                </a:schemeClr>
              </a:solidFill>
            </a:ln>
            <a:effectLst/>
          </c:spPr>
        </c:marker>
      </c:pivotFmt>
      <c:pivotFmt>
        <c:idx val="10"/>
        <c:spPr>
          <a:solidFill>
            <a:schemeClr val="accent1"/>
          </a:solidFill>
          <a:ln w="76200" cap="rnd">
            <a:solidFill>
              <a:schemeClr val="accent2">
                <a:lumMod val="50000"/>
              </a:schemeClr>
            </a:solidFill>
            <a:round/>
          </a:ln>
          <a:effectLst/>
        </c:spPr>
        <c:marker>
          <c:symbol val="circle"/>
          <c:size val="5"/>
          <c:spPr>
            <a:solidFill>
              <a:schemeClr val="accent2">
                <a:lumMod val="50000"/>
              </a:schemeClr>
            </a:solidFill>
            <a:ln w="76200">
              <a:solidFill>
                <a:schemeClr val="accent2">
                  <a:lumMod val="50000"/>
                </a:schemeClr>
              </a:solidFill>
            </a:ln>
            <a:effectLst/>
          </c:spPr>
        </c:marker>
      </c:pivotFmt>
      <c:pivotFmt>
        <c:idx val="11"/>
        <c:spPr>
          <a:solidFill>
            <a:schemeClr val="accent1"/>
          </a:solidFill>
          <a:ln w="76200" cap="rnd">
            <a:solidFill>
              <a:schemeClr val="accent1"/>
            </a:solidFill>
            <a:round/>
          </a:ln>
          <a:effectLst/>
        </c:spPr>
        <c:marker>
          <c:symbol val="circle"/>
          <c:size val="5"/>
          <c:spPr>
            <a:solidFill>
              <a:schemeClr val="accent2">
                <a:lumMod val="50000"/>
              </a:schemeClr>
            </a:solidFill>
            <a:ln w="762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76200" cap="rnd">
            <a:solidFill>
              <a:schemeClr val="accent2">
                <a:lumMod val="50000"/>
              </a:schemeClr>
            </a:solidFill>
            <a:round/>
          </a:ln>
          <a:effectLst/>
        </c:spPr>
        <c:marker>
          <c:symbol val="circle"/>
          <c:size val="5"/>
          <c:spPr>
            <a:solidFill>
              <a:schemeClr val="accent2">
                <a:lumMod val="50000"/>
              </a:schemeClr>
            </a:solidFill>
            <a:ln w="76200">
              <a:solidFill>
                <a:schemeClr val="accent2">
                  <a:lumMod val="50000"/>
                </a:schemeClr>
              </a:solidFill>
            </a:ln>
            <a:effectLst/>
          </c:spPr>
        </c:marker>
      </c:pivotFmt>
      <c:pivotFmt>
        <c:idx val="13"/>
        <c:spPr>
          <a:solidFill>
            <a:schemeClr val="accent1"/>
          </a:solidFill>
          <a:ln w="76200" cap="rnd">
            <a:solidFill>
              <a:schemeClr val="accent2">
                <a:lumMod val="50000"/>
              </a:schemeClr>
            </a:solidFill>
            <a:round/>
          </a:ln>
          <a:effectLst/>
        </c:spPr>
        <c:marker>
          <c:symbol val="circle"/>
          <c:size val="5"/>
          <c:spPr>
            <a:solidFill>
              <a:schemeClr val="accent2">
                <a:lumMod val="50000"/>
              </a:schemeClr>
            </a:solidFill>
            <a:ln w="76200">
              <a:solidFill>
                <a:schemeClr val="accent2">
                  <a:lumMod val="50000"/>
                </a:schemeClr>
              </a:solidFill>
            </a:ln>
            <a:effectLst/>
          </c:spPr>
        </c:marker>
      </c:pivotFmt>
      <c:pivotFmt>
        <c:idx val="14"/>
        <c:spPr>
          <a:ln w="76200" cap="rnd">
            <a:solidFill>
              <a:schemeClr val="accent1"/>
            </a:solidFill>
            <a:round/>
          </a:ln>
          <a:effectLst/>
        </c:spPr>
        <c:marker>
          <c:symbol val="circle"/>
          <c:size val="5"/>
          <c:spPr>
            <a:solidFill>
              <a:schemeClr val="accent2">
                <a:lumMod val="50000"/>
              </a:schemeClr>
            </a:solidFill>
            <a:ln w="762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76200" cap="rnd">
            <a:solidFill>
              <a:schemeClr val="accent2">
                <a:lumMod val="50000"/>
              </a:schemeClr>
            </a:solidFill>
            <a:round/>
          </a:ln>
          <a:effectLst/>
        </c:spPr>
        <c:marker>
          <c:symbol val="circle"/>
          <c:size val="5"/>
          <c:spPr>
            <a:solidFill>
              <a:schemeClr val="accent2">
                <a:lumMod val="50000"/>
              </a:schemeClr>
            </a:solidFill>
            <a:ln w="76200">
              <a:solidFill>
                <a:schemeClr val="accent2">
                  <a:lumMod val="50000"/>
                </a:schemeClr>
              </a:solidFill>
            </a:ln>
            <a:effectLst/>
          </c:spPr>
        </c:marker>
      </c:pivotFmt>
      <c:pivotFmt>
        <c:idx val="16"/>
        <c:spPr>
          <a:ln w="76200" cap="rnd">
            <a:solidFill>
              <a:schemeClr val="accent2">
                <a:lumMod val="50000"/>
              </a:schemeClr>
            </a:solidFill>
            <a:round/>
          </a:ln>
          <a:effectLst/>
        </c:spPr>
        <c:marker>
          <c:symbol val="circle"/>
          <c:size val="5"/>
          <c:spPr>
            <a:solidFill>
              <a:schemeClr val="accent2">
                <a:lumMod val="50000"/>
              </a:schemeClr>
            </a:solidFill>
            <a:ln w="76200">
              <a:solidFill>
                <a:schemeClr val="accent2">
                  <a:lumMod val="50000"/>
                </a:schemeClr>
              </a:solidFill>
            </a:ln>
            <a:effectLst/>
          </c:spPr>
        </c:marker>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356452209201717"/>
          <c:y val="0.1543515057352727"/>
          <c:w val="0.69066653733857353"/>
          <c:h val="0.6746246263253175"/>
        </c:manualLayout>
      </c:layout>
      <c:lineChart>
        <c:grouping val="stacked"/>
        <c:varyColors val="0"/>
        <c:ser>
          <c:idx val="0"/>
          <c:order val="0"/>
          <c:tx>
            <c:strRef>
              <c:f>'Anaylsis-1'!$L$1</c:f>
              <c:strCache>
                <c:ptCount val="1"/>
                <c:pt idx="0">
                  <c:v>Sum of Amount2</c:v>
                </c:pt>
              </c:strCache>
            </c:strRef>
          </c:tx>
          <c:spPr>
            <a:ln w="76200" cap="rnd">
              <a:solidFill>
                <a:schemeClr val="accent1"/>
              </a:solidFill>
              <a:round/>
            </a:ln>
            <a:effectLst/>
          </c:spPr>
          <c:marker>
            <c:symbol val="circle"/>
            <c:size val="5"/>
            <c:spPr>
              <a:solidFill>
                <a:schemeClr val="accent2">
                  <a:lumMod val="50000"/>
                </a:schemeClr>
              </a:solidFill>
              <a:ln w="76200">
                <a:solidFill>
                  <a:schemeClr val="accent1"/>
                </a:solidFill>
              </a:ln>
              <a:effectLst/>
            </c:spPr>
          </c:marker>
          <c:dPt>
            <c:idx val="1"/>
            <c:marker>
              <c:symbol val="circle"/>
              <c:size val="5"/>
              <c:spPr>
                <a:solidFill>
                  <a:schemeClr val="accent2">
                    <a:lumMod val="50000"/>
                  </a:schemeClr>
                </a:solidFill>
                <a:ln w="76200">
                  <a:solidFill>
                    <a:schemeClr val="accent2">
                      <a:lumMod val="50000"/>
                    </a:schemeClr>
                  </a:solidFill>
                </a:ln>
                <a:effectLst/>
              </c:spPr>
            </c:marker>
            <c:bubble3D val="0"/>
            <c:spPr>
              <a:ln w="76200" cap="rnd">
                <a:solidFill>
                  <a:schemeClr val="accent2">
                    <a:lumMod val="50000"/>
                  </a:schemeClr>
                </a:solidFill>
                <a:round/>
              </a:ln>
              <a:effectLst/>
            </c:spPr>
            <c:extLst>
              <c:ext xmlns:c16="http://schemas.microsoft.com/office/drawing/2014/chart" uri="{C3380CC4-5D6E-409C-BE32-E72D297353CC}">
                <c16:uniqueId val="{00000001-0188-4DEE-A565-869EC820A5B5}"/>
              </c:ext>
            </c:extLst>
          </c:dPt>
          <c:dPt>
            <c:idx val="2"/>
            <c:marker>
              <c:symbol val="circle"/>
              <c:size val="5"/>
              <c:spPr>
                <a:solidFill>
                  <a:schemeClr val="accent2">
                    <a:lumMod val="50000"/>
                  </a:schemeClr>
                </a:solidFill>
                <a:ln w="76200">
                  <a:solidFill>
                    <a:schemeClr val="accent2">
                      <a:lumMod val="50000"/>
                    </a:schemeClr>
                  </a:solidFill>
                </a:ln>
                <a:effectLst/>
              </c:spPr>
            </c:marker>
            <c:bubble3D val="0"/>
            <c:spPr>
              <a:ln w="76200" cap="rnd">
                <a:solidFill>
                  <a:schemeClr val="accent2">
                    <a:lumMod val="50000"/>
                  </a:schemeClr>
                </a:solidFill>
                <a:round/>
              </a:ln>
              <a:effectLst/>
            </c:spPr>
            <c:extLst>
              <c:ext xmlns:c16="http://schemas.microsoft.com/office/drawing/2014/chart" uri="{C3380CC4-5D6E-409C-BE32-E72D297353CC}">
                <c16:uniqueId val="{00000003-0188-4DEE-A565-869EC820A5B5}"/>
              </c:ext>
            </c:extLst>
          </c:dPt>
          <c:cat>
            <c:strRef>
              <c:f>'Anaylsis-1'!$K$2:$K$5</c:f>
              <c:strCache>
                <c:ptCount val="3"/>
                <c:pt idx="0">
                  <c:v>2022</c:v>
                </c:pt>
                <c:pt idx="1">
                  <c:v>2023</c:v>
                </c:pt>
                <c:pt idx="2">
                  <c:v>2024</c:v>
                </c:pt>
              </c:strCache>
            </c:strRef>
          </c:cat>
          <c:val>
            <c:numRef>
              <c:f>'Anaylsis-1'!$L$2:$L$5</c:f>
              <c:numCache>
                <c:formatCode>#,##0.0,,\ "M"</c:formatCode>
                <c:ptCount val="3"/>
                <c:pt idx="0">
                  <c:v>6183625</c:v>
                </c:pt>
                <c:pt idx="1">
                  <c:v>6643377.9599999906</c:v>
                </c:pt>
                <c:pt idx="2">
                  <c:v>6964568.899999992</c:v>
                </c:pt>
              </c:numCache>
            </c:numRef>
          </c:val>
          <c:smooth val="0"/>
          <c:extLst>
            <c:ext xmlns:c16="http://schemas.microsoft.com/office/drawing/2014/chart" uri="{C3380CC4-5D6E-409C-BE32-E72D297353CC}">
              <c16:uniqueId val="{00000004-0188-4DEE-A565-869EC820A5B5}"/>
            </c:ext>
          </c:extLst>
        </c:ser>
        <c:ser>
          <c:idx val="1"/>
          <c:order val="1"/>
          <c:tx>
            <c:strRef>
              <c:f>'Anaylsis-1'!$M$1</c:f>
              <c:strCache>
                <c:ptCount val="1"/>
                <c:pt idx="0">
                  <c:v>Growth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'Anaylsis-1'!$K$2:$K$5</c:f>
              <c:strCache>
                <c:ptCount val="3"/>
                <c:pt idx="0">
                  <c:v>2022</c:v>
                </c:pt>
                <c:pt idx="1">
                  <c:v>2023</c:v>
                </c:pt>
                <c:pt idx="2">
                  <c:v>2024</c:v>
                </c:pt>
              </c:strCache>
            </c:strRef>
          </c:cat>
          <c:val>
            <c:numRef>
              <c:f>'Anaylsis-1'!$M$2:$M$5</c:f>
              <c:numCache>
                <c:formatCode>0.00%</c:formatCode>
                <c:ptCount val="3"/>
                <c:pt idx="1">
                  <c:v>7.4350071357818542E-2</c:v>
                </c:pt>
                <c:pt idx="2">
                  <c:v>4.8347533729663307E-2</c:v>
                </c:pt>
              </c:numCache>
            </c:numRef>
          </c:val>
          <c:smooth val="0"/>
          <c:extLst>
            <c:ext xmlns:c16="http://schemas.microsoft.com/office/drawing/2014/chart" uri="{C3380CC4-5D6E-409C-BE32-E72D297353CC}">
              <c16:uniqueId val="{00000005-7767-426F-846D-D7364B58C235}"/>
            </c:ext>
          </c:extLst>
        </c:ser>
        <c:dLbls>
          <c:showLegendKey val="0"/>
          <c:showVal val="0"/>
          <c:showCatName val="0"/>
          <c:showSerName val="0"/>
          <c:showPercent val="0"/>
          <c:showBubbleSize val="0"/>
        </c:dLbls>
        <c:marker val="1"/>
        <c:smooth val="0"/>
        <c:axId val="380236495"/>
        <c:axId val="380236911"/>
      </c:lineChart>
      <c:catAx>
        <c:axId val="38023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236911"/>
        <c:crosses val="autoZero"/>
        <c:auto val="1"/>
        <c:lblAlgn val="ctr"/>
        <c:lblOffset val="100"/>
        <c:noMultiLvlLbl val="0"/>
      </c:catAx>
      <c:valAx>
        <c:axId val="380236911"/>
        <c:scaling>
          <c:orientation val="minMax"/>
          <c:max val="7000000"/>
        </c:scaling>
        <c:delete val="0"/>
        <c:axPos val="l"/>
        <c:majorGridlines>
          <c:spPr>
            <a:ln w="28575" cap="flat" cmpd="sng" algn="ctr">
              <a:solidFill>
                <a:schemeClr val="bg2">
                  <a:lumMod val="75000"/>
                </a:schemeClr>
              </a:solidFill>
              <a:round/>
            </a:ln>
            <a:effectLst/>
          </c:spPr>
        </c:majorGridlines>
        <c:numFmt formatCode="#,##0.0,,\ &quot;M&quot;"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crossAx val="380236495"/>
        <c:crosses val="autoZero"/>
        <c:crossBetween val="between"/>
      </c:valAx>
      <c:dTable>
        <c:showHorzBorder val="1"/>
        <c:showVertBorder val="1"/>
        <c:showOutline val="1"/>
        <c:showKeys val="1"/>
        <c:spPr>
          <a:noFill/>
          <a:ln w="9525" cap="flat" cmpd="sng" algn="ctr">
            <a:solidFill>
              <a:schemeClr val="accent2">
                <a:lumMod val="50000"/>
              </a:schemeClr>
            </a:solidFill>
            <a:round/>
          </a:ln>
          <a:effectLst/>
        </c:spPr>
        <c:txPr>
          <a:bodyPr rot="0" spcFirstLastPara="1" vertOverflow="ellipsis" vert="horz" wrap="square" anchor="ctr" anchorCtr="1"/>
          <a:lstStyle/>
          <a:p>
            <a:pPr rtl="0">
              <a:defRPr sz="2400" b="0" i="0" u="none" strike="noStrike" kern="1200" baseline="0">
                <a:solidFill>
                  <a:schemeClr val="tx1">
                    <a:lumMod val="65000"/>
                    <a:lumOff val="35000"/>
                  </a:schemeClr>
                </a:solidFill>
                <a:latin typeface="+mn-lt"/>
                <a:ea typeface="+mn-ea"/>
                <a:cs typeface="+mn-cs"/>
              </a:defRPr>
            </a:pPr>
            <a:endParaRPr lang="en-US"/>
          </a:p>
        </c:txPr>
      </c:dTable>
      <c:spPr>
        <a:noFill/>
        <a:ln>
          <a:solidFill>
            <a:schemeClr val="accent2">
              <a:lumMod val="50000"/>
            </a:schemeClr>
          </a:solid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[Analysis Chocolate Sales 2026.xlsx]Anaylsis-2!PivotTable33</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solidFill>
                <a:latin typeface="+mn-lt"/>
                <a:ea typeface="+mn-ea"/>
                <a:cs typeface="+mn-cs"/>
              </a:defRPr>
            </a:pPr>
            <a:r>
              <a:rPr lang="en-US" sz="3200" b="1" i="0" baseline="0">
                <a:solidFill>
                  <a:srgbClr val="663300"/>
                </a:solidFill>
                <a:effectLst/>
                <a:latin typeface="Berlin Sans FB Demi" panose="020E0802020502020306" pitchFamily="34" charset="0"/>
              </a:rPr>
              <a:t>Percentage of the amount per country</a:t>
            </a:r>
            <a:endParaRPr lang="en-US" sz="3200">
              <a:solidFill>
                <a:srgbClr val="663300"/>
              </a:solidFill>
              <a:effectLst/>
              <a:latin typeface="Berlin Sans FB Demi" panose="020E0802020502020306" pitchFamily="34" charset="0"/>
            </a:endParaRPr>
          </a:p>
        </c:rich>
      </c:tx>
      <c:overlay val="0"/>
      <c:spPr>
        <a:noFill/>
        <a:ln>
          <a:noFill/>
        </a:ln>
        <a:effectLst/>
      </c:spPr>
    </c:title>
    <c:autoTitleDeleted val="0"/>
    <c:pivotFmts>
      <c:pivotFmt>
        <c:idx val="0"/>
      </c:pivotFmt>
      <c:pivotFmt>
        <c:idx val="1"/>
      </c:pivotFmt>
      <c:pivotFmt>
        <c:idx val="2"/>
      </c:pivotFmt>
      <c:pivotFmt>
        <c:idx val="3"/>
        <c:dLbl>
          <c:idx val="0"/>
          <c:showLegendKey val="0"/>
          <c:showVal val="0"/>
          <c:showCatName val="1"/>
          <c:showSerName val="0"/>
          <c:showPercent val="1"/>
          <c:showBubbleSize val="0"/>
          <c:extLst>
            <c:ext xmlns:c15="http://schemas.microsoft.com/office/drawing/2012/chart" uri="{CE6537A1-D6FC-4f65-9D91-7224C49458BB}"/>
          </c:extLst>
        </c:dLbl>
      </c:pivotFmt>
      <c:pivotFmt>
        <c:idx val="4"/>
        <c:dLbl>
          <c:idx val="0"/>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8.1648522550544375E-2"/>
              <c:y val="6.3224446786090641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1349889584175228"/>
                  <c:h val="0.13936648329917664"/>
                </c:manualLayout>
              </c15:layout>
            </c:ext>
          </c:extLst>
        </c:dLbl>
      </c:pivotFmt>
      <c:pivotFmt>
        <c:idx val="7"/>
        <c:dLbl>
          <c:idx val="0"/>
          <c:layout>
            <c:manualLayout>
              <c:x val="-2.4624157594608606E-2"/>
              <c:y val="-4.21493546183440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2606813534000319"/>
                  <c:h val="0.10424179064023741"/>
                </c:manualLayout>
              </c15:layout>
            </c:ext>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2.4624157594608606E-2"/>
              <c:y val="-4.214935461834407E-2"/>
            </c:manualLayout>
          </c:layout>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5.5851551156750515E-2"/>
              <c:y val="0.1303298197492623"/>
            </c:manualLayout>
          </c:layout>
          <c:spPr>
            <a:solidFill>
              <a:sysClr val="windowText" lastClr="000000"/>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5851"/>
                    <a:gd name="adj2" fmla="val 40410"/>
                  </a:avLst>
                </a:prstGeom>
              </c15:spPr>
            </c:ext>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33"/>
        <c:marker>
          <c:symbol val="none"/>
        </c:marker>
        <c:dLbl>
          <c:idx val="0"/>
          <c:spPr>
            <a:noFill/>
            <a:ln>
              <a:noFill/>
            </a:ln>
            <a:effectLst/>
          </c:spPr>
          <c:txPr>
            <a:bodyPr rot="0" spcFirstLastPara="1" vertOverflow="ellipsis" wrap="square" lIns="91440" tIns="19050" rIns="38100" bIns="19050" anchor="ctr" anchorCtr="1">
              <a:spAutoFit/>
            </a:bodyPr>
            <a:lstStyle/>
            <a:p>
              <a:pPr>
                <a:defRPr sz="20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6"/>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c:spPr>
        <c:dLbl>
          <c:idx val="0"/>
          <c:layout>
            <c:manualLayout>
              <c:x val="4.9441709709264522E-2"/>
              <c:y val="0.21918604111774967"/>
            </c:manualLayout>
          </c:layout>
          <c:tx>
            <c:rich>
              <a:bodyPr rot="0" spcFirstLastPara="1" vertOverflow="ellipsis" vert="horz" wrap="square" lIns="38100" tIns="19050" rIns="38100" bIns="19050" anchor="ctr" anchorCtr="1">
                <a:spAutoFit/>
              </a:bodyPr>
              <a:lstStyle/>
              <a:p>
                <a:pPr>
                  <a:defRPr sz="2800" b="1" i="0" u="none" strike="noStrike" kern="1200" baseline="0">
                    <a:solidFill>
                      <a:schemeClr val="dk1"/>
                    </a:solidFill>
                    <a:latin typeface="+mn-lt"/>
                    <a:ea typeface="+mn-ea"/>
                    <a:cs typeface="+mn-cs"/>
                  </a:defRPr>
                </a:pPr>
                <a:fld id="{3538ADCA-913D-4498-ACC8-F2A603D506C5}" type="CATEGORYNAME">
                  <a:rPr lang="en-US" sz="2400"/>
                  <a:pPr>
                    <a:defRPr sz="2800" b="1" i="0" u="none" strike="noStrike" kern="1200" baseline="0">
                      <a:solidFill>
                        <a:schemeClr val="dk1"/>
                      </a:solidFill>
                      <a:latin typeface="+mn-lt"/>
                      <a:ea typeface="+mn-ea"/>
                      <a:cs typeface="+mn-cs"/>
                    </a:defRPr>
                  </a:pPr>
                  <a:t>[CATEGORY NAME]</a:t>
                </a:fld>
                <a:r>
                  <a:rPr lang="en-US" sz="2400" baseline="0"/>
                  <a:t>, </a:t>
                </a:r>
                <a:br>
                  <a:rPr lang="en-US" sz="2400" baseline="0"/>
                </a:br>
                <a:fld id="{202245B6-E711-41D9-B33A-FBA18D93C3B7}" type="VALUE">
                  <a:rPr lang="en-US" sz="2800" baseline="0"/>
                  <a:pPr>
                    <a:defRPr sz="2800" b="1" i="0" u="none" strike="noStrike" kern="1200" baseline="0">
                      <a:solidFill>
                        <a:schemeClr val="dk1"/>
                      </a:solidFill>
                      <a:latin typeface="+mn-lt"/>
                      <a:ea typeface="+mn-ea"/>
                      <a:cs typeface="+mn-cs"/>
                    </a:defRPr>
                  </a:pPr>
                  <a:t>[VALUE]</a:t>
                </a:fld>
                <a:endParaRPr lang="en-US" sz="2400" baseline="0"/>
              </a:p>
            </c:rich>
          </c:tx>
          <c:spPr>
            <a:noFill/>
            <a:ln>
              <a:noFill/>
            </a:ln>
            <a:effectLst/>
          </c:sp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7"/>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c:spPr>
        <c:dLbl>
          <c:idx val="0"/>
          <c:layout>
            <c:manualLayout>
              <c:x val="4.5408508788776163E-2"/>
              <c:y val="0.23390224802595846"/>
            </c:manualLayout>
          </c:layout>
          <c:spPr>
            <a:noFill/>
            <a:ln>
              <a:noFill/>
            </a:ln>
            <a:effectLst/>
          </c:spPr>
          <c:txPr>
            <a:bodyPr rot="0" spcFirstLastPara="1" vertOverflow="ellipsis" wrap="square" lIns="91440" tIns="19050" rIns="38100" bIns="19050" anchor="ctr" anchorCtr="1">
              <a:spAutoFit/>
            </a:bodyPr>
            <a:lstStyle/>
            <a:p>
              <a:pPr>
                <a:defRPr sz="20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3170790669779886"/>
                  <c:h val="0.16281069294766712"/>
                </c:manualLayout>
              </c15:layout>
            </c:ext>
          </c:extLst>
        </c:dLbl>
      </c:pivotFmt>
      <c:pivotFmt>
        <c:idx val="38"/>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c:spPr>
        <c:dLbl>
          <c:idx val="0"/>
          <c:layout>
            <c:manualLayout>
              <c:x val="0.11660248181429182"/>
              <c:y val="-0.14852087424579297"/>
            </c:manualLayout>
          </c:layout>
          <c:spPr>
            <a:noFill/>
            <a:ln>
              <a:noFill/>
            </a:ln>
            <a:effectLst/>
          </c:spPr>
          <c:txPr>
            <a:bodyPr rot="0" spcFirstLastPara="1" vertOverflow="ellipsis" wrap="square" lIns="91440" tIns="19050" rIns="38100" bIns="19050" anchor="ctr" anchorCtr="1">
              <a:spAutoFit/>
            </a:bodyPr>
            <a:lstStyle/>
            <a:p>
              <a:pPr>
                <a:defRPr sz="20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0299596696754369"/>
                  <c:h val="0.11077381379680408"/>
                </c:manualLayout>
              </c15:layout>
            </c:ext>
          </c:extLst>
        </c:dLbl>
      </c:pivotFmt>
      <c:pivotFmt>
        <c:idx val="39"/>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c:spPr>
        <c:dLbl>
          <c:idx val="0"/>
          <c:layout>
            <c:manualLayout>
              <c:x val="-2.8883141452632925E-2"/>
              <c:y val="-0.19453384953917452"/>
            </c:manualLayout>
          </c:layout>
          <c:spPr>
            <a:noFill/>
            <a:ln>
              <a:noFill/>
            </a:ln>
            <a:effectLst/>
          </c:spPr>
          <c:txPr>
            <a:bodyPr rot="0" spcFirstLastPara="1" vertOverflow="ellipsis" wrap="square" lIns="91440" tIns="19050" rIns="38100" bIns="19050" anchor="ctr" anchorCtr="1">
              <a:spAutoFit/>
            </a:bodyPr>
            <a:lstStyle/>
            <a:p>
              <a:pPr>
                <a:defRPr sz="20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2532210351113041"/>
                  <c:h val="0.10869233863076957"/>
                </c:manualLayout>
              </c15:layout>
            </c:ext>
          </c:extLst>
        </c:dLbl>
      </c:pivotFmt>
      <c:pivotFmt>
        <c:idx val="40"/>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c:spPr>
        <c:dLbl>
          <c:idx val="0"/>
          <c:layout>
            <c:manualLayout>
              <c:x val="-0.1016260162601626"/>
              <c:y val="-9.2368574510746801E-2"/>
            </c:manualLayout>
          </c:layout>
          <c:spPr>
            <a:noFill/>
            <a:ln>
              <a:noFill/>
            </a:ln>
            <a:effectLst/>
          </c:spPr>
          <c:txPr>
            <a:bodyPr rot="0" spcFirstLastPara="1" vertOverflow="ellipsis" wrap="square" lIns="91440" tIns="19050" rIns="38100" bIns="19050" anchor="ctr" anchorCtr="1">
              <a:spAutoFit/>
            </a:bodyPr>
            <a:lstStyle/>
            <a:p>
              <a:pPr>
                <a:defRPr sz="20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7.58557137995748E-2"/>
                  <c:h val="0.17321806877783968"/>
                </c:manualLayout>
              </c15:layout>
            </c:ext>
          </c:extLst>
        </c:dLbl>
      </c:pivotFmt>
      <c:pivotFmt>
        <c:idx val="41"/>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c:spPr>
      </c:pivotFmt>
      <c:pivotFmt>
        <c:idx val="42"/>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c:spPr>
      </c:pivotFmt>
      <c:pivotFmt>
        <c:idx val="43"/>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c:spPr>
      </c:pivotFmt>
      <c:pivotFmt>
        <c:idx val="44"/>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c:spPr>
      </c:pivotFmt>
      <c:pivotFmt>
        <c:idx val="45"/>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c:spPr>
      </c:pivotFmt>
      <c:pivotFmt>
        <c:idx val="46"/>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c:spPr>
      </c:pivotFmt>
      <c:pivotFmt>
        <c:idx val="47"/>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c:spPr>
      </c:pivotFmt>
      <c:pivotFmt>
        <c:idx val="48"/>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c:spPr>
      </c:pivotFmt>
      <c:pivotFmt>
        <c:idx val="49"/>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c:spPr>
      </c:pivotFmt>
      <c:pivotFmt>
        <c:idx val="50"/>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c:spPr>
      </c:pivotFmt>
      <c:pivotFmt>
        <c:idx val="51"/>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c:spPr>
      </c:pivotFmt>
      <c:pivotFmt>
        <c:idx val="52"/>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c:spPr>
      </c:pivotFmt>
      <c:pivotFmt>
        <c:idx val="53"/>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c:spPr>
      </c:pivotFmt>
      <c:pivotFmt>
        <c:idx val="54"/>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6"/>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c:spPr>
      </c:pivotFmt>
      <c:pivotFmt>
        <c:idx val="57"/>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c:spPr>
      </c:pivotFmt>
      <c:pivotFmt>
        <c:idx val="58"/>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c:spPr>
      </c:pivotFmt>
      <c:pivotFmt>
        <c:idx val="59"/>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c:spPr>
        <c:dLbl>
          <c:idx val="0"/>
          <c:layout>
            <c:manualLayout>
              <c:x val="4.9441709709264522E-2"/>
              <c:y val="0.21918604111774967"/>
            </c:manualLayout>
          </c:layout>
          <c:tx>
            <c:rich>
              <a:bodyPr rot="0" spcFirstLastPara="1" vertOverflow="ellipsis" vert="horz" wrap="square" lIns="38100" tIns="19050" rIns="38100" bIns="19050" anchor="ctr" anchorCtr="1">
                <a:spAutoFit/>
              </a:bodyPr>
              <a:lstStyle/>
              <a:p>
                <a:pPr>
                  <a:defRPr sz="2800" b="1" i="0" u="none" strike="noStrike" kern="1200" baseline="0">
                    <a:solidFill>
                      <a:schemeClr val="dk1"/>
                    </a:solidFill>
                    <a:latin typeface="+mn-lt"/>
                    <a:ea typeface="+mn-ea"/>
                    <a:cs typeface="+mn-cs"/>
                  </a:defRPr>
                </a:pPr>
                <a:fld id="{3538ADCA-913D-4498-ACC8-F2A603D506C5}" type="CATEGORYNAME">
                  <a:rPr lang="en-US" sz="2400"/>
                  <a:pPr>
                    <a:defRPr sz="2800" b="1" i="0" u="none" strike="noStrike" kern="1200" baseline="0">
                      <a:solidFill>
                        <a:schemeClr val="dk1"/>
                      </a:solidFill>
                      <a:latin typeface="+mn-lt"/>
                      <a:ea typeface="+mn-ea"/>
                      <a:cs typeface="+mn-cs"/>
                    </a:defRPr>
                  </a:pPr>
                  <a:t>[CATEGORY NAME]</a:t>
                </a:fld>
                <a:r>
                  <a:rPr lang="en-US" sz="2400" baseline="0"/>
                  <a:t>, </a:t>
                </a:r>
                <a:br>
                  <a:rPr lang="en-US" sz="2400" baseline="0"/>
                </a:br>
                <a:fld id="{202245B6-E711-41D9-B33A-FBA18D93C3B7}" type="VALUE">
                  <a:rPr lang="en-US" sz="2800" baseline="0"/>
                  <a:pPr>
                    <a:defRPr sz="2800" b="1" i="0" u="none" strike="noStrike" kern="1200" baseline="0">
                      <a:solidFill>
                        <a:schemeClr val="dk1"/>
                      </a:solidFill>
                      <a:latin typeface="+mn-lt"/>
                      <a:ea typeface="+mn-ea"/>
                      <a:cs typeface="+mn-cs"/>
                    </a:defRPr>
                  </a:pPr>
                  <a:t>[VALUE]</a:t>
                </a:fld>
                <a:endParaRPr lang="en-US" sz="2400" baseline="0"/>
              </a:p>
            </c:rich>
          </c:tx>
          <c:spPr>
            <a:noFill/>
            <a:ln>
              <a:noFill/>
            </a:ln>
            <a:effectLst/>
          </c:sp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60"/>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c:spPr>
      </c:pivotFmt>
      <c:pivotFmt>
        <c:idx val="61"/>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c:spPr>
      </c:pivotFmt>
      <c:pivotFmt>
        <c:idx val="62"/>
        <c:marker>
          <c:symbol val="none"/>
        </c:marker>
        <c:dLbl>
          <c:idx val="0"/>
          <c:spPr>
            <a:noFill/>
            <a:ln>
              <a:noFill/>
            </a:ln>
            <a:effectLst/>
          </c:spPr>
          <c:txPr>
            <a:bodyPr rot="0" spcFirstLastPara="1" vertOverflow="ellipsis" wrap="square" lIns="91440" tIns="19050" rIns="38100" bIns="19050" anchor="ctr" anchorCtr="1">
              <a:spAutoFit/>
            </a:bodyPr>
            <a:lstStyle/>
            <a:p>
              <a:pPr>
                <a:defRPr sz="20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3"/>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c:spPr>
        <c:dLbl>
          <c:idx val="0"/>
          <c:layout>
            <c:manualLayout>
              <c:x val="-2.8883141452632925E-2"/>
              <c:y val="-0.19453384953917452"/>
            </c:manualLayout>
          </c:layout>
          <c:spPr>
            <a:noFill/>
            <a:ln>
              <a:noFill/>
            </a:ln>
            <a:effectLst/>
          </c:spPr>
          <c:txPr>
            <a:bodyPr rot="0" spcFirstLastPara="1" vertOverflow="ellipsis" wrap="square" lIns="91440" tIns="19050" rIns="38100" bIns="19050" anchor="ctr" anchorCtr="1">
              <a:spAutoFit/>
            </a:bodyPr>
            <a:lstStyle/>
            <a:p>
              <a:pPr>
                <a:defRPr sz="20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2532210351113041"/>
                  <c:h val="0.10869233863076957"/>
                </c:manualLayout>
              </c15:layout>
            </c:ext>
          </c:extLst>
        </c:dLbl>
      </c:pivotFmt>
      <c:pivotFmt>
        <c:idx val="64"/>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c:spPr>
        <c:dLbl>
          <c:idx val="0"/>
          <c:layout>
            <c:manualLayout>
              <c:x val="0.11660248181429182"/>
              <c:y val="-0.14852087424579297"/>
            </c:manualLayout>
          </c:layout>
          <c:spPr>
            <a:noFill/>
            <a:ln>
              <a:noFill/>
            </a:ln>
            <a:effectLst/>
          </c:spPr>
          <c:txPr>
            <a:bodyPr rot="0" spcFirstLastPara="1" vertOverflow="ellipsis" wrap="square" lIns="91440" tIns="19050" rIns="38100" bIns="19050" anchor="ctr" anchorCtr="1">
              <a:spAutoFit/>
            </a:bodyPr>
            <a:lstStyle/>
            <a:p>
              <a:pPr>
                <a:defRPr sz="20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0299596696754369"/>
                  <c:h val="0.11077381379680408"/>
                </c:manualLayout>
              </c15:layout>
            </c:ext>
          </c:extLst>
        </c:dLbl>
      </c:pivotFmt>
      <c:pivotFmt>
        <c:idx val="65"/>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c:spPr>
      </c:pivotFmt>
      <c:pivotFmt>
        <c:idx val="66"/>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c:spPr>
        <c:dLbl>
          <c:idx val="0"/>
          <c:layout>
            <c:manualLayout>
              <c:x val="4.5408508788776163E-2"/>
              <c:y val="0.23390224802595846"/>
            </c:manualLayout>
          </c:layout>
          <c:spPr>
            <a:noFill/>
            <a:ln>
              <a:noFill/>
            </a:ln>
            <a:effectLst/>
          </c:spPr>
          <c:txPr>
            <a:bodyPr rot="0" spcFirstLastPara="1" vertOverflow="ellipsis" wrap="square" lIns="91440" tIns="19050" rIns="38100" bIns="19050" anchor="ctr" anchorCtr="1">
              <a:spAutoFit/>
            </a:bodyPr>
            <a:lstStyle/>
            <a:p>
              <a:pPr>
                <a:defRPr sz="20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3170790669779886"/>
                  <c:h val="0.16281069294766712"/>
                </c:manualLayout>
              </c15:layout>
            </c:ext>
          </c:extLst>
        </c:dLbl>
      </c:pivotFmt>
      <c:pivotFmt>
        <c:idx val="67"/>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c:spPr>
      </c:pivotFmt>
      <c:pivotFmt>
        <c:idx val="68"/>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c:spPr>
        <c:dLbl>
          <c:idx val="0"/>
          <c:layout>
            <c:manualLayout>
              <c:x val="-0.1016260162601626"/>
              <c:y val="-9.2368574510746801E-2"/>
            </c:manualLayout>
          </c:layout>
          <c:spPr>
            <a:noFill/>
            <a:ln>
              <a:noFill/>
            </a:ln>
            <a:effectLst/>
          </c:spPr>
          <c:txPr>
            <a:bodyPr rot="0" spcFirstLastPara="1" vertOverflow="ellipsis" wrap="square" lIns="91440" tIns="19050" rIns="38100" bIns="19050" anchor="ctr" anchorCtr="1">
              <a:spAutoFit/>
            </a:bodyPr>
            <a:lstStyle/>
            <a:p>
              <a:pPr>
                <a:defRPr sz="20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7.58557137995748E-2"/>
                  <c:h val="0.17321806877783968"/>
                </c:manualLayout>
              </c15:layout>
            </c:ext>
          </c:extLst>
        </c:dLbl>
      </c:pivotFmt>
      <c:pivotFmt>
        <c:idx val="6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0"/>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c:spPr>
      </c:pivotFmt>
      <c:pivotFmt>
        <c:idx val="71"/>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c:spPr>
      </c:pivotFmt>
      <c:pivotFmt>
        <c:idx val="72"/>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c:spPr>
      </c:pivotFmt>
      <c:pivotFmt>
        <c:idx val="73"/>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c:spPr>
      </c:pivotFmt>
      <c:pivotFmt>
        <c:idx val="74"/>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c:spPr>
      </c:pivotFmt>
      <c:pivotFmt>
        <c:idx val="75"/>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c:spPr>
      </c:pivotFmt>
      <c:pivotFmt>
        <c:idx val="7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7"/>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c:spPr>
      </c:pivotFmt>
      <c:pivotFmt>
        <c:idx val="78"/>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c:spPr>
      </c:pivotFmt>
      <c:pivotFmt>
        <c:idx val="79"/>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c:spPr>
      </c:pivotFmt>
      <c:pivotFmt>
        <c:idx val="80"/>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c:spPr>
        <c:dLbl>
          <c:idx val="0"/>
          <c:layout>
            <c:manualLayout>
              <c:x val="4.9441709709264522E-2"/>
              <c:y val="0.21918604111774967"/>
            </c:manualLayout>
          </c:layout>
          <c:tx>
            <c:rich>
              <a:bodyPr rot="0" spcFirstLastPara="1" vertOverflow="ellipsis" vert="horz" wrap="square" lIns="38100" tIns="19050" rIns="38100" bIns="19050" anchor="ctr" anchorCtr="1">
                <a:spAutoFit/>
              </a:bodyPr>
              <a:lstStyle/>
              <a:p>
                <a:pPr>
                  <a:defRPr sz="2800" b="1" i="0" u="none" strike="noStrike" kern="1200" baseline="0">
                    <a:solidFill>
                      <a:schemeClr val="dk1"/>
                    </a:solidFill>
                    <a:latin typeface="+mn-lt"/>
                    <a:ea typeface="+mn-ea"/>
                    <a:cs typeface="+mn-cs"/>
                  </a:defRPr>
                </a:pPr>
                <a:fld id="{3538ADCA-913D-4498-ACC8-F2A603D506C5}" type="CATEGORYNAME">
                  <a:rPr lang="en-US" sz="2400"/>
                  <a:pPr>
                    <a:defRPr sz="2800" b="1" i="0" u="none" strike="noStrike" kern="1200" baseline="0">
                      <a:solidFill>
                        <a:schemeClr val="dk1"/>
                      </a:solidFill>
                      <a:latin typeface="+mn-lt"/>
                      <a:ea typeface="+mn-ea"/>
                      <a:cs typeface="+mn-cs"/>
                    </a:defRPr>
                  </a:pPr>
                  <a:t>[CATEGORY NAME]</a:t>
                </a:fld>
                <a:r>
                  <a:rPr lang="en-US" sz="2400" baseline="0"/>
                  <a:t>, </a:t>
                </a:r>
                <a:br>
                  <a:rPr lang="en-US" sz="2400" baseline="0"/>
                </a:br>
                <a:fld id="{202245B6-E711-41D9-B33A-FBA18D93C3B7}" type="VALUE">
                  <a:rPr lang="en-US" sz="2800" baseline="0"/>
                  <a:pPr>
                    <a:defRPr sz="2800" b="1" i="0" u="none" strike="noStrike" kern="1200" baseline="0">
                      <a:solidFill>
                        <a:schemeClr val="dk1"/>
                      </a:solidFill>
                      <a:latin typeface="+mn-lt"/>
                      <a:ea typeface="+mn-ea"/>
                      <a:cs typeface="+mn-cs"/>
                    </a:defRPr>
                  </a:pPr>
                  <a:t>[VALUE]</a:t>
                </a:fld>
                <a:endParaRPr lang="en-US" sz="2400" baseline="0"/>
              </a:p>
            </c:rich>
          </c:tx>
          <c:spPr>
            <a:noFill/>
            <a:ln>
              <a:noFill/>
            </a:ln>
            <a:effectLst/>
          </c:sp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1"/>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c:spPr>
      </c:pivotFmt>
      <c:pivotFmt>
        <c:idx val="82"/>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c:spPr>
      </c:pivotFmt>
      <c:pivotFmt>
        <c:idx val="83"/>
        <c:marker>
          <c:symbol val="none"/>
        </c:marker>
        <c:dLbl>
          <c:idx val="0"/>
          <c:spPr>
            <a:noFill/>
            <a:ln>
              <a:noFill/>
            </a:ln>
            <a:effectLst/>
          </c:spPr>
          <c:txPr>
            <a:bodyPr rot="0" spcFirstLastPara="1" vertOverflow="ellipsis" wrap="square" lIns="91440" tIns="19050" rIns="38100" bIns="19050" anchor="ctr" anchorCtr="1">
              <a:spAutoFit/>
            </a:bodyPr>
            <a:lstStyle/>
            <a:p>
              <a:pPr>
                <a:defRPr sz="20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4"/>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c:spPr>
        <c:dLbl>
          <c:idx val="0"/>
          <c:layout>
            <c:manualLayout>
              <c:x val="-2.8883141452632925E-2"/>
              <c:y val="-0.19453384953917452"/>
            </c:manualLayout>
          </c:layout>
          <c:spPr>
            <a:noFill/>
            <a:ln>
              <a:noFill/>
            </a:ln>
            <a:effectLst/>
          </c:spPr>
          <c:txPr>
            <a:bodyPr rot="0" spcFirstLastPara="1" vertOverflow="ellipsis" wrap="square" lIns="91440" tIns="19050" rIns="38100" bIns="19050" anchor="ctr" anchorCtr="1">
              <a:spAutoFit/>
            </a:bodyPr>
            <a:lstStyle/>
            <a:p>
              <a:pPr>
                <a:defRPr sz="20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2532210351113041"/>
                  <c:h val="0.10869233863076957"/>
                </c:manualLayout>
              </c15:layout>
            </c:ext>
          </c:extLst>
        </c:dLbl>
      </c:pivotFmt>
      <c:pivotFmt>
        <c:idx val="85"/>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c:spPr>
        <c:dLbl>
          <c:idx val="0"/>
          <c:layout>
            <c:manualLayout>
              <c:x val="0.11660248181429182"/>
              <c:y val="-0.14852087424579297"/>
            </c:manualLayout>
          </c:layout>
          <c:spPr>
            <a:noFill/>
            <a:ln>
              <a:noFill/>
            </a:ln>
            <a:effectLst/>
          </c:spPr>
          <c:txPr>
            <a:bodyPr rot="0" spcFirstLastPara="1" vertOverflow="ellipsis" wrap="square" lIns="91440" tIns="19050" rIns="38100" bIns="19050" anchor="ctr" anchorCtr="1">
              <a:spAutoFit/>
            </a:bodyPr>
            <a:lstStyle/>
            <a:p>
              <a:pPr>
                <a:defRPr sz="20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0299596696754369"/>
                  <c:h val="0.11077381379680408"/>
                </c:manualLayout>
              </c15:layout>
            </c:ext>
          </c:extLst>
        </c:dLbl>
      </c:pivotFmt>
      <c:pivotFmt>
        <c:idx val="86"/>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c:spPr>
      </c:pivotFmt>
      <c:pivotFmt>
        <c:idx val="87"/>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c:spPr>
        <c:dLbl>
          <c:idx val="0"/>
          <c:layout>
            <c:manualLayout>
              <c:x val="4.5408508788776163E-2"/>
              <c:y val="0.23390224802595846"/>
            </c:manualLayout>
          </c:layout>
          <c:spPr>
            <a:noFill/>
            <a:ln>
              <a:noFill/>
            </a:ln>
            <a:effectLst/>
          </c:spPr>
          <c:txPr>
            <a:bodyPr rot="0" spcFirstLastPara="1" vertOverflow="ellipsis" wrap="square" lIns="91440" tIns="19050" rIns="38100" bIns="19050" anchor="ctr" anchorCtr="1">
              <a:spAutoFit/>
            </a:bodyPr>
            <a:lstStyle/>
            <a:p>
              <a:pPr>
                <a:defRPr sz="20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3170790669779886"/>
                  <c:h val="0.16281069294766712"/>
                </c:manualLayout>
              </c15:layout>
            </c:ext>
          </c:extLst>
        </c:dLbl>
      </c:pivotFmt>
      <c:pivotFmt>
        <c:idx val="88"/>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c:spPr>
      </c:pivotFmt>
      <c:pivotFmt>
        <c:idx val="89"/>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c:spPr>
        <c:dLbl>
          <c:idx val="0"/>
          <c:layout>
            <c:manualLayout>
              <c:x val="-0.1016260162601626"/>
              <c:y val="-9.2368574510746801E-2"/>
            </c:manualLayout>
          </c:layout>
          <c:spPr>
            <a:noFill/>
            <a:ln>
              <a:noFill/>
            </a:ln>
            <a:effectLst/>
          </c:spPr>
          <c:txPr>
            <a:bodyPr rot="0" spcFirstLastPara="1" vertOverflow="ellipsis" wrap="square" lIns="91440" tIns="19050" rIns="38100" bIns="19050" anchor="ctr" anchorCtr="1">
              <a:spAutoFit/>
            </a:bodyPr>
            <a:lstStyle/>
            <a:p>
              <a:pPr>
                <a:defRPr sz="20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7.58557137995748E-2"/>
                  <c:h val="0.17321806877783968"/>
                </c:manualLayout>
              </c15:layout>
            </c:ext>
          </c:extLst>
        </c:dLbl>
      </c:pivotFmt>
      <c:pivotFmt>
        <c:idx val="9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1"/>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c:spPr>
      </c:pivotFmt>
      <c:pivotFmt>
        <c:idx val="92"/>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c:spPr>
      </c:pivotFmt>
      <c:pivotFmt>
        <c:idx val="93"/>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c:spPr>
      </c:pivotFmt>
      <c:pivotFmt>
        <c:idx val="94"/>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c:spPr>
      </c:pivotFmt>
      <c:pivotFmt>
        <c:idx val="95"/>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c:spPr>
      </c:pivotFmt>
      <c:pivotFmt>
        <c:idx val="96"/>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c:spPr>
      </c:pivotFmt>
      <c:pivotFmt>
        <c:idx val="97"/>
        <c:marker>
          <c:symbol val="none"/>
        </c:marker>
        <c:dLbl>
          <c:idx val="0"/>
          <c:numFmt formatCode="0.00%" sourceLinked="0"/>
          <c:spPr>
            <a:noFill/>
            <a:ln>
              <a:noFill/>
            </a:ln>
            <a:effectLst/>
          </c:spPr>
          <c:txPr>
            <a:bodyPr wrap="square" lIns="38100" tIns="19050" rIns="38100" bIns="19050" anchor="ctr">
              <a:spAutoFit/>
            </a:bodyPr>
            <a:lstStyle/>
            <a:p>
              <a:pPr>
                <a:defRPr sz="2400" b="1"/>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'Anaylsis-2'!$B$3</c:f>
              <c:strCache>
                <c:ptCount val="1"/>
                <c:pt idx="0">
                  <c:v>Total</c:v>
                </c:pt>
              </c:strCache>
            </c:strRef>
          </c:tx>
          <c:dPt>
            <c:idx val="0"/>
            <c:bubble3D val="0"/>
            <c:extLst>
              <c:ext xmlns:c16="http://schemas.microsoft.com/office/drawing/2014/chart" uri="{C3380CC4-5D6E-409C-BE32-E72D297353CC}">
                <c16:uniqueId val="{00000001-2DF3-4DC0-9090-A8C613F47227}"/>
              </c:ext>
            </c:extLst>
          </c:dPt>
          <c:dPt>
            <c:idx val="1"/>
            <c:bubble3D val="0"/>
            <c:extLst>
              <c:ext xmlns:c16="http://schemas.microsoft.com/office/drawing/2014/chart" uri="{C3380CC4-5D6E-409C-BE32-E72D297353CC}">
                <c16:uniqueId val="{00000003-2DF3-4DC0-9090-A8C613F47227}"/>
              </c:ext>
            </c:extLst>
          </c:dPt>
          <c:dPt>
            <c:idx val="2"/>
            <c:bubble3D val="0"/>
            <c:extLst>
              <c:ext xmlns:c16="http://schemas.microsoft.com/office/drawing/2014/chart" uri="{C3380CC4-5D6E-409C-BE32-E72D297353CC}">
                <c16:uniqueId val="{00000005-2DF3-4DC0-9090-A8C613F47227}"/>
              </c:ext>
            </c:extLst>
          </c:dPt>
          <c:dPt>
            <c:idx val="3"/>
            <c:bubble3D val="0"/>
            <c:extLst>
              <c:ext xmlns:c16="http://schemas.microsoft.com/office/drawing/2014/chart" uri="{C3380CC4-5D6E-409C-BE32-E72D297353CC}">
                <c16:uniqueId val="{00000007-2DF3-4DC0-9090-A8C613F47227}"/>
              </c:ext>
            </c:extLst>
          </c:dPt>
          <c:dPt>
            <c:idx val="4"/>
            <c:bubble3D val="0"/>
            <c:extLst>
              <c:ext xmlns:c16="http://schemas.microsoft.com/office/drawing/2014/chart" uri="{C3380CC4-5D6E-409C-BE32-E72D297353CC}">
                <c16:uniqueId val="{00000009-2DF3-4DC0-9090-A8C613F47227}"/>
              </c:ext>
            </c:extLst>
          </c:dPt>
          <c:dPt>
            <c:idx val="5"/>
            <c:bubble3D val="0"/>
            <c:extLst>
              <c:ext xmlns:c16="http://schemas.microsoft.com/office/drawing/2014/chart" uri="{C3380CC4-5D6E-409C-BE32-E72D297353CC}">
                <c16:uniqueId val="{0000000B-2DF3-4DC0-9090-A8C613F47227}"/>
              </c:ext>
            </c:extLst>
          </c:dPt>
          <c:dLbls>
            <c:numFmt formatCode="0.00%" sourceLinked="0"/>
            <c:spPr>
              <a:noFill/>
              <a:ln>
                <a:noFill/>
              </a:ln>
              <a:effectLst/>
            </c:spPr>
            <c:txPr>
              <a:bodyPr wrap="square" lIns="38100" tIns="19050" rIns="38100" bIns="19050" anchor="ctr">
                <a:spAutoFit/>
              </a:bodyPr>
              <a:lstStyle/>
              <a:p>
                <a:pPr>
                  <a:defRPr sz="2400" b="1"/>
                </a:pPr>
                <a:endParaRPr lang="en-US"/>
              </a:p>
            </c:txPr>
            <c:showLegendKey val="0"/>
            <c:showVal val="0"/>
            <c:showCatName val="1"/>
            <c:showSerName val="0"/>
            <c:showPercent val="1"/>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'Anaylsis-2'!$A$4:$A$10</c:f>
              <c:strCache>
                <c:ptCount val="6"/>
                <c:pt idx="0">
                  <c:v>Australia</c:v>
                </c:pt>
                <c:pt idx="1">
                  <c:v>Canada</c:v>
                </c:pt>
                <c:pt idx="2">
                  <c:v>India</c:v>
                </c:pt>
                <c:pt idx="3">
                  <c:v>New Zealand</c:v>
                </c:pt>
                <c:pt idx="4">
                  <c:v>UK</c:v>
                </c:pt>
                <c:pt idx="5">
                  <c:v>USA</c:v>
                </c:pt>
              </c:strCache>
            </c:strRef>
          </c:cat>
          <c:val>
            <c:numRef>
              <c:f>'Anaylsis-2'!$B$4:$B$10</c:f>
              <c:numCache>
                <c:formatCode>0.00%</c:formatCode>
                <c:ptCount val="6"/>
                <c:pt idx="0">
                  <c:v>0.18424228130003614</c:v>
                </c:pt>
                <c:pt idx="1">
                  <c:v>0.15554578846876893</c:v>
                </c:pt>
                <c:pt idx="2">
                  <c:v>0.16894720912783531</c:v>
                </c:pt>
                <c:pt idx="3">
                  <c:v>0.15378536184644409</c:v>
                </c:pt>
                <c:pt idx="4">
                  <c:v>0.17004151685403326</c:v>
                </c:pt>
                <c:pt idx="5">
                  <c:v>0.16743784240288231</c:v>
                </c:pt>
              </c:numCache>
            </c:numRef>
          </c:val>
          <c:extLst>
            <c:ext xmlns:c16="http://schemas.microsoft.com/office/drawing/2014/chart" uri="{C3380CC4-5D6E-409C-BE32-E72D297353CC}">
              <c16:uniqueId val="{0000000C-2DF3-4DC0-9090-A8C613F47227}"/>
            </c:ext>
          </c:extLst>
        </c:ser>
        <c:dLbls>
          <c:showLegendKey val="0"/>
          <c:showVal val="0"/>
          <c:showCatName val="1"/>
          <c:showSerName val="0"/>
          <c:showPercent val="1"/>
          <c:showBubbleSize val="0"/>
          <c:showLeaderLines val="1"/>
        </c:dLbls>
        <c:firstSliceAng val="14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[Analysis Chocolate Sales 2026.xlsx]Anaylsis-2!PivotTable34</c:name>
    <c:fmtId val="17"/>
  </c:pivotSource>
  <c:chart>
    <c:title>
      <c:tx>
        <c:rich>
          <a:bodyPr rot="0" spcFirstLastPara="1" vertOverflow="ellipsis" vert="horz" wrap="square" anchor="ctr" anchorCtr="1"/>
          <a:lstStyle/>
          <a:p>
            <a:pPr algn="ctr" rtl="0">
              <a:defRPr sz="1800" b="0" i="0" u="none" strike="noStrike" kern="1200" spc="0" baseline="0">
                <a:solidFill>
                  <a:srgbClr val="663300"/>
                </a:solidFill>
                <a:latin typeface="Berlin Sans FB Demi" panose="020E0802020502020306" pitchFamily="34" charset="0"/>
                <a:ea typeface="+mn-ea"/>
                <a:cs typeface="+mn-cs"/>
              </a:defRPr>
            </a:pPr>
            <a:r>
              <a:rPr lang="en-US" sz="3200">
                <a:solidFill>
                  <a:srgbClr val="663300"/>
                </a:solidFill>
                <a:latin typeface="Berlin Sans FB Demi" panose="020E0802020502020306" pitchFamily="34" charset="0"/>
              </a:rPr>
              <a:t>TOP 5 of Sale Person By Amount</a:t>
            </a:r>
          </a:p>
        </c:rich>
      </c:tx>
      <c:layout>
        <c:manualLayout>
          <c:xMode val="edge"/>
          <c:yMode val="edge"/>
          <c:x val="0.20267710156869262"/>
          <c:y val="3.3555281742443765E-2"/>
        </c:manualLayout>
      </c:layout>
      <c:overlay val="0"/>
      <c:spPr>
        <a:noFill/>
        <a:ln>
          <a:noFill/>
        </a:ln>
        <a:effectLst/>
      </c:spPr>
      <c:txPr>
        <a:bodyPr rot="0" spcFirstLastPara="1" vertOverflow="ellipsis" vert="horz" wrap="square" anchor="ctr" anchorCtr="1"/>
        <a:lstStyle/>
        <a:p>
          <a:pPr algn="ctr" rtl="0">
            <a:defRPr sz="1800" b="0" i="0" u="none" strike="noStrike" kern="1200" spc="0" baseline="0">
              <a:solidFill>
                <a:srgbClr val="663300"/>
              </a:solidFill>
              <a:latin typeface="Berlin Sans FB Demi" panose="020E0802020502020306" pitchFamily="34" charset="0"/>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
        <c:spPr>
          <a:solidFill>
            <a:schemeClr val="accent2"/>
          </a:solidFill>
          <a:ln w="19050">
            <a:solidFill>
              <a:schemeClr val="lt1"/>
            </a:solidFill>
          </a:ln>
          <a:effectLst/>
        </c:spPr>
        <c:dLbl>
          <c:idx val="0"/>
          <c:layout>
            <c:manualLayout>
              <c:x val="5.1030183727034124E-3"/>
              <c:y val="4.5554461942257173E-2"/>
            </c:manualLayout>
          </c:layout>
          <c:spPr>
            <a:solidFill>
              <a:sysClr val="windowText" lastClr="000000"/>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gd name="adj1" fmla="val -42608"/>
                    <a:gd name="adj2" fmla="val 125153"/>
                    <a:gd name="adj3" fmla="val 16667"/>
                  </a:avLst>
                </a:prstGeom>
                <a:noFill/>
                <a:ln>
                  <a:noFill/>
                </a:ln>
              </c15:spPr>
            </c:ext>
          </c:extLst>
        </c:dLbl>
      </c:pivotFmt>
      <c:pivotFmt>
        <c:idx val="2"/>
        <c:spPr>
          <a:solidFill>
            <a:schemeClr val="accent2"/>
          </a:solidFill>
          <a:ln w="19050">
            <a:solidFill>
              <a:schemeClr val="lt1"/>
            </a:solidFill>
          </a:ln>
          <a:effectLst/>
        </c:spPr>
        <c:dLbl>
          <c:idx val="0"/>
          <c:layout>
            <c:manualLayout>
              <c:x val="4.1041557305336832E-2"/>
              <c:y val="1.5280876348789735E-2"/>
            </c:manualLayout>
          </c:layout>
          <c:spPr>
            <a:xfrm>
              <a:off x="1118029" y="528101"/>
              <a:ext cx="794622" cy="190505"/>
            </a:xfrm>
            <a:solidFill>
              <a:sysClr val="windowText" lastClr="000000"/>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gd name="adj1" fmla="val 37463"/>
                    <a:gd name="adj2" fmla="val 111063"/>
                    <a:gd name="adj3" fmla="val 16667"/>
                  </a:avLst>
                </a:prstGeom>
                <a:noFill/>
                <a:ln>
                  <a:noFill/>
                </a:ln>
              </c15:spPr>
              <c15:layout>
                <c:manualLayout>
                  <c:w val="0.17380183727034121"/>
                  <c:h val="6.9446631671041106E-2"/>
                </c:manualLayout>
              </c15:layout>
            </c:ext>
          </c:extLst>
        </c:dLbl>
      </c:pivotFmt>
      <c:pivotFmt>
        <c:idx val="3"/>
        <c:spPr>
          <a:solidFill>
            <a:schemeClr val="accent2"/>
          </a:solidFill>
          <a:ln w="19050">
            <a:solidFill>
              <a:schemeClr val="lt1"/>
            </a:solidFill>
          </a:ln>
          <a:effectLst/>
        </c:spPr>
        <c:dLbl>
          <c:idx val="0"/>
          <c:layout>
            <c:manualLayout>
              <c:x val="6.116404199475068E-2"/>
              <c:y val="2.952245552639245E-2"/>
            </c:manualLayout>
          </c:layout>
          <c:spPr>
            <a:solidFill>
              <a:sysClr val="windowText" lastClr="000000"/>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gd name="adj1" fmla="val 28617"/>
                    <a:gd name="adj2" fmla="val -125632"/>
                    <a:gd name="adj3" fmla="val 16667"/>
                  </a:avLst>
                </a:prstGeom>
                <a:noFill/>
                <a:ln>
                  <a:noFill/>
                </a:ln>
              </c15:spPr>
            </c:ext>
          </c:extLst>
        </c:dLbl>
      </c:pivotFmt>
      <c:pivotFmt>
        <c:idx val="4"/>
        <c:spPr>
          <a:solidFill>
            <a:schemeClr val="accent2"/>
          </a:solidFill>
          <a:ln w="19050">
            <a:solidFill>
              <a:schemeClr val="lt1"/>
            </a:solidFill>
          </a:ln>
          <a:effectLst/>
        </c:spPr>
        <c:dLbl>
          <c:idx val="0"/>
          <c:layout>
            <c:manualLayout>
              <c:x val="3.2262029746281715E-2"/>
              <c:y val="-5.9667177019539226E-2"/>
            </c:manualLayout>
          </c:layout>
          <c:spPr>
            <a:solidFill>
              <a:sysClr val="windowText" lastClr="000000"/>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gd name="adj1" fmla="val -25768"/>
                    <a:gd name="adj2" fmla="val -93350"/>
                    <a:gd name="adj3" fmla="val 16667"/>
                  </a:avLst>
                </a:prstGeom>
                <a:noFill/>
                <a:ln>
                  <a:noFill/>
                </a:ln>
              </c15:spPr>
            </c:ext>
          </c:extLst>
        </c:dLbl>
      </c:pivotFmt>
      <c:pivotFmt>
        <c:idx val="5"/>
        <c:spPr>
          <a:solidFill>
            <a:schemeClr val="accent2"/>
          </a:solidFill>
          <a:ln w="19050">
            <a:solidFill>
              <a:schemeClr val="lt1"/>
            </a:solidFill>
          </a:ln>
          <a:effectLst/>
        </c:spPr>
        <c:dLbl>
          <c:idx val="0"/>
          <c:layout>
            <c:manualLayout>
              <c:x val="-8.1783683289588904E-2"/>
              <c:y val="2.3978565179352582E-2"/>
            </c:manualLayout>
          </c:layout>
          <c:spPr>
            <a:solidFill>
              <a:sysClr val="windowText" lastClr="000000"/>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gd name="adj1" fmla="val -27045"/>
                    <a:gd name="adj2" fmla="val -108928"/>
                    <a:gd name="adj3" fmla="val 16667"/>
                  </a:avLst>
                </a:prstGeom>
                <a:noFill/>
                <a:ln>
                  <a:noFill/>
                </a:ln>
              </c15:spPr>
            </c:ext>
          </c:extLst>
        </c:dLbl>
      </c:pivotFmt>
      <c:pivotFmt>
        <c:idx val="6"/>
        <c:spPr>
          <a:solidFill>
            <a:schemeClr val="accent2">
              <a:lumMod val="50000"/>
            </a:schemeClr>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w="19050">
            <a:solidFill>
              <a:schemeClr val="lt1"/>
            </a:solidFill>
          </a:ln>
          <a:effectLst/>
        </c:spPr>
      </c:pivotFmt>
      <c:pivotFmt>
        <c:idx val="8"/>
        <c:spPr>
          <a:solidFill>
            <a:schemeClr val="accent2">
              <a:lumMod val="50000"/>
            </a:schemeClr>
          </a:solidFill>
          <a:ln w="19050">
            <a:solidFill>
              <a:schemeClr val="lt1"/>
            </a:solidFill>
          </a:ln>
          <a:effectLst/>
        </c:spPr>
      </c:pivotFmt>
      <c:pivotFmt>
        <c:idx val="9"/>
        <c:spPr>
          <a:solidFill>
            <a:schemeClr val="accent2">
              <a:lumMod val="50000"/>
            </a:schemeClr>
          </a:solidFill>
          <a:ln w="19050">
            <a:solidFill>
              <a:schemeClr val="lt1"/>
            </a:solidFill>
          </a:ln>
          <a:effectLst/>
        </c:spPr>
        <c:dLbl>
          <c:idx val="0"/>
          <c:layout>
            <c:manualLayout>
              <c:x val="5.3738087018124624E-2"/>
              <c:y val="1.6572436888871846E-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50000"/>
            </a:schemeClr>
          </a:solidFill>
          <a:ln w="19050">
            <a:solidFill>
              <a:schemeClr val="lt1"/>
            </a:solid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50000"/>
            </a:schemeClr>
          </a:solidFill>
          <a:ln w="19050">
            <a:solidFill>
              <a:schemeClr val="lt1"/>
            </a:solidFill>
          </a:ln>
          <a:effectLst/>
        </c:spPr>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50000"/>
            </a:schemeClr>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50000"/>
            </a:schemeClr>
          </a:solidFill>
          <a:ln w="19050">
            <a:solidFill>
              <a:schemeClr val="lt1"/>
            </a:solidFill>
          </a:ln>
          <a:effectLst/>
        </c:spPr>
        <c:dLbl>
          <c:idx val="0"/>
          <c:layout>
            <c:manualLayout>
              <c:x val="5.3738087018124624E-2"/>
              <c:y val="1.6572436888871846E-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50000"/>
            </a:schemeClr>
          </a:solidFill>
          <a:ln w="19050">
            <a:solidFill>
              <a:schemeClr val="lt1"/>
            </a:solid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50000"/>
            </a:schemeClr>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50000"/>
            </a:schemeClr>
          </a:solidFill>
          <a:ln w="19050">
            <a:solidFill>
              <a:schemeClr val="lt1"/>
            </a:solidFill>
          </a:ln>
          <a:effectLst/>
        </c:spPr>
        <c:dLbl>
          <c:idx val="0"/>
          <c:layout>
            <c:manualLayout>
              <c:x val="5.3738087018124624E-2"/>
              <c:y val="1.6572436888871846E-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lumMod val="50000"/>
            </a:schemeClr>
          </a:solidFill>
          <a:ln w="19050">
            <a:solidFill>
              <a:schemeClr val="lt1"/>
            </a:solid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67159247755893"/>
          <c:y val="0.13972939328979939"/>
          <c:w val="0.72370510464431648"/>
          <c:h val="0.7481110797735514"/>
        </c:manualLayout>
      </c:layout>
      <c:barChart>
        <c:barDir val="bar"/>
        <c:grouping val="stacked"/>
        <c:varyColors val="0"/>
        <c:ser>
          <c:idx val="0"/>
          <c:order val="0"/>
          <c:tx>
            <c:strRef>
              <c:f>'Anaylsis-2'!$L$2</c:f>
              <c:strCache>
                <c:ptCount val="1"/>
                <c:pt idx="0">
                  <c:v>Total</c:v>
                </c:pt>
              </c:strCache>
            </c:strRef>
          </c:tx>
          <c:spPr>
            <a:solidFill>
              <a:schemeClr val="accent2">
                <a:lumMod val="50000"/>
              </a:schemeClr>
            </a:solidFill>
            <a:ln w="19050">
              <a:solidFill>
                <a:schemeClr val="lt1"/>
              </a:solidFill>
            </a:ln>
            <a:effectLst/>
          </c:spPr>
          <c:invertIfNegative val="0"/>
          <c:dPt>
            <c:idx val="1"/>
            <c:invertIfNegative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C1C4-4D8F-A2C4-90845B426BC5}"/>
              </c:ext>
            </c:extLst>
          </c:dPt>
          <c:dPt>
            <c:idx val="2"/>
            <c:invertIfNegative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C1C4-4D8F-A2C4-90845B426BC5}"/>
              </c:ext>
            </c:extLst>
          </c:dPt>
          <c:dPt>
            <c:idx val="4"/>
            <c:invertIfNegative val="0"/>
            <c:bubble3D val="0"/>
            <c:extLst>
              <c:ext xmlns:c16="http://schemas.microsoft.com/office/drawing/2014/chart" uri="{C3380CC4-5D6E-409C-BE32-E72D297353CC}">
                <c16:uniqueId val="{00000003-C891-45CF-9DD5-1668D38D187D}"/>
              </c:ext>
            </c:extLst>
          </c:dPt>
          <c:dLbls>
            <c:dLbl>
              <c:idx val="1"/>
              <c:layout>
                <c:manualLayout>
                  <c:x val="5.3738087018124624E-2"/>
                  <c:y val="1.657243688887184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1C4-4D8F-A2C4-90845B426BC5}"/>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C4-4D8F-A2C4-90845B426BC5}"/>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'Anaylsis-2'!$K$3:$K$8</c:f>
              <c:strCache>
                <c:ptCount val="5"/>
                <c:pt idx="0">
                  <c:v>Brien Boise</c:v>
                </c:pt>
                <c:pt idx="1">
                  <c:v>Kelci Walkden</c:v>
                </c:pt>
                <c:pt idx="2">
                  <c:v>Madelene Upcott</c:v>
                </c:pt>
                <c:pt idx="3">
                  <c:v>Oby Sorrel</c:v>
                </c:pt>
                <c:pt idx="4">
                  <c:v>Ches Bonnell</c:v>
                </c:pt>
              </c:strCache>
            </c:strRef>
          </c:cat>
          <c:val>
            <c:numRef>
              <c:f>'Anaylsis-2'!$L$3:$L$8</c:f>
              <c:numCache>
                <c:formatCode>General</c:formatCode>
                <c:ptCount val="5"/>
                <c:pt idx="0">
                  <c:v>997326.48000000056</c:v>
                </c:pt>
                <c:pt idx="1">
                  <c:v>1002929.1</c:v>
                </c:pt>
                <c:pt idx="2">
                  <c:v>1010028.72</c:v>
                </c:pt>
                <c:pt idx="3">
                  <c:v>1017204.1199999995</c:v>
                </c:pt>
                <c:pt idx="4">
                  <c:v>1022599.9600000002</c:v>
                </c:pt>
              </c:numCache>
            </c:numRef>
          </c:val>
          <c:extLst>
            <c:ext xmlns:c16="http://schemas.microsoft.com/office/drawing/2014/chart" uri="{C3380CC4-5D6E-409C-BE32-E72D297353CC}">
              <c16:uniqueId val="{00000004-C1C4-4D8F-A2C4-90845B426BC5}"/>
            </c:ext>
          </c:extLst>
        </c:ser>
        <c:dLbls>
          <c:showLegendKey val="0"/>
          <c:showVal val="0"/>
          <c:showCatName val="0"/>
          <c:showSerName val="0"/>
          <c:showPercent val="0"/>
          <c:showBubbleSize val="0"/>
        </c:dLbls>
        <c:gapWidth val="100"/>
        <c:overlap val="100"/>
        <c:axId val="877279360"/>
        <c:axId val="877281856"/>
      </c:barChart>
      <c:valAx>
        <c:axId val="877281856"/>
        <c:scaling>
          <c:orientation val="minMax"/>
          <c:max val="1020000"/>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877279360"/>
        <c:crosses val="autoZero"/>
        <c:crossBetween val="between"/>
      </c:valAx>
      <c:catAx>
        <c:axId val="8772793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dk1"/>
                </a:solidFill>
                <a:latin typeface="+mn-lt"/>
                <a:ea typeface="+mn-ea"/>
                <a:cs typeface="+mn-cs"/>
              </a:defRPr>
            </a:pPr>
            <a:endParaRPr lang="en-US"/>
          </a:p>
        </c:txPr>
        <c:crossAx val="87728185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Chocolate Sales 2026.xlsx]Anaylsis-2!PivotTable37</c:name>
    <c:fmtId val="4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3200" b="1" i="0" u="none" strike="noStrike" kern="1200" spc="0" baseline="0">
                <a:solidFill>
                  <a:srgbClr val="663300"/>
                </a:solidFill>
                <a:latin typeface="Berlin Sans FB Demi" panose="020E0802020502020306" pitchFamily="34" charset="0"/>
                <a:ea typeface="+mn-ea"/>
                <a:cs typeface="+mn-cs"/>
              </a:rPr>
              <a:t>Boxes Shipped By Country </a:t>
            </a:r>
          </a:p>
        </c:rich>
      </c:tx>
      <c:layout>
        <c:manualLayout>
          <c:xMode val="edge"/>
          <c:yMode val="edge"/>
          <c:x val="0.22833240131842639"/>
          <c:y val="4.25943125555616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00629208495479"/>
          <c:y val="0.17958353682394709"/>
          <c:w val="0.75545890056652587"/>
          <c:h val="0.71404141577891"/>
        </c:manualLayout>
      </c:layout>
      <c:lineChart>
        <c:grouping val="stacked"/>
        <c:varyColors val="0"/>
        <c:ser>
          <c:idx val="0"/>
          <c:order val="0"/>
          <c:tx>
            <c:strRef>
              <c:f>'Anaylsis-2'!$BR$1:$BR$2</c:f>
              <c:strCache>
                <c:ptCount val="1"/>
                <c:pt idx="0">
                  <c:v>2022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'Anaylsis-2'!$BQ$3:$BQ$9</c:f>
              <c:strCache>
                <c:ptCount val="6"/>
                <c:pt idx="0">
                  <c:v>Australia</c:v>
                </c:pt>
                <c:pt idx="1">
                  <c:v>Canada</c:v>
                </c:pt>
                <c:pt idx="2">
                  <c:v>India</c:v>
                </c:pt>
                <c:pt idx="3">
                  <c:v>New Zealand</c:v>
                </c:pt>
                <c:pt idx="4">
                  <c:v>UK</c:v>
                </c:pt>
                <c:pt idx="5">
                  <c:v>USA</c:v>
                </c:pt>
              </c:strCache>
            </c:strRef>
          </c:cat>
          <c:val>
            <c:numRef>
              <c:f>'Anaylsis-2'!$BR$3:$BR$9</c:f>
              <c:numCache>
                <c:formatCode>General</c:formatCode>
                <c:ptCount val="6"/>
                <c:pt idx="0">
                  <c:v>1137367</c:v>
                </c:pt>
                <c:pt idx="1">
                  <c:v>962899</c:v>
                </c:pt>
                <c:pt idx="2">
                  <c:v>1045800</c:v>
                </c:pt>
                <c:pt idx="3">
                  <c:v>950418</c:v>
                </c:pt>
                <c:pt idx="4">
                  <c:v>1051792</c:v>
                </c:pt>
                <c:pt idx="5">
                  <c:v>1035349</c:v>
                </c:pt>
              </c:numCache>
            </c:numRef>
          </c:val>
          <c:smooth val="0"/>
          <c:extLst>
            <c:ext xmlns:c16="http://schemas.microsoft.com/office/drawing/2014/chart" uri="{C3380CC4-5D6E-409C-BE32-E72D297353CC}">
              <c16:uniqueId val="{00000000-C436-4A6F-8FB1-3DB2C72D75E4}"/>
            </c:ext>
          </c:extLst>
        </c:ser>
        <c:ser>
          <c:idx val="1"/>
          <c:order val="1"/>
          <c:tx>
            <c:strRef>
              <c:f>'Anaylsis-2'!$BS$1:$BS$2</c:f>
              <c:strCache>
                <c:ptCount val="1"/>
                <c:pt idx="0">
                  <c:v>2023</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'Anaylsis-2'!$BQ$3:$BQ$9</c:f>
              <c:strCache>
                <c:ptCount val="6"/>
                <c:pt idx="0">
                  <c:v>Australia</c:v>
                </c:pt>
                <c:pt idx="1">
                  <c:v>Canada</c:v>
                </c:pt>
                <c:pt idx="2">
                  <c:v>India</c:v>
                </c:pt>
                <c:pt idx="3">
                  <c:v>New Zealand</c:v>
                </c:pt>
                <c:pt idx="4">
                  <c:v>UK</c:v>
                </c:pt>
                <c:pt idx="5">
                  <c:v>USA</c:v>
                </c:pt>
              </c:strCache>
            </c:strRef>
          </c:cat>
          <c:val>
            <c:numRef>
              <c:f>'Anaylsis-2'!$BS$3:$BS$9</c:f>
              <c:numCache>
                <c:formatCode>General</c:formatCode>
                <c:ptCount val="6"/>
                <c:pt idx="0">
                  <c:v>1227533.7199999993</c:v>
                </c:pt>
                <c:pt idx="1">
                  <c:v>1032494.6799999997</c:v>
                </c:pt>
                <c:pt idx="2">
                  <c:v>1117250.3899999997</c:v>
                </c:pt>
                <c:pt idx="3">
                  <c:v>1025154.1000000006</c:v>
                </c:pt>
                <c:pt idx="4">
                  <c:v>1128924.5599999998</c:v>
                </c:pt>
                <c:pt idx="5">
                  <c:v>1112020.5099999993</c:v>
                </c:pt>
              </c:numCache>
            </c:numRef>
          </c:val>
          <c:smooth val="0"/>
          <c:extLst>
            <c:ext xmlns:c16="http://schemas.microsoft.com/office/drawing/2014/chart" uri="{C3380CC4-5D6E-409C-BE32-E72D297353CC}">
              <c16:uniqueId val="{0000000B-916D-429E-AEC2-DEEE2ACF659B}"/>
            </c:ext>
          </c:extLst>
        </c:ser>
        <c:ser>
          <c:idx val="2"/>
          <c:order val="2"/>
          <c:tx>
            <c:strRef>
              <c:f>'Anaylsis-2'!$BT$1:$BT$2</c:f>
              <c:strCache>
                <c:ptCount val="1"/>
                <c:pt idx="0">
                  <c:v>2024</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'Anaylsis-2'!$BQ$3:$BQ$9</c:f>
              <c:strCache>
                <c:ptCount val="6"/>
                <c:pt idx="0">
                  <c:v>Australia</c:v>
                </c:pt>
                <c:pt idx="1">
                  <c:v>Canada</c:v>
                </c:pt>
                <c:pt idx="2">
                  <c:v>India</c:v>
                </c:pt>
                <c:pt idx="3">
                  <c:v>New Zealand</c:v>
                </c:pt>
                <c:pt idx="4">
                  <c:v>UK</c:v>
                </c:pt>
                <c:pt idx="5">
                  <c:v>USA</c:v>
                </c:pt>
              </c:strCache>
            </c:strRef>
          </c:cat>
          <c:val>
            <c:numRef>
              <c:f>'Anaylsis-2'!$BT$3:$BT$9</c:f>
              <c:numCache>
                <c:formatCode>General</c:formatCode>
                <c:ptCount val="6"/>
                <c:pt idx="0">
                  <c:v>1281543.6300000004</c:v>
                </c:pt>
                <c:pt idx="1">
                  <c:v>1083101.9700000002</c:v>
                </c:pt>
                <c:pt idx="2">
                  <c:v>1180680.4400000006</c:v>
                </c:pt>
                <c:pt idx="3">
                  <c:v>1068081.9399999992</c:v>
                </c:pt>
                <c:pt idx="4">
                  <c:v>1184672.3400000003</c:v>
                </c:pt>
                <c:pt idx="5">
                  <c:v>1166488.5799999998</c:v>
                </c:pt>
              </c:numCache>
            </c:numRef>
          </c:val>
          <c:smooth val="0"/>
          <c:extLst>
            <c:ext xmlns:c16="http://schemas.microsoft.com/office/drawing/2014/chart" uri="{C3380CC4-5D6E-409C-BE32-E72D297353CC}">
              <c16:uniqueId val="{0000000C-916D-429E-AEC2-DEEE2ACF659B}"/>
            </c:ext>
          </c:extLst>
        </c:ser>
        <c:dLbls>
          <c:showLegendKey val="0"/>
          <c:showVal val="0"/>
          <c:showCatName val="0"/>
          <c:showSerName val="0"/>
          <c:showPercent val="0"/>
          <c:showBubbleSize val="0"/>
        </c:dLbls>
        <c:marker val="1"/>
        <c:smooth val="0"/>
        <c:axId val="905464144"/>
        <c:axId val="905462480"/>
      </c:lineChart>
      <c:catAx>
        <c:axId val="90546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rgbClr val="663300"/>
                </a:solidFill>
                <a:latin typeface="+mn-lt"/>
                <a:ea typeface="+mn-ea"/>
                <a:cs typeface="+mn-cs"/>
              </a:defRPr>
            </a:pPr>
            <a:endParaRPr lang="en-US"/>
          </a:p>
        </c:txPr>
        <c:crossAx val="905462480"/>
        <c:crosses val="autoZero"/>
        <c:auto val="1"/>
        <c:lblAlgn val="ctr"/>
        <c:lblOffset val="100"/>
        <c:noMultiLvlLbl val="0"/>
      </c:catAx>
      <c:valAx>
        <c:axId val="905462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rgbClr val="663300"/>
                </a:solidFill>
                <a:latin typeface="+mn-lt"/>
                <a:ea typeface="+mn-ea"/>
                <a:cs typeface="+mn-cs"/>
              </a:defRPr>
            </a:pPr>
            <a:endParaRPr lang="en-US"/>
          </a:p>
        </c:txPr>
        <c:crossAx val="905464144"/>
        <c:crosses val="autoZero"/>
        <c:crossBetween val="between"/>
        <c:dispUnits>
          <c:builtInUnit val="millions"/>
          <c:dispUnitsLbl>
            <c:spPr>
              <a:noFill/>
              <a:ln>
                <a:noFill/>
              </a:ln>
              <a:effectLst/>
            </c:spPr>
            <c:txPr>
              <a:bodyPr rot="-5400000" spcFirstLastPara="1" vertOverflow="ellipsis" vert="horz" wrap="square" anchor="ctr" anchorCtr="1"/>
              <a:lstStyle/>
              <a:p>
                <a:pPr>
                  <a:defRPr sz="2800" b="1" i="0" u="none" strike="noStrike" kern="1200" baseline="0">
                    <a:solidFill>
                      <a:schemeClr val="dk1"/>
                    </a:solidFill>
                    <a:latin typeface="+mn-lt"/>
                    <a:ea typeface="+mn-ea"/>
                    <a:cs typeface="+mn-cs"/>
                  </a:defRPr>
                </a:pPr>
                <a:endParaRPr lang="en-US"/>
              </a:p>
            </c:txPr>
          </c:dispUnitsLbl>
        </c:dispUnits>
      </c:valAx>
      <c:spPr>
        <a:noFill/>
        <a:ln>
          <a:noFill/>
        </a:ln>
        <a:effectLst/>
      </c:spPr>
    </c:plotArea>
    <c:legend>
      <c:legendPos val="r"/>
      <c:layout>
        <c:manualLayout>
          <c:xMode val="edge"/>
          <c:yMode val="edge"/>
          <c:x val="0.87468749999999995"/>
          <c:y val="0.46439902732746635"/>
          <c:w val="7.0045540897628558E-2"/>
          <c:h val="8.67303889015016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Chocolate Sales 2026.xlsx]Anaylsis-1!PivotTable28</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663300"/>
                </a:solidFill>
                <a:latin typeface="+mn-lt"/>
                <a:ea typeface="+mn-ea"/>
                <a:cs typeface="+mn-cs"/>
              </a:defRPr>
            </a:pPr>
            <a:r>
              <a:rPr lang="en-US" sz="3200" b="0" i="0" baseline="0">
                <a:solidFill>
                  <a:srgbClr val="663300"/>
                </a:solidFill>
                <a:effectLst/>
                <a:latin typeface="Berlin Sans FB Demi" panose="020E0802020502020306" pitchFamily="34" charset="0"/>
              </a:rPr>
              <a:t>TOP 5 of Product By Amount</a:t>
            </a:r>
            <a:endParaRPr lang="en-US" sz="3200">
              <a:solidFill>
                <a:srgbClr val="663300"/>
              </a:solidFill>
              <a:effectLst/>
              <a:latin typeface="Berlin Sans FB Demi" panose="020E0802020502020306"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rgbClr val="663300"/>
                </a:solidFill>
              </a:defRPr>
            </a:pPr>
            <a:endParaRPr lang="en-US">
              <a:solidFill>
                <a:srgbClr val="663300"/>
              </a:solidFill>
            </a:endParaRPr>
          </a:p>
        </c:rich>
      </c:tx>
      <c:layout>
        <c:manualLayout>
          <c:xMode val="edge"/>
          <c:yMode val="edge"/>
          <c:x val="0.19458298876512076"/>
          <c:y val="2.262579422417939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6633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815047916414"/>
          <c:y val="0.17164010629751539"/>
          <c:w val="0.73220269476846178"/>
          <c:h val="0.69268225905035941"/>
        </c:manualLayout>
      </c:layout>
      <c:barChart>
        <c:barDir val="bar"/>
        <c:grouping val="clustered"/>
        <c:varyColors val="0"/>
        <c:ser>
          <c:idx val="0"/>
          <c:order val="0"/>
          <c:tx>
            <c:strRef>
              <c:f>'Anaylsis-1'!$BM$2</c:f>
              <c:strCache>
                <c:ptCount val="1"/>
                <c:pt idx="0">
                  <c:v>Total</c:v>
                </c:pt>
              </c:strCache>
            </c:strRef>
          </c:tx>
          <c:spPr>
            <a:solidFill>
              <a:schemeClr val="accent2">
                <a:lumMod val="50000"/>
              </a:schemeClr>
            </a:solidFill>
            <a:ln>
              <a:noFill/>
            </a:ln>
            <a:effectLst>
              <a:outerShdw blurRad="57150" dist="19050" dir="5400000" algn="ctr" rotWithShape="0">
                <a:srgbClr val="000000">
                  <a:alpha val="63000"/>
                </a:srgbClr>
              </a:outerShdw>
            </a:effectLst>
          </c:spPr>
          <c:invertIfNegative val="0"/>
          <c:cat>
            <c:strRef>
              <c:f>'Anaylsis-1'!$BL$3:$BL$8</c:f>
              <c:strCache>
                <c:ptCount val="5"/>
                <c:pt idx="0">
                  <c:v>Smooth Sliky Salty</c:v>
                </c:pt>
                <c:pt idx="1">
                  <c:v>50% Dark Bites</c:v>
                </c:pt>
                <c:pt idx="2">
                  <c:v>White Choc</c:v>
                </c:pt>
                <c:pt idx="3">
                  <c:v>Peanut Butter Cubes</c:v>
                </c:pt>
                <c:pt idx="4">
                  <c:v>Eclairs</c:v>
                </c:pt>
              </c:strCache>
            </c:strRef>
          </c:cat>
          <c:val>
            <c:numRef>
              <c:f>'Anaylsis-1'!$BM$3:$BM$8</c:f>
              <c:numCache>
                <c:formatCode>General</c:formatCode>
                <c:ptCount val="5"/>
                <c:pt idx="0">
                  <c:v>1120201.0900000003</c:v>
                </c:pt>
                <c:pt idx="1">
                  <c:v>1087659.3500000001</c:v>
                </c:pt>
                <c:pt idx="2">
                  <c:v>1054256.9999999998</c:v>
                </c:pt>
                <c:pt idx="3">
                  <c:v>1036591.0900000001</c:v>
                </c:pt>
                <c:pt idx="4">
                  <c:v>996947.96000000031</c:v>
                </c:pt>
              </c:numCache>
            </c:numRef>
          </c:val>
          <c:extLst>
            <c:ext xmlns:c16="http://schemas.microsoft.com/office/drawing/2014/chart" uri="{C3380CC4-5D6E-409C-BE32-E72D297353CC}">
              <c16:uniqueId val="{00000000-303D-4472-A36E-034C07A84E28}"/>
            </c:ext>
          </c:extLst>
        </c:ser>
        <c:dLbls>
          <c:showLegendKey val="0"/>
          <c:showVal val="0"/>
          <c:showCatName val="0"/>
          <c:showSerName val="0"/>
          <c:showPercent val="0"/>
          <c:showBubbleSize val="0"/>
        </c:dLbls>
        <c:gapWidth val="99"/>
        <c:axId val="1308524991"/>
        <c:axId val="1308525823"/>
      </c:barChart>
      <c:catAx>
        <c:axId val="13085249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308525823"/>
        <c:crosses val="autoZero"/>
        <c:auto val="1"/>
        <c:lblAlgn val="ctr"/>
        <c:lblOffset val="100"/>
        <c:noMultiLvlLbl val="0"/>
      </c:catAx>
      <c:valAx>
        <c:axId val="1308525823"/>
        <c:scaling>
          <c:orientation val="minMax"/>
        </c:scaling>
        <c:delete val="0"/>
        <c:axPos val="b"/>
        <c:majorGridlines>
          <c:spPr>
            <a:ln w="6350" cap="flat" cmpd="sng" algn="ctr">
              <a:solidFill>
                <a:schemeClr val="bg2">
                  <a:lumMod val="75000"/>
                </a:schemeClr>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308524991"/>
        <c:crosses val="autoZero"/>
        <c:crossBetween val="between"/>
        <c:dispUnits>
          <c:builtInUnit val="thousands"/>
          <c:dispUnitsLbl>
            <c:layout>
              <c:manualLayout>
                <c:xMode val="edge"/>
                <c:yMode val="edge"/>
                <c:x val="3.2153164100377822E-2"/>
                <c:y val="0.91867173395055013"/>
              </c:manualLayout>
            </c:layout>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400" b="1"/>
                    <a:t>Thousands</a:t>
                  </a:r>
                  <a:endParaRPr lang="en-US" sz="2000" b="1"/>
                </a:p>
              </c:rich>
            </c:tx>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[Analysis Chocolate Sales 2026.xlsx]Anaylsis-1!PivotTable29</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663300"/>
                </a:solidFill>
                <a:latin typeface="+mn-lt"/>
                <a:ea typeface="+mn-ea"/>
                <a:cs typeface="+mn-cs"/>
              </a:defRPr>
            </a:pPr>
            <a:r>
              <a:rPr lang="en-US" sz="3200" b="0" i="0" baseline="0">
                <a:solidFill>
                  <a:srgbClr val="663300"/>
                </a:solidFill>
                <a:effectLst/>
                <a:latin typeface="Berlin Sans FB Demi" panose="020E0802020502020306" pitchFamily="34" charset="0"/>
              </a:rPr>
              <a:t>TOP 5 of Product By Boxes Shipped</a:t>
            </a:r>
            <a:endParaRPr lang="en-US" sz="3200">
              <a:solidFill>
                <a:srgbClr val="663300"/>
              </a:solidFill>
              <a:effectLst/>
              <a:latin typeface="Berlin Sans FB Demi" panose="020E0802020502020306" pitchFamily="34" charset="0"/>
            </a:endParaRPr>
          </a:p>
        </c:rich>
      </c:tx>
      <c:layout>
        <c:manualLayout>
          <c:xMode val="edge"/>
          <c:yMode val="edge"/>
          <c:x val="0.15509577110192294"/>
          <c:y val="3.054273722568052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663300"/>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982660538485965"/>
          <c:y val="0.14418575518969221"/>
          <c:w val="0.61580354175593621"/>
          <c:h val="0.72254414220949659"/>
        </c:manualLayout>
      </c:layout>
      <c:barChart>
        <c:barDir val="bar"/>
        <c:grouping val="clustered"/>
        <c:varyColors val="0"/>
        <c:ser>
          <c:idx val="0"/>
          <c:order val="0"/>
          <c:tx>
            <c:strRef>
              <c:f>'Anaylsis-1'!$F$1</c:f>
              <c:strCache>
                <c:ptCount val="1"/>
                <c:pt idx="0">
                  <c:v>Total</c:v>
                </c:pt>
              </c:strCache>
            </c:strRef>
          </c:tx>
          <c:spPr>
            <a:solidFill>
              <a:schemeClr val="accent2">
                <a:lumMod val="50000"/>
              </a:schemeClr>
            </a:solidFill>
            <a:ln>
              <a:noFill/>
            </a:ln>
            <a:effectLst>
              <a:outerShdw blurRad="57150" dist="19050" dir="5400000" algn="ctr" rotWithShape="0">
                <a:srgbClr val="000000">
                  <a:alpha val="63000"/>
                </a:srgbClr>
              </a:outerShdw>
            </a:effectLst>
          </c:spPr>
          <c:invertIfNegative val="0"/>
          <c:cat>
            <c:strRef>
              <c:f>'Anaylsis-1'!$E$2:$E$12</c:f>
              <c:strCache>
                <c:ptCount val="10"/>
                <c:pt idx="0">
                  <c:v>50% Dark Bites</c:v>
                </c:pt>
                <c:pt idx="1">
                  <c:v>Smooth Sliky Salty</c:v>
                </c:pt>
                <c:pt idx="2">
                  <c:v>Eclairs</c:v>
                </c:pt>
                <c:pt idx="3">
                  <c:v>Spicy Special Slims</c:v>
                </c:pt>
                <c:pt idx="4">
                  <c:v>Caramel Stuffed Bars</c:v>
                </c:pt>
                <c:pt idx="5">
                  <c:v>Drinking Coco</c:v>
                </c:pt>
                <c:pt idx="6">
                  <c:v>Milk Bars</c:v>
                </c:pt>
                <c:pt idx="7">
                  <c:v>Peanut Butter Cubes</c:v>
                </c:pt>
                <c:pt idx="8">
                  <c:v>White Choc</c:v>
                </c:pt>
                <c:pt idx="9">
                  <c:v>After Nines</c:v>
                </c:pt>
              </c:strCache>
            </c:strRef>
          </c:cat>
          <c:val>
            <c:numRef>
              <c:f>'Anaylsis-1'!$F$2:$F$12</c:f>
              <c:numCache>
                <c:formatCode>General</c:formatCode>
                <c:ptCount val="10"/>
                <c:pt idx="0">
                  <c:v>29810</c:v>
                </c:pt>
                <c:pt idx="1">
                  <c:v>26969</c:v>
                </c:pt>
                <c:pt idx="2">
                  <c:v>26678</c:v>
                </c:pt>
                <c:pt idx="3">
                  <c:v>26602</c:v>
                </c:pt>
                <c:pt idx="4">
                  <c:v>26576</c:v>
                </c:pt>
                <c:pt idx="5">
                  <c:v>26402</c:v>
                </c:pt>
                <c:pt idx="6">
                  <c:v>25436</c:v>
                </c:pt>
                <c:pt idx="7">
                  <c:v>25339</c:v>
                </c:pt>
                <c:pt idx="8">
                  <c:v>25158</c:v>
                </c:pt>
                <c:pt idx="9">
                  <c:v>25156</c:v>
                </c:pt>
              </c:numCache>
            </c:numRef>
          </c:val>
          <c:extLst>
            <c:ext xmlns:c16="http://schemas.microsoft.com/office/drawing/2014/chart" uri="{C3380CC4-5D6E-409C-BE32-E72D297353CC}">
              <c16:uniqueId val="{00000000-7808-4197-A195-0E79FCE5FE61}"/>
            </c:ext>
          </c:extLst>
        </c:ser>
        <c:dLbls>
          <c:showLegendKey val="0"/>
          <c:showVal val="0"/>
          <c:showCatName val="0"/>
          <c:showSerName val="0"/>
          <c:showPercent val="0"/>
          <c:showBubbleSize val="0"/>
        </c:dLbls>
        <c:gapWidth val="100"/>
        <c:axId val="1511011647"/>
        <c:axId val="1511012063"/>
      </c:barChart>
      <c:catAx>
        <c:axId val="15110116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1511012063"/>
        <c:crosses val="autoZero"/>
        <c:auto val="1"/>
        <c:lblAlgn val="ctr"/>
        <c:lblOffset val="100"/>
        <c:noMultiLvlLbl val="0"/>
      </c:catAx>
      <c:valAx>
        <c:axId val="1511012063"/>
        <c:scaling>
          <c:orientation val="minMax"/>
        </c:scaling>
        <c:delete val="0"/>
        <c:axPos val="b"/>
        <c:majorGridlines>
          <c:spPr>
            <a:ln w="6350" cap="flat" cmpd="sng" algn="ctr">
              <a:solidFill>
                <a:schemeClr val="bg2">
                  <a:lumMod val="75000"/>
                </a:schemeClr>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511011647"/>
        <c:crosses val="autoZero"/>
        <c:crossBetween val="between"/>
        <c:dispUnits>
          <c:builtInUnit val="thousands"/>
          <c:dispUnitsLbl>
            <c:layout>
              <c:manualLayout>
                <c:xMode val="edge"/>
                <c:yMode val="edge"/>
                <c:x val="3.8921668465122919E-2"/>
                <c:y val="0.89070838967967136"/>
              </c:manualLayout>
            </c:layout>
            <c:spPr>
              <a:noFill/>
              <a:ln>
                <a:noFill/>
              </a:ln>
              <a:effectLst/>
            </c:spPr>
            <c:txPr>
              <a:bodyPr rot="0" spcFirstLastPara="1" vertOverflow="ellipsis" vert="horz" wrap="square" anchor="ctr" anchorCtr="1"/>
              <a:lstStyle/>
              <a:p>
                <a:pPr>
                  <a:defRPr sz="2800" b="1"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105833</xdr:rowOff>
    </xdr:from>
    <xdr:to>
      <xdr:col>50</xdr:col>
      <xdr:colOff>25758</xdr:colOff>
      <xdr:row>105</xdr:row>
      <xdr:rowOff>21166</xdr:rowOff>
    </xdr:to>
    <xdr:grpSp>
      <xdr:nvGrpSpPr>
        <xdr:cNvPr id="21" name="Group 20">
          <a:extLst>
            <a:ext uri="{FF2B5EF4-FFF2-40B4-BE49-F238E27FC236}">
              <a16:creationId xmlns:a16="http://schemas.microsoft.com/office/drawing/2014/main" id="{89B81F04-9080-4BE8-82CB-279FC80C200D}"/>
            </a:ext>
          </a:extLst>
        </xdr:cNvPr>
        <xdr:cNvGrpSpPr/>
      </xdr:nvGrpSpPr>
      <xdr:grpSpPr>
        <a:xfrm>
          <a:off x="0" y="105833"/>
          <a:ext cx="30717425" cy="19896666"/>
          <a:chOff x="0" y="0"/>
          <a:chExt cx="38919502" cy="23412586"/>
        </a:xfrm>
      </xdr:grpSpPr>
      <xdr:sp macro="" textlink="">
        <xdr:nvSpPr>
          <xdr:cNvPr id="2" name="Right Triangle 17">
            <a:extLst>
              <a:ext uri="{FF2B5EF4-FFF2-40B4-BE49-F238E27FC236}">
                <a16:creationId xmlns:a16="http://schemas.microsoft.com/office/drawing/2014/main" id="{E37E7689-DA4F-494C-A4BA-2E3FE4CA48F4}"/>
              </a:ext>
            </a:extLst>
          </xdr:cNvPr>
          <xdr:cNvSpPr/>
        </xdr:nvSpPr>
        <xdr:spPr>
          <a:xfrm rot="5400000">
            <a:off x="2060947" y="-2060947"/>
            <a:ext cx="12212122" cy="16334016"/>
          </a:xfrm>
          <a:custGeom>
            <a:avLst/>
            <a:gdLst>
              <a:gd name="connsiteX0" fmla="*/ 0 w 5235388"/>
              <a:gd name="connsiteY0" fmla="*/ 8229599 h 8229599"/>
              <a:gd name="connsiteX1" fmla="*/ 0 w 5235388"/>
              <a:gd name="connsiteY1" fmla="*/ 0 h 8229599"/>
              <a:gd name="connsiteX2" fmla="*/ 5235388 w 5235388"/>
              <a:gd name="connsiteY2" fmla="*/ 8229599 h 8229599"/>
              <a:gd name="connsiteX3" fmla="*/ 0 w 5235388"/>
              <a:gd name="connsiteY3" fmla="*/ 8229599 h 8229599"/>
              <a:gd name="connsiteX0" fmla="*/ 0 w 5235388"/>
              <a:gd name="connsiteY0" fmla="*/ 8220636 h 8220636"/>
              <a:gd name="connsiteX1" fmla="*/ 0 w 5235388"/>
              <a:gd name="connsiteY1" fmla="*/ 0 h 8220636"/>
              <a:gd name="connsiteX2" fmla="*/ 5235388 w 5235388"/>
              <a:gd name="connsiteY2" fmla="*/ 8220636 h 8220636"/>
              <a:gd name="connsiteX3" fmla="*/ 0 w 5235388"/>
              <a:gd name="connsiteY3" fmla="*/ 8220636 h 8220636"/>
              <a:gd name="connsiteX0" fmla="*/ 0 w 5235388"/>
              <a:gd name="connsiteY0" fmla="*/ 8220636 h 8220636"/>
              <a:gd name="connsiteX1" fmla="*/ 0 w 5235388"/>
              <a:gd name="connsiteY1" fmla="*/ 0 h 8220636"/>
              <a:gd name="connsiteX2" fmla="*/ 5235388 w 5235388"/>
              <a:gd name="connsiteY2" fmla="*/ 8220636 h 8220636"/>
              <a:gd name="connsiteX3" fmla="*/ 0 w 5235388"/>
              <a:gd name="connsiteY3" fmla="*/ 8220636 h 8220636"/>
              <a:gd name="connsiteX0" fmla="*/ 0 w 5235388"/>
              <a:gd name="connsiteY0" fmla="*/ 8220636 h 8220636"/>
              <a:gd name="connsiteX1" fmla="*/ 0 w 5235388"/>
              <a:gd name="connsiteY1" fmla="*/ 0 h 8220636"/>
              <a:gd name="connsiteX2" fmla="*/ 5235388 w 5235388"/>
              <a:gd name="connsiteY2" fmla="*/ 8220636 h 8220636"/>
              <a:gd name="connsiteX3" fmla="*/ 0 w 5235388"/>
              <a:gd name="connsiteY3" fmla="*/ 8220636 h 8220636"/>
              <a:gd name="connsiteX0" fmla="*/ 0 w 5294373"/>
              <a:gd name="connsiteY0" fmla="*/ 8238341 h 8238341"/>
              <a:gd name="connsiteX1" fmla="*/ 0 w 5294373"/>
              <a:gd name="connsiteY1" fmla="*/ 17705 h 8238341"/>
              <a:gd name="connsiteX2" fmla="*/ 1515034 w 5294373"/>
              <a:gd name="connsiteY2" fmla="*/ 4760035 h 8238341"/>
              <a:gd name="connsiteX3" fmla="*/ 5235388 w 5294373"/>
              <a:gd name="connsiteY3" fmla="*/ 8238341 h 8238341"/>
              <a:gd name="connsiteX4" fmla="*/ 0 w 5294373"/>
              <a:gd name="connsiteY4" fmla="*/ 8238341 h 823834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294373" h="8238341">
                <a:moveTo>
                  <a:pt x="0" y="8238341"/>
                </a:moveTo>
                <a:lnTo>
                  <a:pt x="0" y="17705"/>
                </a:lnTo>
                <a:cubicBezTo>
                  <a:pt x="545353" y="-285601"/>
                  <a:pt x="642469" y="3389929"/>
                  <a:pt x="1515034" y="4760035"/>
                </a:cubicBezTo>
                <a:cubicBezTo>
                  <a:pt x="2387599" y="6130141"/>
                  <a:pt x="5780741" y="7935035"/>
                  <a:pt x="5235388" y="8238341"/>
                </a:cubicBezTo>
                <a:lnTo>
                  <a:pt x="0" y="8238341"/>
                </a:lnTo>
                <a:close/>
              </a:path>
            </a:pathLst>
          </a:custGeom>
          <a:solidFill>
            <a:schemeClr val="accent2">
              <a:lumMod val="60000"/>
              <a:lumOff val="40000"/>
            </a:schemeClr>
          </a:solidFill>
          <a:ln>
            <a:solidFill>
              <a:srgbClr val="6633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3" name="Sales Person 1">
                <a:extLst>
                  <a:ext uri="{FF2B5EF4-FFF2-40B4-BE49-F238E27FC236}">
                    <a16:creationId xmlns:a16="http://schemas.microsoft.com/office/drawing/2014/main" id="{D6A987CB-F8D1-476C-BDDB-CED2D353C197}"/>
                  </a:ext>
                </a:extLst>
              </xdr:cNvPr>
              <xdr:cNvGraphicFramePr/>
            </xdr:nvGraphicFramePr>
            <xdr:xfrm>
              <a:off x="30536071" y="2976829"/>
              <a:ext cx="8308936" cy="4279406"/>
            </xdr:xfrm>
            <a:graphic>
              <a:graphicData uri="http://schemas.microsoft.com/office/drawing/2010/slicer">
                <sle:slicer xmlns:sle="http://schemas.microsoft.com/office/drawing/2010/slicer" name="Sales Person 1"/>
              </a:graphicData>
            </a:graphic>
          </xdr:graphicFrame>
        </mc:Choice>
        <mc:Fallback>
          <xdr:sp macro="" textlink="">
            <xdr:nvSpPr>
              <xdr:cNvPr id="0" name=""/>
              <xdr:cNvSpPr>
                <a:spLocks noTextEdit="1"/>
              </xdr:cNvSpPr>
            </xdr:nvSpPr>
            <xdr:spPr>
              <a:xfrm>
                <a:off x="24100757" y="2635625"/>
                <a:ext cx="6557872" cy="36367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 name="Product 1">
                <a:extLst>
                  <a:ext uri="{FF2B5EF4-FFF2-40B4-BE49-F238E27FC236}">
                    <a16:creationId xmlns:a16="http://schemas.microsoft.com/office/drawing/2014/main" id="{BAA3DE81-1EE7-4842-8200-D4E0F85FAE1A}"/>
                  </a:ext>
                </a:extLst>
              </xdr:cNvPr>
              <xdr:cNvGraphicFramePr/>
            </xdr:nvGraphicFramePr>
            <xdr:xfrm>
              <a:off x="381000" y="2978150"/>
              <a:ext cx="3947160" cy="1749933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00706" y="2636748"/>
                <a:ext cx="3115317" cy="148714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5" name="Rectangle: Rounded Corners 4">
            <a:extLst>
              <a:ext uri="{FF2B5EF4-FFF2-40B4-BE49-F238E27FC236}">
                <a16:creationId xmlns:a16="http://schemas.microsoft.com/office/drawing/2014/main" id="{D9900921-1426-48C5-8765-5E7F0B15B662}"/>
              </a:ext>
            </a:extLst>
          </xdr:cNvPr>
          <xdr:cNvSpPr/>
        </xdr:nvSpPr>
        <xdr:spPr>
          <a:xfrm>
            <a:off x="17531080" y="1430020"/>
            <a:ext cx="5303520" cy="1389380"/>
          </a:xfrm>
          <a:prstGeom prst="roundRect">
            <a:avLst/>
          </a:prstGeom>
          <a:solidFill>
            <a:srgbClr val="663300"/>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marL="0" indent="0" algn="ctr"/>
            <a:r>
              <a:rPr lang="en-US" sz="3200" b="1" i="0" u="none" strike="noStrike">
                <a:solidFill>
                  <a:schemeClr val="bg1"/>
                </a:solidFill>
                <a:effectLst/>
                <a:latin typeface="Berlin Sans FB Demi" panose="020E0802020502020306" pitchFamily="34" charset="0"/>
                <a:ea typeface="+mn-ea"/>
                <a:cs typeface="Aharoni" panose="02010803020104030203" pitchFamily="2" charset="-79"/>
              </a:rPr>
              <a:t>Count of SalesPerson</a:t>
            </a:r>
            <a:br>
              <a:rPr lang="en-US" sz="3200" b="1" i="0" u="none" strike="noStrike">
                <a:solidFill>
                  <a:schemeClr val="bg1"/>
                </a:solidFill>
                <a:effectLst/>
                <a:latin typeface="Berlin Sans FB Demi" panose="020E0802020502020306" pitchFamily="34" charset="0"/>
                <a:ea typeface="+mn-ea"/>
                <a:cs typeface="Aharoni" panose="02010803020104030203" pitchFamily="2" charset="-79"/>
              </a:rPr>
            </a:br>
            <a:r>
              <a:rPr lang="en-US" sz="3200" b="1" i="0" u="none" strike="noStrike">
                <a:solidFill>
                  <a:schemeClr val="bg1"/>
                </a:solidFill>
                <a:effectLst/>
                <a:latin typeface="Berlin Sans FB Demi" panose="020E0802020502020306" pitchFamily="34" charset="0"/>
                <a:ea typeface="+mn-ea"/>
                <a:cs typeface="Aharoni" panose="02010803020104030203" pitchFamily="2" charset="-79"/>
              </a:rPr>
              <a:t>  </a:t>
            </a:r>
          </a:p>
        </xdr:txBody>
      </xdr:sp>
      <xdr:sp macro="" textlink="">
        <xdr:nvSpPr>
          <xdr:cNvPr id="6" name="Rectangle: Rounded Corners 5">
            <a:extLst>
              <a:ext uri="{FF2B5EF4-FFF2-40B4-BE49-F238E27FC236}">
                <a16:creationId xmlns:a16="http://schemas.microsoft.com/office/drawing/2014/main" id="{005D8A03-D4BF-47F5-ACE4-18847BD4217D}"/>
              </a:ext>
            </a:extLst>
          </xdr:cNvPr>
          <xdr:cNvSpPr/>
        </xdr:nvSpPr>
        <xdr:spPr>
          <a:xfrm>
            <a:off x="11176002" y="1444607"/>
            <a:ext cx="6146800" cy="1344314"/>
          </a:xfrm>
          <a:prstGeom prst="roundRect">
            <a:avLst/>
          </a:prstGeom>
          <a:solidFill>
            <a:srgbClr val="663300"/>
          </a:solidFill>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3200" b="0" i="0" u="none" strike="noStrike">
                <a:solidFill>
                  <a:schemeClr val="bg1"/>
                </a:solidFill>
                <a:effectLst/>
                <a:latin typeface="Berlin Sans FB Demi" panose="020E0802020502020306" pitchFamily="34" charset="0"/>
                <a:ea typeface="+mn-ea"/>
                <a:cs typeface="Aharoni" panose="020B0604020202020204" pitchFamily="2" charset="-79"/>
              </a:rPr>
              <a:t>Boxes Shipped by</a:t>
            </a:r>
            <a:r>
              <a:rPr lang="en-US" sz="3200" b="0" i="0" u="none" strike="noStrike" baseline="0">
                <a:solidFill>
                  <a:schemeClr val="bg1"/>
                </a:solidFill>
                <a:effectLst/>
                <a:latin typeface="Berlin Sans FB Demi" panose="020E0802020502020306" pitchFamily="34" charset="0"/>
                <a:ea typeface="+mn-ea"/>
                <a:cs typeface="Aharoni" panose="020B0604020202020204" pitchFamily="2" charset="-79"/>
              </a:rPr>
              <a:t> 3 YEAR</a:t>
            </a:r>
            <a:r>
              <a:rPr lang="en-US" sz="3200" b="0" i="0" u="none" strike="noStrike">
                <a:solidFill>
                  <a:schemeClr val="bg1"/>
                </a:solidFill>
                <a:effectLst/>
                <a:latin typeface="Berlin Sans FB Demi" panose="020E0802020502020306" pitchFamily="34" charset="0"/>
                <a:ea typeface="+mn-ea"/>
                <a:cs typeface="Aharoni" panose="020B0604020202020204" pitchFamily="2" charset="-79"/>
              </a:rPr>
              <a:t>                            </a:t>
            </a:r>
          </a:p>
        </xdr:txBody>
      </xdr:sp>
      <xdr:sp macro="" textlink="">
        <xdr:nvSpPr>
          <xdr:cNvPr id="8" name="Rectangle: Rounded Corners 7">
            <a:extLst>
              <a:ext uri="{FF2B5EF4-FFF2-40B4-BE49-F238E27FC236}">
                <a16:creationId xmlns:a16="http://schemas.microsoft.com/office/drawing/2014/main" id="{70E3BC54-4E27-4853-8C6B-6CD7AD44E5A0}"/>
              </a:ext>
            </a:extLst>
          </xdr:cNvPr>
          <xdr:cNvSpPr/>
        </xdr:nvSpPr>
        <xdr:spPr>
          <a:xfrm>
            <a:off x="23042880" y="1422400"/>
            <a:ext cx="4617720" cy="1371600"/>
          </a:xfrm>
          <a:prstGeom prst="roundRect">
            <a:avLst/>
          </a:prstGeom>
          <a:solidFill>
            <a:srgbClr val="663300"/>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3200" b="0" i="0" u="none" strike="noStrike">
                <a:solidFill>
                  <a:schemeClr val="bg1"/>
                </a:solidFill>
                <a:effectLst/>
                <a:latin typeface="Berlin Sans FB Demi" panose="020E0802020502020306" pitchFamily="34" charset="0"/>
                <a:ea typeface="+mn-ea"/>
                <a:cs typeface="Aharoni" panose="02010803020104030203" pitchFamily="2" charset="-79"/>
              </a:rPr>
              <a:t>Count of Product</a:t>
            </a:r>
            <a:r>
              <a:rPr lang="en-US" sz="3200" b="0">
                <a:solidFill>
                  <a:schemeClr val="bg1"/>
                </a:solidFill>
                <a:latin typeface="Berlin Sans FB Demi" panose="020E0802020502020306" pitchFamily="34" charset="0"/>
                <a:cs typeface="Aharoni" panose="02010803020104030203" pitchFamily="2" charset="-79"/>
              </a:rPr>
              <a:t> </a:t>
            </a:r>
            <a:br>
              <a:rPr lang="en-US" sz="3200" b="0">
                <a:solidFill>
                  <a:schemeClr val="bg1"/>
                </a:solidFill>
                <a:latin typeface="Berlin Sans FB Demi" panose="020E0802020502020306" pitchFamily="34" charset="0"/>
                <a:cs typeface="Aharoni" panose="02010803020104030203" pitchFamily="2" charset="-79"/>
              </a:rPr>
            </a:br>
            <a:r>
              <a:rPr lang="en-US" sz="3200" b="0">
                <a:solidFill>
                  <a:schemeClr val="bg1"/>
                </a:solidFill>
                <a:latin typeface="Berlin Sans FB Demi" panose="020E0802020502020306" pitchFamily="34" charset="0"/>
                <a:cs typeface="Aharoni" panose="02010803020104030203" pitchFamily="2" charset="-79"/>
              </a:rPr>
              <a:t> </a:t>
            </a:r>
          </a:p>
        </xdr:txBody>
      </xdr:sp>
      <xdr:sp macro="" textlink="">
        <xdr:nvSpPr>
          <xdr:cNvPr id="9" name="Rectangle: Rounded Corners 8">
            <a:extLst>
              <a:ext uri="{FF2B5EF4-FFF2-40B4-BE49-F238E27FC236}">
                <a16:creationId xmlns:a16="http://schemas.microsoft.com/office/drawing/2014/main" id="{B4638D3F-2DE6-49B5-83D3-33059BF3E00D}"/>
              </a:ext>
            </a:extLst>
          </xdr:cNvPr>
          <xdr:cNvSpPr/>
        </xdr:nvSpPr>
        <xdr:spPr>
          <a:xfrm>
            <a:off x="27823160" y="1422400"/>
            <a:ext cx="4573621" cy="1407668"/>
          </a:xfrm>
          <a:prstGeom prst="roundRect">
            <a:avLst/>
          </a:prstGeom>
          <a:solidFill>
            <a:srgbClr val="663300"/>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3200" b="0" i="0" u="none" strike="noStrike">
                <a:solidFill>
                  <a:schemeClr val="bg1"/>
                </a:solidFill>
                <a:effectLst/>
                <a:latin typeface="Berlin Sans FB Demi" panose="020E0802020502020306" pitchFamily="34" charset="0"/>
                <a:ea typeface="+mn-ea"/>
                <a:cs typeface="Aharoni" panose="02010803020104030203" pitchFamily="2" charset="-79"/>
              </a:rPr>
              <a:t>Count of Country</a:t>
            </a:r>
            <a:r>
              <a:rPr lang="en-US" sz="3200" b="0">
                <a:solidFill>
                  <a:schemeClr val="bg1"/>
                </a:solidFill>
                <a:latin typeface="Berlin Sans FB Demi" panose="020E0802020502020306" pitchFamily="34" charset="0"/>
                <a:cs typeface="Aharoni" panose="02010803020104030203" pitchFamily="2" charset="-79"/>
              </a:rPr>
              <a:t> </a:t>
            </a:r>
            <a:br>
              <a:rPr lang="en-US" sz="3200" b="0">
                <a:solidFill>
                  <a:schemeClr val="bg1"/>
                </a:solidFill>
                <a:latin typeface="Berlin Sans FB Demi" panose="020E0802020502020306" pitchFamily="34" charset="0"/>
                <a:cs typeface="Aharoni" panose="02010803020104030203" pitchFamily="2" charset="-79"/>
              </a:rPr>
            </a:br>
            <a:r>
              <a:rPr lang="en-US" sz="3200" b="0">
                <a:solidFill>
                  <a:schemeClr val="bg1"/>
                </a:solidFill>
                <a:latin typeface="Berlin Sans FB Demi" panose="020E0802020502020306" pitchFamily="34" charset="0"/>
                <a:cs typeface="Aharoni" panose="02010803020104030203" pitchFamily="2" charset="-79"/>
              </a:rPr>
              <a:t> </a:t>
            </a:r>
          </a:p>
        </xdr:txBody>
      </xdr:sp>
      <xdr:graphicFrame macro="">
        <xdr:nvGraphicFramePr>
          <xdr:cNvPr id="10" name="Chart 3">
            <a:extLst>
              <a:ext uri="{FF2B5EF4-FFF2-40B4-BE49-F238E27FC236}">
                <a16:creationId xmlns:a16="http://schemas.microsoft.com/office/drawing/2014/main" id="{D749CD85-958B-40C5-93C0-266E1144C64B}"/>
              </a:ext>
            </a:extLst>
          </xdr:cNvPr>
          <xdr:cNvGraphicFramePr>
            <a:graphicFrameLocks/>
          </xdr:cNvGraphicFramePr>
        </xdr:nvGraphicFramePr>
        <xdr:xfrm>
          <a:off x="4367873" y="14619723"/>
          <a:ext cx="11294147" cy="8792863"/>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1" name="Chart 3">
            <a:extLst>
              <a:ext uri="{FF2B5EF4-FFF2-40B4-BE49-F238E27FC236}">
                <a16:creationId xmlns:a16="http://schemas.microsoft.com/office/drawing/2014/main" id="{6F7C66C7-FF4D-480D-880C-7774AECC2BEE}"/>
              </a:ext>
            </a:extLst>
          </xdr:cNvPr>
          <xdr:cNvGraphicFramePr>
            <a:graphicFrameLocks/>
          </xdr:cNvGraphicFramePr>
        </xdr:nvGraphicFramePr>
        <xdr:xfrm>
          <a:off x="15738927" y="7177998"/>
          <a:ext cx="12032220" cy="7392601"/>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2" name="Rectangle: Rounded Corners 11">
            <a:extLst>
              <a:ext uri="{FF2B5EF4-FFF2-40B4-BE49-F238E27FC236}">
                <a16:creationId xmlns:a16="http://schemas.microsoft.com/office/drawing/2014/main" id="{0341055D-6AD3-4682-8645-9A37624F060E}"/>
              </a:ext>
            </a:extLst>
          </xdr:cNvPr>
          <xdr:cNvSpPr/>
        </xdr:nvSpPr>
        <xdr:spPr>
          <a:xfrm>
            <a:off x="400049" y="0"/>
            <a:ext cx="38325904" cy="1339850"/>
          </a:xfrm>
          <a:prstGeom prst="roundRect">
            <a:avLst/>
          </a:prstGeom>
          <a:solidFill>
            <a:srgbClr val="663300"/>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5400" b="1">
                <a:solidFill>
                  <a:schemeClr val="bg1"/>
                </a:solidFill>
                <a:latin typeface="Berlin Sans FB Demi" panose="020E0802020502020306" pitchFamily="34" charset="0"/>
              </a:rPr>
              <a:t>Chocolate Sales Dashboard 2022–2024</a:t>
            </a:r>
          </a:p>
        </xdr:txBody>
      </xdr:sp>
      <xdr:graphicFrame macro="">
        <xdr:nvGraphicFramePr>
          <xdr:cNvPr id="13" name="Chart 5">
            <a:extLst>
              <a:ext uri="{FF2B5EF4-FFF2-40B4-BE49-F238E27FC236}">
                <a16:creationId xmlns:a16="http://schemas.microsoft.com/office/drawing/2014/main" id="{5B633B78-E86F-4432-96A7-5B3D06E2D855}"/>
              </a:ext>
            </a:extLst>
          </xdr:cNvPr>
          <xdr:cNvGraphicFramePr>
            <a:graphicFrameLocks/>
          </xdr:cNvGraphicFramePr>
        </xdr:nvGraphicFramePr>
        <xdr:xfrm>
          <a:off x="27808915" y="7247678"/>
          <a:ext cx="11077951" cy="731731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4" name="Chart 14">
            <a:extLst>
              <a:ext uri="{FF2B5EF4-FFF2-40B4-BE49-F238E27FC236}">
                <a16:creationId xmlns:a16="http://schemas.microsoft.com/office/drawing/2014/main" id="{BABE6810-D8AD-4904-AD49-F057D0B0AD70}"/>
              </a:ext>
            </a:extLst>
          </xdr:cNvPr>
          <xdr:cNvGraphicFramePr>
            <a:graphicFrameLocks/>
          </xdr:cNvGraphicFramePr>
        </xdr:nvGraphicFramePr>
        <xdr:xfrm>
          <a:off x="27837633" y="14589884"/>
          <a:ext cx="11081869" cy="8723074"/>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5" name="Rectangle: Rounded Corners 14">
            <a:extLst>
              <a:ext uri="{FF2B5EF4-FFF2-40B4-BE49-F238E27FC236}">
                <a16:creationId xmlns:a16="http://schemas.microsoft.com/office/drawing/2014/main" id="{EB1539C0-8610-4CD0-8D7F-85B3D408759A}"/>
              </a:ext>
            </a:extLst>
          </xdr:cNvPr>
          <xdr:cNvSpPr/>
        </xdr:nvSpPr>
        <xdr:spPr>
          <a:xfrm>
            <a:off x="426720" y="1405420"/>
            <a:ext cx="5135880" cy="1383500"/>
          </a:xfrm>
          <a:prstGeom prst="roundRect">
            <a:avLst/>
          </a:prstGeom>
          <a:solidFill>
            <a:srgbClr val="663300"/>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2800" b="0" i="0" u="none" strike="noStrike">
                <a:solidFill>
                  <a:schemeClr val="bg1"/>
                </a:solidFill>
                <a:effectLst/>
                <a:latin typeface="Berlin Sans FB Demi" panose="020E0802020502020306" pitchFamily="34" charset="0"/>
                <a:ea typeface="+mn-ea"/>
                <a:cs typeface="Aharoni" panose="020B0604020202020204" pitchFamily="2" charset="-79"/>
              </a:rPr>
              <a:t>Amount</a:t>
            </a:r>
            <a:r>
              <a:rPr lang="en-US" sz="2800" b="1" i="0" u="none" strike="noStrike">
                <a:solidFill>
                  <a:schemeClr val="bg1"/>
                </a:solidFill>
                <a:effectLst/>
                <a:latin typeface="Berlin Sans FB Demi" panose="020E0802020502020306" pitchFamily="34" charset="0"/>
                <a:ea typeface="+mn-ea"/>
                <a:cs typeface="Aharoni" panose="020B0604020202020204" pitchFamily="2" charset="-79"/>
              </a:rPr>
              <a:t> by 3 YEAR</a:t>
            </a:r>
          </a:p>
          <a:p>
            <a:pPr algn="ctr"/>
            <a:r>
              <a:rPr lang="en-US" sz="2800" b="1">
                <a:solidFill>
                  <a:schemeClr val="bg1"/>
                </a:solidFill>
                <a:latin typeface="Berlin Sans FB Demi" panose="020E0802020502020306" pitchFamily="34" charset="0"/>
                <a:cs typeface="Aharoni" panose="020B0604020202020204" pitchFamily="2" charset="-79"/>
              </a:rPr>
              <a:t> </a:t>
            </a:r>
          </a:p>
        </xdr:txBody>
      </xdr:sp>
      <xdr:sp macro="" textlink="">
        <xdr:nvSpPr>
          <xdr:cNvPr id="16" name="Rectangle: Rounded Corners 15">
            <a:extLst>
              <a:ext uri="{FF2B5EF4-FFF2-40B4-BE49-F238E27FC236}">
                <a16:creationId xmlns:a16="http://schemas.microsoft.com/office/drawing/2014/main" id="{A64C1EA0-82C6-4FF6-94B9-F7240A8BFFAB}"/>
              </a:ext>
            </a:extLst>
          </xdr:cNvPr>
          <xdr:cNvSpPr/>
        </xdr:nvSpPr>
        <xdr:spPr>
          <a:xfrm>
            <a:off x="32893000" y="1427480"/>
            <a:ext cx="5832955" cy="1391920"/>
          </a:xfrm>
          <a:prstGeom prst="roundRect">
            <a:avLst/>
          </a:prstGeom>
          <a:solidFill>
            <a:srgbClr val="663300"/>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3200" b="0" i="0" u="none" strike="noStrike">
                <a:solidFill>
                  <a:schemeClr val="bg1"/>
                </a:solidFill>
                <a:effectLst/>
                <a:latin typeface="Berlin Sans FB Demi" panose="020E0802020502020306" pitchFamily="34" charset="0"/>
                <a:ea typeface="+mn-ea"/>
                <a:cs typeface="Aharoni" panose="02010803020104030203" pitchFamily="2" charset="-79"/>
              </a:rPr>
              <a:t>Count of Deals</a:t>
            </a:r>
            <a:r>
              <a:rPr lang="en-US" sz="3200" b="0" i="0" u="none" strike="noStrike" baseline="0">
                <a:solidFill>
                  <a:schemeClr val="bg1"/>
                </a:solidFill>
                <a:effectLst/>
                <a:latin typeface="Berlin Sans FB Demi" panose="020E0802020502020306" pitchFamily="34" charset="0"/>
                <a:ea typeface="+mn-ea"/>
                <a:cs typeface="Aharoni" panose="02010803020104030203" pitchFamily="2" charset="-79"/>
              </a:rPr>
              <a:t> per year</a:t>
            </a:r>
            <a:r>
              <a:rPr lang="en-US" sz="3200" b="0">
                <a:solidFill>
                  <a:schemeClr val="bg1"/>
                </a:solidFill>
                <a:latin typeface="Berlin Sans FB Demi" panose="020E0802020502020306" pitchFamily="34" charset="0"/>
                <a:cs typeface="Aharoni" panose="02010803020104030203" pitchFamily="2" charset="-79"/>
              </a:rPr>
              <a:t> </a:t>
            </a:r>
            <a:br>
              <a:rPr lang="en-US" sz="3600" b="0">
                <a:solidFill>
                  <a:schemeClr val="bg1"/>
                </a:solidFill>
                <a:latin typeface="Berlin Sans FB Demi" panose="020E0802020502020306" pitchFamily="34" charset="0"/>
                <a:cs typeface="Aharoni" panose="02010803020104030203" pitchFamily="2" charset="-79"/>
              </a:rPr>
            </a:br>
            <a:r>
              <a:rPr lang="en-US" sz="3600" b="0">
                <a:solidFill>
                  <a:schemeClr val="bg1"/>
                </a:solidFill>
                <a:latin typeface="Berlin Sans FB Demi" panose="020E0802020502020306" pitchFamily="34" charset="0"/>
                <a:cs typeface="Aharoni" panose="02010803020104030203" pitchFamily="2" charset="-79"/>
              </a:rPr>
              <a:t> </a:t>
            </a:r>
          </a:p>
        </xdr:txBody>
      </xdr:sp>
      <xdr:graphicFrame macro="">
        <xdr:nvGraphicFramePr>
          <xdr:cNvPr id="17" name="Chart 1">
            <a:extLst>
              <a:ext uri="{FF2B5EF4-FFF2-40B4-BE49-F238E27FC236}">
                <a16:creationId xmlns:a16="http://schemas.microsoft.com/office/drawing/2014/main" id="{8DE4CA0E-AD8F-46E4-A59B-471EA0088940}"/>
              </a:ext>
            </a:extLst>
          </xdr:cNvPr>
          <xdr:cNvGraphicFramePr>
            <a:graphicFrameLocks/>
          </xdr:cNvGraphicFramePr>
        </xdr:nvGraphicFramePr>
        <xdr:xfrm>
          <a:off x="4399700" y="7247680"/>
          <a:ext cx="11314236" cy="7317310"/>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tsle="http://schemas.microsoft.com/office/drawing/2012/timeslicer" Requires="tsle">
          <xdr:graphicFrame macro="">
            <xdr:nvGraphicFramePr>
              <xdr:cNvPr id="18" name="Date 2">
                <a:extLst>
                  <a:ext uri="{FF2B5EF4-FFF2-40B4-BE49-F238E27FC236}">
                    <a16:creationId xmlns:a16="http://schemas.microsoft.com/office/drawing/2014/main" id="{CB6AED7A-E502-4C5C-AED3-13EF8B79AE75}"/>
                  </a:ext>
                </a:extLst>
              </xdr:cNvPr>
              <xdr:cNvGraphicFramePr>
                <a:graphicFrameLocks noChangeAspect="1"/>
              </xdr:cNvGraphicFramePr>
            </xdr:nvGraphicFramePr>
            <xdr:xfrm>
              <a:off x="4269604" y="4753323"/>
              <a:ext cx="26233557" cy="244898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3369808" y="4145339"/>
                <a:ext cx="20704975" cy="208121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mc:Choice xmlns:a14="http://schemas.microsoft.com/office/drawing/2010/main" Requires="a14">
          <xdr:graphicFrame macro="">
            <xdr:nvGraphicFramePr>
              <xdr:cNvPr id="19" name="Country 1">
                <a:extLst>
                  <a:ext uri="{FF2B5EF4-FFF2-40B4-BE49-F238E27FC236}">
                    <a16:creationId xmlns:a16="http://schemas.microsoft.com/office/drawing/2014/main" id="{E5CBED33-38B0-4E88-A2F8-B0F94F06AB43}"/>
                  </a:ext>
                </a:extLst>
              </xdr:cNvPr>
              <xdr:cNvGraphicFramePr/>
            </xdr:nvGraphicFramePr>
            <xdr:xfrm>
              <a:off x="4325415" y="2976828"/>
              <a:ext cx="26231542" cy="1776587"/>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3413857" y="2635624"/>
                <a:ext cx="20703385" cy="15097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0" name="Rectangle: Rounded Corners 19">
            <a:extLst>
              <a:ext uri="{FF2B5EF4-FFF2-40B4-BE49-F238E27FC236}">
                <a16:creationId xmlns:a16="http://schemas.microsoft.com/office/drawing/2014/main" id="{CAD1842B-DE00-4436-855D-04085CFAED50}"/>
              </a:ext>
            </a:extLst>
          </xdr:cNvPr>
          <xdr:cNvSpPr/>
        </xdr:nvSpPr>
        <xdr:spPr>
          <a:xfrm>
            <a:off x="5709920" y="1402081"/>
            <a:ext cx="5237480" cy="1391920"/>
          </a:xfrm>
          <a:prstGeom prst="roundRect">
            <a:avLst/>
          </a:prstGeom>
          <a:solidFill>
            <a:srgbClr val="663300"/>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2800" b="0" i="0" u="none" strike="noStrike">
                <a:solidFill>
                  <a:schemeClr val="bg1"/>
                </a:solidFill>
                <a:effectLst/>
                <a:latin typeface="Berlin Sans FB Demi" panose="020E0802020502020306" pitchFamily="34" charset="0"/>
                <a:ea typeface="+mn-ea"/>
                <a:cs typeface="Aharoni" panose="02010803020104030203" pitchFamily="2" charset="-79"/>
              </a:rPr>
              <a:t>Growth Rate </a:t>
            </a:r>
            <a:r>
              <a:rPr lang="en-US" sz="2800" b="0" i="0" u="none" strike="noStrike" baseline="0">
                <a:solidFill>
                  <a:schemeClr val="bg1"/>
                </a:solidFill>
                <a:effectLst/>
                <a:latin typeface="Berlin Sans FB Demi" panose="020E0802020502020306" pitchFamily="34" charset="0"/>
                <a:ea typeface="+mn-ea"/>
                <a:cs typeface="Aharoni" panose="02010803020104030203" pitchFamily="2" charset="-79"/>
              </a:rPr>
              <a:t>By 3 year</a:t>
            </a:r>
            <a:r>
              <a:rPr lang="en-US" sz="2800" b="0">
                <a:solidFill>
                  <a:schemeClr val="bg1"/>
                </a:solidFill>
                <a:latin typeface="Berlin Sans FB Demi" panose="020E0802020502020306" pitchFamily="34" charset="0"/>
                <a:cs typeface="Aharoni" panose="02010803020104030203" pitchFamily="2" charset="-79"/>
              </a:rPr>
              <a:t> </a:t>
            </a:r>
            <a:br>
              <a:rPr lang="en-US" sz="3200" b="0">
                <a:solidFill>
                  <a:schemeClr val="bg1"/>
                </a:solidFill>
                <a:latin typeface="Berlin Sans FB Demi" panose="020E0802020502020306" pitchFamily="34" charset="0"/>
                <a:cs typeface="Aharoni" panose="02010803020104030203" pitchFamily="2" charset="-79"/>
              </a:rPr>
            </a:br>
            <a:endParaRPr lang="en-US" sz="3200" b="0">
              <a:solidFill>
                <a:schemeClr val="bg1"/>
              </a:solidFill>
              <a:latin typeface="Berlin Sans FB Demi" panose="020E0802020502020306" pitchFamily="34" charset="0"/>
              <a:cs typeface="Aharoni" panose="02010803020104030203" pitchFamily="2" charset="-79"/>
            </a:endParaRPr>
          </a:p>
        </xdr:txBody>
      </xdr:sp>
    </xdr:grpSp>
    <xdr:clientData/>
  </xdr:twoCellAnchor>
  <xdr:oneCellAnchor>
    <xdr:from>
      <xdr:col>0</xdr:col>
      <xdr:colOff>444500</xdr:colOff>
      <xdr:row>9</xdr:row>
      <xdr:rowOff>84667</xdr:rowOff>
    </xdr:from>
    <xdr:ext cx="3915834" cy="508000"/>
    <xdr:sp macro="" textlink="'Anaylsis-1'!A5">
      <xdr:nvSpPr>
        <xdr:cNvPr id="22" name="TextBox 21">
          <a:extLst>
            <a:ext uri="{FF2B5EF4-FFF2-40B4-BE49-F238E27FC236}">
              <a16:creationId xmlns:a16="http://schemas.microsoft.com/office/drawing/2014/main" id="{113039FB-3A59-4743-8F9E-9576BEFD8CCB}"/>
            </a:ext>
          </a:extLst>
        </xdr:cNvPr>
        <xdr:cNvSpPr txBox="1"/>
      </xdr:nvSpPr>
      <xdr:spPr>
        <a:xfrm>
          <a:off x="444500" y="1778000"/>
          <a:ext cx="3915834" cy="508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DEC2AD4-1A3D-4D92-8F72-3222212D0479}" type="TxLink">
            <a:rPr lang="en-US" sz="3600" b="1" i="0" u="none" strike="noStrike">
              <a:solidFill>
                <a:schemeClr val="bg1"/>
              </a:solidFill>
              <a:latin typeface="Berlin Sans FB Demi" panose="020E0802020502020306" pitchFamily="34" charset="0"/>
              <a:ea typeface="Calibri"/>
              <a:cs typeface="Calibri"/>
            </a:rPr>
            <a:pPr algn="ctr"/>
            <a:t>19.8 M</a:t>
          </a:fld>
          <a:endParaRPr lang="en-US" sz="3600" b="1">
            <a:solidFill>
              <a:schemeClr val="bg1"/>
            </a:solidFill>
            <a:latin typeface="Berlin Sans FB Demi" panose="020E0802020502020306" pitchFamily="34" charset="0"/>
          </a:endParaRPr>
        </a:p>
      </xdr:txBody>
    </xdr:sp>
    <xdr:clientData/>
  </xdr:oneCellAnchor>
  <xdr:oneCellAnchor>
    <xdr:from>
      <xdr:col>14</xdr:col>
      <xdr:colOff>338667</xdr:colOff>
      <xdr:row>9</xdr:row>
      <xdr:rowOff>110067</xdr:rowOff>
    </xdr:from>
    <xdr:ext cx="4656666" cy="482600"/>
    <xdr:sp macro="" textlink="'Anaylsis-1'!B5">
      <xdr:nvSpPr>
        <xdr:cNvPr id="25" name="TextBox 24">
          <a:extLst>
            <a:ext uri="{FF2B5EF4-FFF2-40B4-BE49-F238E27FC236}">
              <a16:creationId xmlns:a16="http://schemas.microsoft.com/office/drawing/2014/main" id="{27EDDE73-70A3-4287-8F13-52F303AFAB9E}"/>
            </a:ext>
          </a:extLst>
        </xdr:cNvPr>
        <xdr:cNvSpPr txBox="1"/>
      </xdr:nvSpPr>
      <xdr:spPr>
        <a:xfrm>
          <a:off x="8932334" y="1803400"/>
          <a:ext cx="4656666" cy="482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330B42F-41B5-4C65-9692-A0B0E3923882}" type="TxLink">
            <a:rPr lang="en-US" sz="3600" b="1" i="0" u="none" strike="noStrike">
              <a:solidFill>
                <a:schemeClr val="bg1"/>
              </a:solidFill>
              <a:latin typeface="Berlin Sans FB Demi" panose="020E0802020502020306" pitchFamily="34" charset="0"/>
              <a:ea typeface="Calibri"/>
              <a:cs typeface="Calibri"/>
            </a:rPr>
            <a:pPr algn="ctr"/>
            <a:t> 540,377 </a:t>
          </a:fld>
          <a:endParaRPr lang="en-US" sz="3600" b="1">
            <a:solidFill>
              <a:schemeClr val="bg1"/>
            </a:solidFill>
            <a:latin typeface="Berlin Sans FB Demi" panose="020E0802020502020306" pitchFamily="34" charset="0"/>
          </a:endParaRPr>
        </a:p>
      </xdr:txBody>
    </xdr:sp>
    <xdr:clientData/>
  </xdr:oneCellAnchor>
  <xdr:oneCellAnchor>
    <xdr:from>
      <xdr:col>22</xdr:col>
      <xdr:colOff>46567</xdr:colOff>
      <xdr:row>9</xdr:row>
      <xdr:rowOff>156634</xdr:rowOff>
    </xdr:from>
    <xdr:ext cx="4656666" cy="482600"/>
    <xdr:sp macro="" textlink="'Anaylsis-1'!AK1">
      <xdr:nvSpPr>
        <xdr:cNvPr id="26" name="TextBox 25">
          <a:extLst>
            <a:ext uri="{FF2B5EF4-FFF2-40B4-BE49-F238E27FC236}">
              <a16:creationId xmlns:a16="http://schemas.microsoft.com/office/drawing/2014/main" id="{AD3111A9-44DA-4E52-AC3D-4268F3665BDC}"/>
            </a:ext>
          </a:extLst>
        </xdr:cNvPr>
        <xdr:cNvSpPr txBox="1"/>
      </xdr:nvSpPr>
      <xdr:spPr>
        <a:xfrm>
          <a:off x="13550900" y="1849967"/>
          <a:ext cx="4656666" cy="482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587EED4-E48A-4A93-A12B-58E4E71EF6D5}" type="TxLink">
            <a:rPr lang="en-US" sz="3600" b="1" i="0" u="none" strike="noStrike">
              <a:solidFill>
                <a:schemeClr val="bg1"/>
              </a:solidFill>
              <a:latin typeface="Berlin Sans FB Demi" panose="020E0802020502020306" pitchFamily="34" charset="0"/>
              <a:ea typeface="Calibri"/>
              <a:cs typeface="Calibri"/>
            </a:rPr>
            <a:pPr algn="ctr"/>
            <a:t>25</a:t>
          </a:fld>
          <a:endParaRPr lang="en-US" sz="3600" b="1">
            <a:solidFill>
              <a:schemeClr val="bg1"/>
            </a:solidFill>
            <a:latin typeface="Berlin Sans FB Demi" panose="020E0802020502020306" pitchFamily="34" charset="0"/>
          </a:endParaRPr>
        </a:p>
      </xdr:txBody>
    </xdr:sp>
    <xdr:clientData/>
  </xdr:oneCellAnchor>
  <xdr:oneCellAnchor>
    <xdr:from>
      <xdr:col>29</xdr:col>
      <xdr:colOff>508000</xdr:colOff>
      <xdr:row>9</xdr:row>
      <xdr:rowOff>118534</xdr:rowOff>
    </xdr:from>
    <xdr:ext cx="3429000" cy="495300"/>
    <xdr:sp macro="" textlink="'Anaylsis-1'!R2">
      <xdr:nvSpPr>
        <xdr:cNvPr id="27" name="TextBox 26">
          <a:extLst>
            <a:ext uri="{FF2B5EF4-FFF2-40B4-BE49-F238E27FC236}">
              <a16:creationId xmlns:a16="http://schemas.microsoft.com/office/drawing/2014/main" id="{053D8DED-C20E-4A19-A1F7-25D879430920}"/>
            </a:ext>
          </a:extLst>
        </xdr:cNvPr>
        <xdr:cNvSpPr txBox="1"/>
      </xdr:nvSpPr>
      <xdr:spPr>
        <a:xfrm>
          <a:off x="18309167" y="1811867"/>
          <a:ext cx="3429000" cy="495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6BD1011-6851-4088-ABA1-2E24FF774E13}" type="TxLink">
            <a:rPr lang="en-US" sz="3600" b="1" i="0" u="none" strike="noStrike">
              <a:solidFill>
                <a:schemeClr val="bg1"/>
              </a:solidFill>
              <a:latin typeface="Berlin Sans FB Demi" panose="020E0802020502020306" pitchFamily="34" charset="0"/>
              <a:ea typeface="Calibri"/>
              <a:cs typeface="Calibri"/>
            </a:rPr>
            <a:pPr algn="ctr"/>
            <a:t> 22 </a:t>
          </a:fld>
          <a:endParaRPr lang="en-US" sz="3600" b="1">
            <a:solidFill>
              <a:schemeClr val="bg1"/>
            </a:solidFill>
            <a:latin typeface="Berlin Sans FB Demi" panose="020E0802020502020306" pitchFamily="34" charset="0"/>
          </a:endParaRPr>
        </a:p>
      </xdr:txBody>
    </xdr:sp>
    <xdr:clientData/>
  </xdr:oneCellAnchor>
  <xdr:oneCellAnchor>
    <xdr:from>
      <xdr:col>42</xdr:col>
      <xdr:colOff>211667</xdr:colOff>
      <xdr:row>9</xdr:row>
      <xdr:rowOff>84668</xdr:rowOff>
    </xdr:from>
    <xdr:ext cx="4487333" cy="613832"/>
    <xdr:sp macro="" textlink="'Analysis Type'!B2">
      <xdr:nvSpPr>
        <xdr:cNvPr id="28" name="TextBox 27">
          <a:extLst>
            <a:ext uri="{FF2B5EF4-FFF2-40B4-BE49-F238E27FC236}">
              <a16:creationId xmlns:a16="http://schemas.microsoft.com/office/drawing/2014/main" id="{2BD759BA-5138-479E-8597-CED49F6262E2}"/>
            </a:ext>
          </a:extLst>
        </xdr:cNvPr>
        <xdr:cNvSpPr txBox="1"/>
      </xdr:nvSpPr>
      <xdr:spPr>
        <a:xfrm>
          <a:off x="25992667" y="1778001"/>
          <a:ext cx="4487333" cy="6138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AF6A336-7675-4864-94F1-735AC6A879BC}" type="TxLink">
            <a:rPr lang="en-US" sz="4000" b="0" i="0" u="none" strike="noStrike">
              <a:solidFill>
                <a:schemeClr val="bg1"/>
              </a:solidFill>
              <a:latin typeface="Berlin Sans FB Demi" panose="020E0802020502020306" pitchFamily="34" charset="0"/>
              <a:ea typeface="Calibri"/>
              <a:cs typeface="Calibri"/>
            </a:rPr>
            <a:pPr algn="ctr"/>
            <a:t>1094</a:t>
          </a:fld>
          <a:endParaRPr lang="en-US" sz="4000" b="1">
            <a:solidFill>
              <a:schemeClr val="bg1"/>
            </a:solidFill>
            <a:latin typeface="Berlin Sans FB Demi" panose="020E0802020502020306" pitchFamily="34" charset="0"/>
          </a:endParaRPr>
        </a:p>
      </xdr:txBody>
    </xdr:sp>
    <xdr:clientData/>
  </xdr:oneCellAnchor>
  <xdr:oneCellAnchor>
    <xdr:from>
      <xdr:col>35</xdr:col>
      <xdr:colOff>550332</xdr:colOff>
      <xdr:row>9</xdr:row>
      <xdr:rowOff>76199</xdr:rowOff>
    </xdr:from>
    <xdr:ext cx="3661833" cy="516468"/>
    <xdr:sp macro="" textlink="'Anaylsis-1'!X1">
      <xdr:nvSpPr>
        <xdr:cNvPr id="29" name="TextBox 28">
          <a:extLst>
            <a:ext uri="{FF2B5EF4-FFF2-40B4-BE49-F238E27FC236}">
              <a16:creationId xmlns:a16="http://schemas.microsoft.com/office/drawing/2014/main" id="{DE220287-677C-49A1-ABB4-E859D1E1F848}"/>
            </a:ext>
          </a:extLst>
        </xdr:cNvPr>
        <xdr:cNvSpPr txBox="1"/>
      </xdr:nvSpPr>
      <xdr:spPr>
        <a:xfrm>
          <a:off x="22034499" y="1769532"/>
          <a:ext cx="3661833" cy="5164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75331B1-2E50-46A7-90DF-C08424335094}" type="TxLink">
            <a:rPr lang="en-US" sz="4000" b="1" i="0" u="none" strike="noStrike">
              <a:solidFill>
                <a:schemeClr val="bg1"/>
              </a:solidFill>
              <a:latin typeface="Berlin Sans FB Demi" panose="020E0802020502020306" pitchFamily="34" charset="0"/>
              <a:ea typeface="Calibri"/>
              <a:cs typeface="Calibri"/>
            </a:rPr>
            <a:pPr algn="ctr"/>
            <a:t>6</a:t>
          </a:fld>
          <a:endParaRPr lang="en-US" sz="4000" b="1">
            <a:solidFill>
              <a:schemeClr val="bg1"/>
            </a:solidFill>
            <a:latin typeface="Berlin Sans FB Demi" panose="020E0802020502020306" pitchFamily="34" charset="0"/>
          </a:endParaRPr>
        </a:p>
      </xdr:txBody>
    </xdr:sp>
    <xdr:clientData/>
  </xdr:oneCellAnchor>
  <xdr:oneCellAnchor>
    <xdr:from>
      <xdr:col>7</xdr:col>
      <xdr:colOff>190500</xdr:colOff>
      <xdr:row>9</xdr:row>
      <xdr:rowOff>63499</xdr:rowOff>
    </xdr:from>
    <xdr:ext cx="4148667" cy="592667"/>
    <xdr:sp macro="" textlink="'Anaylsis-1'!N5">
      <xdr:nvSpPr>
        <xdr:cNvPr id="30" name="TextBox 29">
          <a:extLst>
            <a:ext uri="{FF2B5EF4-FFF2-40B4-BE49-F238E27FC236}">
              <a16:creationId xmlns:a16="http://schemas.microsoft.com/office/drawing/2014/main" id="{705CE03F-88AC-4108-9D8E-692678B21B26}"/>
            </a:ext>
          </a:extLst>
        </xdr:cNvPr>
        <xdr:cNvSpPr txBox="1"/>
      </xdr:nvSpPr>
      <xdr:spPr>
        <a:xfrm>
          <a:off x="4487333" y="1756832"/>
          <a:ext cx="4148667" cy="5926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31AB2F0-E642-4AA6-A5B0-E7FF7344B6C8}" type="TxLink">
            <a:rPr lang="en-US" sz="3600" b="0" i="0" u="none" strike="noStrike">
              <a:solidFill>
                <a:schemeClr val="bg1"/>
              </a:solidFill>
              <a:latin typeface="Berlin Sans FB Demi" panose="020E0802020502020306" pitchFamily="34" charset="0"/>
              <a:ea typeface="Calibri"/>
              <a:cs typeface="Calibri"/>
            </a:rPr>
            <a:t>0.00%</a:t>
          </a:fld>
          <a:endParaRPr lang="en-US" sz="3600" b="1" i="0" u="none" strike="noStrike">
            <a:solidFill>
              <a:schemeClr val="bg1"/>
            </a:solidFill>
            <a:latin typeface="Berlin Sans FB Demi" panose="020E0802020502020306" pitchFamily="34" charset="0"/>
            <a:ea typeface="Calibri"/>
            <a:cs typeface="Calibri"/>
          </a:endParaRPr>
        </a:p>
      </xdr:txBody>
    </xdr:sp>
    <xdr:clientData/>
  </xdr:oneCellAnchor>
  <xdr:twoCellAnchor>
    <xdr:from>
      <xdr:col>20</xdr:col>
      <xdr:colOff>169333</xdr:colOff>
      <xdr:row>65</xdr:row>
      <xdr:rowOff>148166</xdr:rowOff>
    </xdr:from>
    <xdr:to>
      <xdr:col>35</xdr:col>
      <xdr:colOff>425218</xdr:colOff>
      <xdr:row>104</xdr:row>
      <xdr:rowOff>169334</xdr:rowOff>
    </xdr:to>
    <xdr:graphicFrame macro="">
      <xdr:nvGraphicFramePr>
        <xdr:cNvPr id="31" name="Chart 2">
          <a:extLst>
            <a:ext uri="{FF2B5EF4-FFF2-40B4-BE49-F238E27FC236}">
              <a16:creationId xmlns:a16="http://schemas.microsoft.com/office/drawing/2014/main" id="{3D6E231A-663B-4697-B942-2F69FFEB1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16.657603703701" backgroundQuery="1" createdVersion="7" refreshedVersion="7" minRefreshableVersion="3" recordCount="0" supportSubquery="1" supportAdvancedDrill="1" xr:uid="{11BD9D07-1738-4B76-8C2F-F892BE50FF7D}">
  <cacheSource type="external" connectionId="3"/>
  <cacheFields count="4">
    <cacheField name="[Table1_3].[Amount].[Amount]" caption="Amount" numFmtId="0" hierarchy="3" level="1">
      <sharedItems containsSemiMixedTypes="0" containsString="0" containsNumber="1" minValue="7" maxValue="99.5" count="33">
        <n v="49"/>
        <n v="7"/>
        <n v="28"/>
        <n v="77"/>
        <n v="63"/>
        <n v="70"/>
        <n v="84"/>
        <n v="91"/>
        <n v="53.85"/>
        <n v="8.0399999999999991"/>
        <n v="8.06"/>
        <n v="31.15"/>
        <n v="51.29"/>
        <n v="87.52"/>
        <n v="66.13"/>
        <n v="80.62"/>
        <n v="88.72"/>
        <n v="94.19"/>
        <n v="63.71"/>
        <n v="66.349999999999994"/>
        <n v="70.599999999999994"/>
        <n v="53.31"/>
        <n v="8.16"/>
        <n v="7.67"/>
        <n v="33.68"/>
        <n v="51.98"/>
        <n v="90.36"/>
        <n v="70.19"/>
        <n v="73.91"/>
        <n v="99.5"/>
        <n v="71.41"/>
        <n v="71.989999999999995"/>
        <n v="77.099999999999994"/>
      </sharedItems>
    </cacheField>
    <cacheField name="[Table1_3].[Type (C&amp;D)].[Type (C&amp;D)]" caption="Type (C&amp;D)" numFmtId="0" hierarchy="6" level="1">
      <sharedItems count="2">
        <s v="Contract"/>
        <s v="Deal"/>
      </sharedItems>
    </cacheField>
    <cacheField name="[Measures].[Count of Amount]" caption="Count of Amount" numFmtId="0" hierarchy="14" level="32767"/>
    <cacheField name="[Table1_3].[Date (Year)].[Date (Year)]" caption="Date (Year)" numFmtId="0" hierarchy="7" level="1">
      <sharedItems count="3">
        <s v="2022"/>
        <s v="2023"/>
        <s v="2024"/>
      </sharedItems>
    </cacheField>
  </cacheFields>
  <cacheHierarchies count="22">
    <cacheHierarchy uniqueName="[Table1_3].[Sales Person]" caption="Sales Person" attribute="1" defaultMemberUniqueName="[Table1_3].[Sales Person].[All]" allUniqueName="[Table1_3].[Sales Person].[All]" dimensionUniqueName="[Table1_3]" displayFolder="" count="0" memberValueDatatype="130" unbalanced="0"/>
    <cacheHierarchy uniqueName="[Table1_3].[Country]" caption="Country" attribute="1" defaultMemberUniqueName="[Table1_3].[Country].[All]" allUniqueName="[Table1_3].[Country].[All]" dimensionUniqueName="[Table1_3]" displayFolder="" count="0" memberValueDatatype="130" unbalanced="0"/>
    <cacheHierarchy uniqueName="[Table1_3].[Product]" caption="Product" attribute="1" defaultMemberUniqueName="[Table1_3].[Product].[All]" allUniqueName="[Table1_3].[Product].[All]" dimensionUniqueName="[Table1_3]" displayFolder="" count="0" memberValueDatatype="130" unbalanced="0"/>
    <cacheHierarchy uniqueName="[Table1_3].[Amount]" caption="Amount" attribute="1" defaultMemberUniqueName="[Table1_3].[Amount].[All]" allUniqueName="[Table1_3].[Amount].[All]" dimensionUniqueName="[Table1_3]" displayFolder="" count="2" memberValueDatatype="5" unbalanced="0">
      <fieldsUsage count="2">
        <fieldUsage x="-1"/>
        <fieldUsage x="0"/>
      </fieldsUsage>
    </cacheHierarchy>
    <cacheHierarchy uniqueName="[Table1_3].[Boxes Shipped]" caption="Boxes Shipped" attribute="1" defaultMemberUniqueName="[Table1_3].[Boxes Shipped].[All]" allUniqueName="[Table1_3].[Boxes Shipped].[All]" dimensionUniqueName="[Table1_3]" displayFolder="" count="0" memberValueDatatype="20" unbalanced="0"/>
    <cacheHierarchy uniqueName="[Table1_3].[Date]" caption="Date" attribute="1" time="1" defaultMemberUniqueName="[Table1_3].[Date].[All]" allUniqueName="[Table1_3].[Date].[All]" dimensionUniqueName="[Table1_3]" displayFolder="" count="0" memberValueDatatype="7" unbalanced="0"/>
    <cacheHierarchy uniqueName="[Table1_3].[Type (C&amp;D)]" caption="Type (C&amp;D)" attribute="1" defaultMemberUniqueName="[Table1_3].[Type (C&amp;D)].[All]" allUniqueName="[Table1_3].[Type (C&amp;D)].[All]" dimensionUniqueName="[Table1_3]" displayFolder="" count="2" memberValueDatatype="130" unbalanced="0">
      <fieldsUsage count="2">
        <fieldUsage x="-1"/>
        <fieldUsage x="1"/>
      </fieldsUsage>
    </cacheHierarchy>
    <cacheHierarchy uniqueName="[Table1_3].[Date (Year)]" caption="Date (Year)" attribute="1" defaultMemberUniqueName="[Table1_3].[Date (Year)].[All]" allUniqueName="[Table1_3].[Date (Year)].[All]" dimensionUniqueName="[Table1_3]" displayFolder="" count="2" memberValueDatatype="130" unbalanced="0">
      <fieldsUsage count="2">
        <fieldUsage x="-1"/>
        <fieldUsage x="3"/>
      </fieldsUsage>
    </cacheHierarchy>
    <cacheHierarchy uniqueName="[Table1_3].[Date (Month)]" caption="Date (Month)" attribute="1" defaultMemberUniqueName="[Table1_3].[Date (Month)].[All]" allUniqueName="[Table1_3].[Date (Month)].[All]" dimensionUniqueName="[Table1_3]" displayFolder="" count="0" memberValueDatatype="130" unbalanced="0"/>
    <cacheHierarchy uniqueName="[Table1_3].[Date (Month Index)]" caption="Date (Month Index)" attribute="1" defaultMemberUniqueName="[Table1_3].[Date (Month Index)].[All]" allUniqueName="[Table1_3].[Date (Month Index)].[All]" dimensionUniqueName="[Table1_3]" displayFolder="" count="0" memberValueDatatype="20" unbalanced="0" hidden="1"/>
    <cacheHierarchy uniqueName="[Measures].[__XL_Count Table1_3]" caption="__XL_Count Table1_3" measure="1" displayFolder="" measureGroup="Table1_3" count="0" hidden="1"/>
    <cacheHierarchy uniqueName="[Measures].[__No measures defined]" caption="__No measures defined" measure="1" displayFolder="" count="0" hidden="1"/>
    <cacheHierarchy uniqueName="[Measures].[Sum of Amount]" caption="Sum of Amount" measure="1" displayFolder="" measureGroup="Table1_3" count="0" hidden="1">
      <extLst>
        <ext xmlns:x15="http://schemas.microsoft.com/office/spreadsheetml/2010/11/main" uri="{B97F6D7D-B522-45F9-BDA1-12C45D357490}">
          <x15:cacheHierarchy aggregatedColumn="3"/>
        </ext>
      </extLst>
    </cacheHierarchy>
    <cacheHierarchy uniqueName="[Measures].[Count of Product]" caption="Count of Product" measure="1" displayFolder="" measureGroup="Table1_3" count="0" hidden="1">
      <extLst>
        <ext xmlns:x15="http://schemas.microsoft.com/office/spreadsheetml/2010/11/main" uri="{B97F6D7D-B522-45F9-BDA1-12C45D357490}">
          <x15:cacheHierarchy aggregatedColumn="2"/>
        </ext>
      </extLst>
    </cacheHierarchy>
    <cacheHierarchy uniqueName="[Measures].[Count of Amount]" caption="Count of Amount" measure="1" displayFolder="" measureGroup="Table1_3"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Type (C&amp;D)]" caption="Count of Type (C&amp;D)" measure="1" displayFolder="" measureGroup="Table1_3"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Table1_3" count="0" hidden="1">
      <extLst>
        <ext xmlns:x15="http://schemas.microsoft.com/office/spreadsheetml/2010/11/main" uri="{B97F6D7D-B522-45F9-BDA1-12C45D357490}">
          <x15:cacheHierarchy aggregatedColumn="1"/>
        </ext>
      </extLst>
    </cacheHierarchy>
    <cacheHierarchy uniqueName="[Measures].[Count of Sales Person]" caption="Count of Sales Person" measure="1" displayFolder="" measureGroup="Table1_3" count="0" hidden="1">
      <extLst>
        <ext xmlns:x15="http://schemas.microsoft.com/office/spreadsheetml/2010/11/main" uri="{B97F6D7D-B522-45F9-BDA1-12C45D357490}">
          <x15:cacheHierarchy aggregatedColumn="0"/>
        </ext>
      </extLst>
    </cacheHierarchy>
    <cacheHierarchy uniqueName="[Measures].[Distinct Count of Product]" caption="Distinct Count of Product" measure="1" displayFolder="" measureGroup="Table1_3" count="0" hidden="1">
      <extLst>
        <ext xmlns:x15="http://schemas.microsoft.com/office/spreadsheetml/2010/11/main" uri="{B97F6D7D-B522-45F9-BDA1-12C45D357490}">
          <x15:cacheHierarchy aggregatedColumn="2"/>
        </ext>
      </extLst>
    </cacheHierarchy>
    <cacheHierarchy uniqueName="[Measures].[Distinct Count of Country]" caption="Distinct Count of Country" measure="1" displayFolder="" measureGroup="Table1_3" count="0" hidden="1">
      <extLst>
        <ext xmlns:x15="http://schemas.microsoft.com/office/spreadsheetml/2010/11/main" uri="{B97F6D7D-B522-45F9-BDA1-12C45D357490}">
          <x15:cacheHierarchy aggregatedColumn="1"/>
        </ext>
      </extLst>
    </cacheHierarchy>
    <cacheHierarchy uniqueName="[Measures].[Distinct Count of Sales Person]" caption="Distinct Count of Sales Person" measure="1" displayFolder="" measureGroup="Table1_3" count="0" hidden="1">
      <extLst>
        <ext xmlns:x15="http://schemas.microsoft.com/office/spreadsheetml/2010/11/main" uri="{B97F6D7D-B522-45F9-BDA1-12C45D357490}">
          <x15:cacheHierarchy aggregatedColumn="0"/>
        </ext>
      </extLst>
    </cacheHierarchy>
    <cacheHierarchy uniqueName="[Measures].[Sum of Boxes Shipped]" caption="Sum of Boxes Shipped" measure="1" displayFolder="" measureGroup="Table1_3"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3" uniqueName="[Table1_3]" caption="Table1_3"/>
  </dimensions>
  <measureGroups count="1">
    <measureGroup name="Table1_3" caption="Table1_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16.657605324071" backgroundQuery="1" createdVersion="7" refreshedVersion="7" minRefreshableVersion="3" recordCount="0" supportSubquery="1" supportAdvancedDrill="1" xr:uid="{0945C4FB-A3FF-45C2-84D9-F60F77A87484}">
  <cacheSource type="external" connectionId="3"/>
  <cacheFields count="5">
    <cacheField name="[Table1_3].[Amount].[Amount]" caption="Amount" numFmtId="0" hierarchy="3" level="1">
      <sharedItems containsSemiMixedTypes="0" containsString="0" containsNumber="1" minValue="7" maxValue="99.5" count="33">
        <n v="49"/>
        <n v="7"/>
        <n v="28"/>
        <n v="77"/>
        <n v="63"/>
        <n v="70"/>
        <n v="84"/>
        <n v="91"/>
        <n v="53.85"/>
        <n v="8.0399999999999991"/>
        <n v="8.06"/>
        <n v="31.15"/>
        <n v="51.29"/>
        <n v="87.52"/>
        <n v="66.13"/>
        <n v="80.62"/>
        <n v="88.72"/>
        <n v="94.19"/>
        <n v="63.71"/>
        <n v="66.349999999999994"/>
        <n v="70.599999999999994"/>
        <n v="53.31"/>
        <n v="8.16"/>
        <n v="7.67"/>
        <n v="33.68"/>
        <n v="51.98"/>
        <n v="90.36"/>
        <n v="70.19"/>
        <n v="73.91"/>
        <n v="99.5"/>
        <n v="71.41"/>
        <n v="71.989999999999995"/>
        <n v="77.099999999999994"/>
      </sharedItems>
    </cacheField>
    <cacheField name="[Table1_3].[Date (Year)].[Date (Year)]" caption="Date (Year)" numFmtId="0" hierarchy="7" level="1">
      <sharedItems count="3">
        <s v="2022"/>
        <s v="2023"/>
        <s v="2024"/>
      </sharedItems>
    </cacheField>
    <cacheField name="[Table1_3].[Country].[Country]" caption="Country" numFmtId="0" hierarchy="1" level="1">
      <sharedItems count="6">
        <s v="Australia"/>
        <s v="Canada"/>
        <s v="India"/>
        <s v="New Zealand"/>
        <s v="UK"/>
        <s v="USA"/>
      </sharedItems>
    </cacheField>
    <cacheField name="[Measures].[Sum of Boxes Shipped]" caption="Sum of Boxes Shipped" numFmtId="0" hierarchy="21" level="32767"/>
    <cacheField name="[Measures].[Sum of Amount]" caption="Sum of Amount" numFmtId="0" hierarchy="12" level="32767"/>
  </cacheFields>
  <cacheHierarchies count="22">
    <cacheHierarchy uniqueName="[Table1_3].[Sales Person]" caption="Sales Person" attribute="1" defaultMemberUniqueName="[Table1_3].[Sales Person].[All]" allUniqueName="[Table1_3].[Sales Person].[All]" dimensionUniqueName="[Table1_3]" displayFolder="" count="0" memberValueDatatype="130" unbalanced="0"/>
    <cacheHierarchy uniqueName="[Table1_3].[Country]" caption="Country" attribute="1" defaultMemberUniqueName="[Table1_3].[Country].[All]" allUniqueName="[Table1_3].[Country].[All]" dimensionUniqueName="[Table1_3]" displayFolder="" count="2" memberValueDatatype="130" unbalanced="0">
      <fieldsUsage count="2">
        <fieldUsage x="-1"/>
        <fieldUsage x="2"/>
      </fieldsUsage>
    </cacheHierarchy>
    <cacheHierarchy uniqueName="[Table1_3].[Product]" caption="Product" attribute="1" defaultMemberUniqueName="[Table1_3].[Product].[All]" allUniqueName="[Table1_3].[Product].[All]" dimensionUniqueName="[Table1_3]" displayFolder="" count="0" memberValueDatatype="130" unbalanced="0"/>
    <cacheHierarchy uniqueName="[Table1_3].[Amount]" caption="Amount" attribute="1" defaultMemberUniqueName="[Table1_3].[Amount].[All]" allUniqueName="[Table1_3].[Amount].[All]" dimensionUniqueName="[Table1_3]" displayFolder="" count="2" memberValueDatatype="5" unbalanced="0">
      <fieldsUsage count="2">
        <fieldUsage x="-1"/>
        <fieldUsage x="0"/>
      </fieldsUsage>
    </cacheHierarchy>
    <cacheHierarchy uniqueName="[Table1_3].[Boxes Shipped]" caption="Boxes Shipped" attribute="1" defaultMemberUniqueName="[Table1_3].[Boxes Shipped].[All]" allUniqueName="[Table1_3].[Boxes Shipped].[All]" dimensionUniqueName="[Table1_3]" displayFolder="" count="0" memberValueDatatype="20" unbalanced="0"/>
    <cacheHierarchy uniqueName="[Table1_3].[Date]" caption="Date" attribute="1" time="1" defaultMemberUniqueName="[Table1_3].[Date].[All]" allUniqueName="[Table1_3].[Date].[All]" dimensionUniqueName="[Table1_3]" displayFolder="" count="0" memberValueDatatype="7" unbalanced="0"/>
    <cacheHierarchy uniqueName="[Table1_3].[Type (C&amp;D)]" caption="Type (C&amp;D)" attribute="1" defaultMemberUniqueName="[Table1_3].[Type (C&amp;D)].[All]" allUniqueName="[Table1_3].[Type (C&amp;D)].[All]" dimensionUniqueName="[Table1_3]" displayFolder="" count="0" memberValueDatatype="130" unbalanced="0"/>
    <cacheHierarchy uniqueName="[Table1_3].[Date (Year)]" caption="Date (Year)" attribute="1" defaultMemberUniqueName="[Table1_3].[Date (Year)].[All]" allUniqueName="[Table1_3].[Date (Year)].[All]" dimensionUniqueName="[Table1_3]" displayFolder="" count="2" memberValueDatatype="130" unbalanced="0">
      <fieldsUsage count="2">
        <fieldUsage x="-1"/>
        <fieldUsage x="1"/>
      </fieldsUsage>
    </cacheHierarchy>
    <cacheHierarchy uniqueName="[Table1_3].[Date (Month)]" caption="Date (Month)" attribute="1" defaultMemberUniqueName="[Table1_3].[Date (Month)].[All]" allUniqueName="[Table1_3].[Date (Month)].[All]" dimensionUniqueName="[Table1_3]" displayFolder="" count="0" memberValueDatatype="130" unbalanced="0"/>
    <cacheHierarchy uniqueName="[Table1_3].[Date (Month Index)]" caption="Date (Month Index)" attribute="1" defaultMemberUniqueName="[Table1_3].[Date (Month Index)].[All]" allUniqueName="[Table1_3].[Date (Month Index)].[All]" dimensionUniqueName="[Table1_3]" displayFolder="" count="0" memberValueDatatype="20" unbalanced="0" hidden="1"/>
    <cacheHierarchy uniqueName="[Measures].[__XL_Count Table1_3]" caption="__XL_Count Table1_3" measure="1" displayFolder="" measureGroup="Table1_3" count="0" hidden="1"/>
    <cacheHierarchy uniqueName="[Measures].[__No measures defined]" caption="__No measures defined" measure="1" displayFolder="" count="0" hidden="1"/>
    <cacheHierarchy uniqueName="[Measures].[Sum of Amount]" caption="Sum of Amount" measure="1" displayFolder="" measureGroup="Table1_3" count="0" oneField="1" hidden="1">
      <fieldsUsage count="1">
        <fieldUsage x="4"/>
      </fieldsUsage>
      <extLst>
        <ext xmlns:x15="http://schemas.microsoft.com/office/spreadsheetml/2010/11/main" uri="{B97F6D7D-B522-45F9-BDA1-12C45D357490}">
          <x15:cacheHierarchy aggregatedColumn="3"/>
        </ext>
      </extLst>
    </cacheHierarchy>
    <cacheHierarchy uniqueName="[Measures].[Count of Product]" caption="Count of Product" measure="1" displayFolder="" measureGroup="Table1_3" count="0" hidden="1">
      <extLst>
        <ext xmlns:x15="http://schemas.microsoft.com/office/spreadsheetml/2010/11/main" uri="{B97F6D7D-B522-45F9-BDA1-12C45D357490}">
          <x15:cacheHierarchy aggregatedColumn="2"/>
        </ext>
      </extLst>
    </cacheHierarchy>
    <cacheHierarchy uniqueName="[Measures].[Count of Amount]" caption="Count of Amount" measure="1" displayFolder="" measureGroup="Table1_3" count="0" hidden="1">
      <extLst>
        <ext xmlns:x15="http://schemas.microsoft.com/office/spreadsheetml/2010/11/main" uri="{B97F6D7D-B522-45F9-BDA1-12C45D357490}">
          <x15:cacheHierarchy aggregatedColumn="3"/>
        </ext>
      </extLst>
    </cacheHierarchy>
    <cacheHierarchy uniqueName="[Measures].[Count of Type (C&amp;D)]" caption="Count of Type (C&amp;D)" measure="1" displayFolder="" measureGroup="Table1_3"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Table1_3" count="0" hidden="1">
      <extLst>
        <ext xmlns:x15="http://schemas.microsoft.com/office/spreadsheetml/2010/11/main" uri="{B97F6D7D-B522-45F9-BDA1-12C45D357490}">
          <x15:cacheHierarchy aggregatedColumn="1"/>
        </ext>
      </extLst>
    </cacheHierarchy>
    <cacheHierarchy uniqueName="[Measures].[Count of Sales Person]" caption="Count of Sales Person" measure="1" displayFolder="" measureGroup="Table1_3" count="0" hidden="1">
      <extLst>
        <ext xmlns:x15="http://schemas.microsoft.com/office/spreadsheetml/2010/11/main" uri="{B97F6D7D-B522-45F9-BDA1-12C45D357490}">
          <x15:cacheHierarchy aggregatedColumn="0"/>
        </ext>
      </extLst>
    </cacheHierarchy>
    <cacheHierarchy uniqueName="[Measures].[Distinct Count of Product]" caption="Distinct Count of Product" measure="1" displayFolder="" measureGroup="Table1_3" count="0" hidden="1">
      <extLst>
        <ext xmlns:x15="http://schemas.microsoft.com/office/spreadsheetml/2010/11/main" uri="{B97F6D7D-B522-45F9-BDA1-12C45D357490}">
          <x15:cacheHierarchy aggregatedColumn="2"/>
        </ext>
      </extLst>
    </cacheHierarchy>
    <cacheHierarchy uniqueName="[Measures].[Distinct Count of Country]" caption="Distinct Count of Country" measure="1" displayFolder="" measureGroup="Table1_3" count="0" hidden="1">
      <extLst>
        <ext xmlns:x15="http://schemas.microsoft.com/office/spreadsheetml/2010/11/main" uri="{B97F6D7D-B522-45F9-BDA1-12C45D357490}">
          <x15:cacheHierarchy aggregatedColumn="1"/>
        </ext>
      </extLst>
    </cacheHierarchy>
    <cacheHierarchy uniqueName="[Measures].[Distinct Count of Sales Person]" caption="Distinct Count of Sales Person" measure="1" displayFolder="" measureGroup="Table1_3" count="0" hidden="1">
      <extLst>
        <ext xmlns:x15="http://schemas.microsoft.com/office/spreadsheetml/2010/11/main" uri="{B97F6D7D-B522-45F9-BDA1-12C45D357490}">
          <x15:cacheHierarchy aggregatedColumn="0"/>
        </ext>
      </extLst>
    </cacheHierarchy>
    <cacheHierarchy uniqueName="[Measures].[Sum of Boxes Shipped]" caption="Sum of Boxes Shipped" measure="1" displayFolder="" measureGroup="Table1_3" count="0" oneField="1" hidden="1">
      <fieldsUsage count="1">
        <fieldUsage x="3"/>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3" uniqueName="[Table1_3]" caption="Table1_3"/>
  </dimensions>
  <measureGroups count="1">
    <measureGroup name="Table1_3" caption="Table1_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16.657606828703" backgroundQuery="1" createdVersion="7" refreshedVersion="7" minRefreshableVersion="3" recordCount="0" supportSubquery="1" supportAdvancedDrill="1" xr:uid="{FEC33296-E2F3-4655-9286-5B9A010C82BC}">
  <cacheSource type="external" connectionId="3"/>
  <cacheFields count="2">
    <cacheField name="[Table1_3].[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Distinct Count of Product]" caption="Distinct Count of Product" numFmtId="0" hierarchy="18" level="32767"/>
  </cacheFields>
  <cacheHierarchies count="22">
    <cacheHierarchy uniqueName="[Table1_3].[Sales Person]" caption="Sales Person" attribute="1" defaultMemberUniqueName="[Table1_3].[Sales Person].[All]" allUniqueName="[Table1_3].[Sales Person].[All]" dimensionUniqueName="[Table1_3]" displayFolder="" count="0" memberValueDatatype="130" unbalanced="0"/>
    <cacheHierarchy uniqueName="[Table1_3].[Country]" caption="Country" attribute="1" defaultMemberUniqueName="[Table1_3].[Country].[All]" allUniqueName="[Table1_3].[Country].[All]" dimensionUniqueName="[Table1_3]" displayFolder="" count="0" memberValueDatatype="130" unbalanced="0"/>
    <cacheHierarchy uniqueName="[Table1_3].[Product]" caption="Product" attribute="1" defaultMemberUniqueName="[Table1_3].[Product].[All]" allUniqueName="[Table1_3].[Product].[All]" dimensionUniqueName="[Table1_3]" displayFolder="" count="2" memberValueDatatype="130" unbalanced="0">
      <fieldsUsage count="2">
        <fieldUsage x="-1"/>
        <fieldUsage x="0"/>
      </fieldsUsage>
    </cacheHierarchy>
    <cacheHierarchy uniqueName="[Table1_3].[Amount]" caption="Amount" attribute="1" defaultMemberUniqueName="[Table1_3].[Amount].[All]" allUniqueName="[Table1_3].[Amount].[All]" dimensionUniqueName="[Table1_3]" displayFolder="" count="0" memberValueDatatype="5" unbalanced="0"/>
    <cacheHierarchy uniqueName="[Table1_3].[Boxes Shipped]" caption="Boxes Shipped" attribute="1" defaultMemberUniqueName="[Table1_3].[Boxes Shipped].[All]" allUniqueName="[Table1_3].[Boxes Shipped].[All]" dimensionUniqueName="[Table1_3]" displayFolder="" count="0" memberValueDatatype="20" unbalanced="0"/>
    <cacheHierarchy uniqueName="[Table1_3].[Date]" caption="Date" attribute="1" time="1" defaultMemberUniqueName="[Table1_3].[Date].[All]" allUniqueName="[Table1_3].[Date].[All]" dimensionUniqueName="[Table1_3]" displayFolder="" count="0" memberValueDatatype="7" unbalanced="0"/>
    <cacheHierarchy uniqueName="[Table1_3].[Type (C&amp;D)]" caption="Type (C&amp;D)" attribute="1" defaultMemberUniqueName="[Table1_3].[Type (C&amp;D)].[All]" allUniqueName="[Table1_3].[Type (C&amp;D)].[All]" dimensionUniqueName="[Table1_3]" displayFolder="" count="0" memberValueDatatype="130" unbalanced="0"/>
    <cacheHierarchy uniqueName="[Table1_3].[Date (Year)]" caption="Date (Year)" attribute="1" defaultMemberUniqueName="[Table1_3].[Date (Year)].[All]" allUniqueName="[Table1_3].[Date (Year)].[All]" dimensionUniqueName="[Table1_3]" displayFolder="" count="0" memberValueDatatype="130" unbalanced="0"/>
    <cacheHierarchy uniqueName="[Table1_3].[Date (Month)]" caption="Date (Month)" attribute="1" defaultMemberUniqueName="[Table1_3].[Date (Month)].[All]" allUniqueName="[Table1_3].[Date (Month)].[All]" dimensionUniqueName="[Table1_3]" displayFolder="" count="0" memberValueDatatype="130" unbalanced="0"/>
    <cacheHierarchy uniqueName="[Table1_3].[Date (Month Index)]" caption="Date (Month Index)" attribute="1" defaultMemberUniqueName="[Table1_3].[Date (Month Index)].[All]" allUniqueName="[Table1_3].[Date (Month Index)].[All]" dimensionUniqueName="[Table1_3]" displayFolder="" count="0" memberValueDatatype="20" unbalanced="0" hidden="1"/>
    <cacheHierarchy uniqueName="[Measures].[__XL_Count Table1_3]" caption="__XL_Count Table1_3" measure="1" displayFolder="" measureGroup="Table1_3" count="0" hidden="1"/>
    <cacheHierarchy uniqueName="[Measures].[__No measures defined]" caption="__No measures defined" measure="1" displayFolder="" count="0" hidden="1"/>
    <cacheHierarchy uniqueName="[Measures].[Sum of Amount]" caption="Sum of Amount" measure="1" displayFolder="" measureGroup="Table1_3" count="0" hidden="1">
      <extLst>
        <ext xmlns:x15="http://schemas.microsoft.com/office/spreadsheetml/2010/11/main" uri="{B97F6D7D-B522-45F9-BDA1-12C45D357490}">
          <x15:cacheHierarchy aggregatedColumn="3"/>
        </ext>
      </extLst>
    </cacheHierarchy>
    <cacheHierarchy uniqueName="[Measures].[Count of Product]" caption="Count of Product" measure="1" displayFolder="" measureGroup="Table1_3" count="0" hidden="1">
      <extLst>
        <ext xmlns:x15="http://schemas.microsoft.com/office/spreadsheetml/2010/11/main" uri="{B97F6D7D-B522-45F9-BDA1-12C45D357490}">
          <x15:cacheHierarchy aggregatedColumn="2"/>
        </ext>
      </extLst>
    </cacheHierarchy>
    <cacheHierarchy uniqueName="[Measures].[Count of Amount]" caption="Count of Amount" measure="1" displayFolder="" measureGroup="Table1_3" count="0" hidden="1">
      <extLst>
        <ext xmlns:x15="http://schemas.microsoft.com/office/spreadsheetml/2010/11/main" uri="{B97F6D7D-B522-45F9-BDA1-12C45D357490}">
          <x15:cacheHierarchy aggregatedColumn="3"/>
        </ext>
      </extLst>
    </cacheHierarchy>
    <cacheHierarchy uniqueName="[Measures].[Count of Type (C&amp;D)]" caption="Count of Type (C&amp;D)" measure="1" displayFolder="" measureGroup="Table1_3"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Table1_3" count="0" hidden="1">
      <extLst>
        <ext xmlns:x15="http://schemas.microsoft.com/office/spreadsheetml/2010/11/main" uri="{B97F6D7D-B522-45F9-BDA1-12C45D357490}">
          <x15:cacheHierarchy aggregatedColumn="1"/>
        </ext>
      </extLst>
    </cacheHierarchy>
    <cacheHierarchy uniqueName="[Measures].[Count of Sales Person]" caption="Count of Sales Person" measure="1" displayFolder="" measureGroup="Table1_3" count="0" hidden="1">
      <extLst>
        <ext xmlns:x15="http://schemas.microsoft.com/office/spreadsheetml/2010/11/main" uri="{B97F6D7D-B522-45F9-BDA1-12C45D357490}">
          <x15:cacheHierarchy aggregatedColumn="0"/>
        </ext>
      </extLst>
    </cacheHierarchy>
    <cacheHierarchy uniqueName="[Measures].[Distinct Count of Product]" caption="Distinct Count of Product" measure="1" displayFolder="" measureGroup="Table1_3" count="0" oneField="1" hidden="1">
      <fieldsUsage count="1">
        <fieldUsage x="1"/>
      </fieldsUsage>
      <extLst>
        <ext xmlns:x15="http://schemas.microsoft.com/office/spreadsheetml/2010/11/main" uri="{B97F6D7D-B522-45F9-BDA1-12C45D357490}">
          <x15:cacheHierarchy aggregatedColumn="2"/>
        </ext>
      </extLst>
    </cacheHierarchy>
    <cacheHierarchy uniqueName="[Measures].[Distinct Count of Country]" caption="Distinct Count of Country" measure="1" displayFolder="" measureGroup="Table1_3" count="0" hidden="1">
      <extLst>
        <ext xmlns:x15="http://schemas.microsoft.com/office/spreadsheetml/2010/11/main" uri="{B97F6D7D-B522-45F9-BDA1-12C45D357490}">
          <x15:cacheHierarchy aggregatedColumn="1"/>
        </ext>
      </extLst>
    </cacheHierarchy>
    <cacheHierarchy uniqueName="[Measures].[Distinct Count of Sales Person]" caption="Distinct Count of Sales Person" measure="1" displayFolder="" measureGroup="Table1_3" count="0" hidden="1">
      <extLst>
        <ext xmlns:x15="http://schemas.microsoft.com/office/spreadsheetml/2010/11/main" uri="{B97F6D7D-B522-45F9-BDA1-12C45D357490}">
          <x15:cacheHierarchy aggregatedColumn="0"/>
        </ext>
      </extLst>
    </cacheHierarchy>
    <cacheHierarchy uniqueName="[Measures].[Sum of Boxes Shipped]" caption="Sum of Boxes Shipped" measure="1" displayFolder="" measureGroup="Table1_3"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3" uniqueName="[Table1_3]" caption="Table1_3"/>
  </dimensions>
  <measureGroups count="1">
    <measureGroup name="Table1_3" caption="Table1_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16.65760810185" backgroundQuery="1" createdVersion="7" refreshedVersion="7" minRefreshableVersion="3" recordCount="0" supportSubquery="1" supportAdvancedDrill="1" xr:uid="{D9714242-A099-441D-84B8-0AB04C489696}">
  <cacheSource type="external" connectionId="3"/>
  <cacheFields count="2">
    <cacheField name="[Table1_3].[Country].[Country]" caption="Country" numFmtId="0" hierarchy="1" level="1">
      <sharedItems count="6">
        <s v="Australia"/>
        <s v="Canada"/>
        <s v="India"/>
        <s v="New Zealand"/>
        <s v="UK"/>
        <s v="USA"/>
      </sharedItems>
    </cacheField>
    <cacheField name="[Measures].[Distinct Count of Country]" caption="Distinct Count of Country" numFmtId="0" hierarchy="19" level="32767"/>
  </cacheFields>
  <cacheHierarchies count="22">
    <cacheHierarchy uniqueName="[Table1_3].[Sales Person]" caption="Sales Person" attribute="1" defaultMemberUniqueName="[Table1_3].[Sales Person].[All]" allUniqueName="[Table1_3].[Sales Person].[All]" dimensionUniqueName="[Table1_3]" displayFolder="" count="0" memberValueDatatype="130" unbalanced="0"/>
    <cacheHierarchy uniqueName="[Table1_3].[Country]" caption="Country" attribute="1" defaultMemberUniqueName="[Table1_3].[Country].[All]" allUniqueName="[Table1_3].[Country].[All]" dimensionUniqueName="[Table1_3]" displayFolder="" count="2" memberValueDatatype="130" unbalanced="0">
      <fieldsUsage count="2">
        <fieldUsage x="-1"/>
        <fieldUsage x="0"/>
      </fieldsUsage>
    </cacheHierarchy>
    <cacheHierarchy uniqueName="[Table1_3].[Product]" caption="Product" attribute="1" defaultMemberUniqueName="[Table1_3].[Product].[All]" allUniqueName="[Table1_3].[Product].[All]" dimensionUniqueName="[Table1_3]" displayFolder="" count="0" memberValueDatatype="130" unbalanced="0"/>
    <cacheHierarchy uniqueName="[Table1_3].[Amount]" caption="Amount" attribute="1" defaultMemberUniqueName="[Table1_3].[Amount].[All]" allUniqueName="[Table1_3].[Amount].[All]" dimensionUniqueName="[Table1_3]" displayFolder="" count="0" memberValueDatatype="5" unbalanced="0"/>
    <cacheHierarchy uniqueName="[Table1_3].[Boxes Shipped]" caption="Boxes Shipped" attribute="1" defaultMemberUniqueName="[Table1_3].[Boxes Shipped].[All]" allUniqueName="[Table1_3].[Boxes Shipped].[All]" dimensionUniqueName="[Table1_3]" displayFolder="" count="0" memberValueDatatype="20" unbalanced="0"/>
    <cacheHierarchy uniqueName="[Table1_3].[Date]" caption="Date" attribute="1" time="1" defaultMemberUniqueName="[Table1_3].[Date].[All]" allUniqueName="[Table1_3].[Date].[All]" dimensionUniqueName="[Table1_3]" displayFolder="" count="0" memberValueDatatype="7" unbalanced="0"/>
    <cacheHierarchy uniqueName="[Table1_3].[Type (C&amp;D)]" caption="Type (C&amp;D)" attribute="1" defaultMemberUniqueName="[Table1_3].[Type (C&amp;D)].[All]" allUniqueName="[Table1_3].[Type (C&amp;D)].[All]" dimensionUniqueName="[Table1_3]" displayFolder="" count="0" memberValueDatatype="130" unbalanced="0"/>
    <cacheHierarchy uniqueName="[Table1_3].[Date (Year)]" caption="Date (Year)" attribute="1" defaultMemberUniqueName="[Table1_3].[Date (Year)].[All]" allUniqueName="[Table1_3].[Date (Year)].[All]" dimensionUniqueName="[Table1_3]" displayFolder="" count="0" memberValueDatatype="130" unbalanced="0"/>
    <cacheHierarchy uniqueName="[Table1_3].[Date (Month)]" caption="Date (Month)" attribute="1" defaultMemberUniqueName="[Table1_3].[Date (Month)].[All]" allUniqueName="[Table1_3].[Date (Month)].[All]" dimensionUniqueName="[Table1_3]" displayFolder="" count="0" memberValueDatatype="130" unbalanced="0"/>
    <cacheHierarchy uniqueName="[Table1_3].[Date (Month Index)]" caption="Date (Month Index)" attribute="1" defaultMemberUniqueName="[Table1_3].[Date (Month Index)].[All]" allUniqueName="[Table1_3].[Date (Month Index)].[All]" dimensionUniqueName="[Table1_3]" displayFolder="" count="0" memberValueDatatype="20" unbalanced="0" hidden="1"/>
    <cacheHierarchy uniqueName="[Measures].[__XL_Count Table1_3]" caption="__XL_Count Table1_3" measure="1" displayFolder="" measureGroup="Table1_3" count="0" hidden="1"/>
    <cacheHierarchy uniqueName="[Measures].[__No measures defined]" caption="__No measures defined" measure="1" displayFolder="" count="0" hidden="1"/>
    <cacheHierarchy uniqueName="[Measures].[Sum of Amount]" caption="Sum of Amount" measure="1" displayFolder="" measureGroup="Table1_3" count="0" hidden="1">
      <extLst>
        <ext xmlns:x15="http://schemas.microsoft.com/office/spreadsheetml/2010/11/main" uri="{B97F6D7D-B522-45F9-BDA1-12C45D357490}">
          <x15:cacheHierarchy aggregatedColumn="3"/>
        </ext>
      </extLst>
    </cacheHierarchy>
    <cacheHierarchy uniqueName="[Measures].[Count of Product]" caption="Count of Product" measure="1" displayFolder="" measureGroup="Table1_3" count="0" hidden="1">
      <extLst>
        <ext xmlns:x15="http://schemas.microsoft.com/office/spreadsheetml/2010/11/main" uri="{B97F6D7D-B522-45F9-BDA1-12C45D357490}">
          <x15:cacheHierarchy aggregatedColumn="2"/>
        </ext>
      </extLst>
    </cacheHierarchy>
    <cacheHierarchy uniqueName="[Measures].[Count of Amount]" caption="Count of Amount" measure="1" displayFolder="" measureGroup="Table1_3" count="0" hidden="1">
      <extLst>
        <ext xmlns:x15="http://schemas.microsoft.com/office/spreadsheetml/2010/11/main" uri="{B97F6D7D-B522-45F9-BDA1-12C45D357490}">
          <x15:cacheHierarchy aggregatedColumn="3"/>
        </ext>
      </extLst>
    </cacheHierarchy>
    <cacheHierarchy uniqueName="[Measures].[Count of Type (C&amp;D)]" caption="Count of Type (C&amp;D)" measure="1" displayFolder="" measureGroup="Table1_3"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Table1_3" count="0" hidden="1">
      <extLst>
        <ext xmlns:x15="http://schemas.microsoft.com/office/spreadsheetml/2010/11/main" uri="{B97F6D7D-B522-45F9-BDA1-12C45D357490}">
          <x15:cacheHierarchy aggregatedColumn="1"/>
        </ext>
      </extLst>
    </cacheHierarchy>
    <cacheHierarchy uniqueName="[Measures].[Count of Sales Person]" caption="Count of Sales Person" measure="1" displayFolder="" measureGroup="Table1_3" count="0" hidden="1">
      <extLst>
        <ext xmlns:x15="http://schemas.microsoft.com/office/spreadsheetml/2010/11/main" uri="{B97F6D7D-B522-45F9-BDA1-12C45D357490}">
          <x15:cacheHierarchy aggregatedColumn="0"/>
        </ext>
      </extLst>
    </cacheHierarchy>
    <cacheHierarchy uniqueName="[Measures].[Distinct Count of Product]" caption="Distinct Count of Product" measure="1" displayFolder="" measureGroup="Table1_3" count="0" hidden="1">
      <extLst>
        <ext xmlns:x15="http://schemas.microsoft.com/office/spreadsheetml/2010/11/main" uri="{B97F6D7D-B522-45F9-BDA1-12C45D357490}">
          <x15:cacheHierarchy aggregatedColumn="2"/>
        </ext>
      </extLst>
    </cacheHierarchy>
    <cacheHierarchy uniqueName="[Measures].[Distinct Count of Country]" caption="Distinct Count of Country" measure="1" displayFolder="" measureGroup="Table1_3" count="0" oneField="1" hidden="1">
      <fieldsUsage count="1">
        <fieldUsage x="1"/>
      </fieldsUsage>
      <extLst>
        <ext xmlns:x15="http://schemas.microsoft.com/office/spreadsheetml/2010/11/main" uri="{B97F6D7D-B522-45F9-BDA1-12C45D357490}">
          <x15:cacheHierarchy aggregatedColumn="1"/>
        </ext>
      </extLst>
    </cacheHierarchy>
    <cacheHierarchy uniqueName="[Measures].[Distinct Count of Sales Person]" caption="Distinct Count of Sales Person" measure="1" displayFolder="" measureGroup="Table1_3" count="0" hidden="1">
      <extLst>
        <ext xmlns:x15="http://schemas.microsoft.com/office/spreadsheetml/2010/11/main" uri="{B97F6D7D-B522-45F9-BDA1-12C45D357490}">
          <x15:cacheHierarchy aggregatedColumn="0"/>
        </ext>
      </extLst>
    </cacheHierarchy>
    <cacheHierarchy uniqueName="[Measures].[Sum of Boxes Shipped]" caption="Sum of Boxes Shipped" measure="1" displayFolder="" measureGroup="Table1_3"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3" uniqueName="[Table1_3]" caption="Table1_3"/>
  </dimensions>
  <measureGroups count="1">
    <measureGroup name="Table1_3" caption="Table1_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16.657609722221" backgroundQuery="1" createdVersion="7" refreshedVersion="7" minRefreshableVersion="3" recordCount="0" supportSubquery="1" supportAdvancedDrill="1" xr:uid="{1BF5F2D1-D82C-4BE3-84A4-F1F7EF18CF72}">
  <cacheSource type="external" connectionId="3"/>
  <cacheFields count="2">
    <cacheField name="[Table1_3].[Sales Person].[Sales Person]" caption="Sales Person" numFmtId="0" level="1">
      <sharedItems count="25">
        <s v="Andria Kimpton"/>
        <s v="Barr Faughny"/>
        <s v="Beverie Moffet"/>
        <s v="Brien Boise"/>
        <s v="Camilla Castle"/>
        <s v="Ches Bonnell"/>
        <s v="Curtice Advani"/>
        <s v="Dennison Crosswaite"/>
        <s v="Dotty Strutley"/>
        <s v="Gigi Bohling"/>
        <s v="Gunar Cockshoot"/>
        <s v="Husein Augar"/>
        <s v="Jan Morforth"/>
        <s v="Jehu Rudeforth"/>
        <s v="Kaine Padly"/>
        <s v="Karlen McCaffrey"/>
        <s v="Kelci Walkden"/>
        <s v="Madelene Upcott"/>
        <s v="Mallorie Waber"/>
        <s v="Marney O'Breen"/>
        <s v="Oby Sorrel"/>
        <s v="Rafaelita Blaksland"/>
        <s v="Roddy Speechley"/>
        <s v="Van Tuxwell"/>
        <s v="Wilone O'Kielt"/>
      </sharedItems>
    </cacheField>
    <cacheField name="[Measures].[Distinct Count of Sales Person]" caption="Distinct Count of Sales Person" numFmtId="0" hierarchy="20" level="32767"/>
  </cacheFields>
  <cacheHierarchies count="22">
    <cacheHierarchy uniqueName="[Table1_3].[Sales Person]" caption="Sales Person" attribute="1" defaultMemberUniqueName="[Table1_3].[Sales Person].[All]" allUniqueName="[Table1_3].[Sales Person].[All]" dimensionUniqueName="[Table1_3]" displayFolder="" count="2" memberValueDatatype="130" unbalanced="0">
      <fieldsUsage count="2">
        <fieldUsage x="-1"/>
        <fieldUsage x="0"/>
      </fieldsUsage>
    </cacheHierarchy>
    <cacheHierarchy uniqueName="[Table1_3].[Country]" caption="Country" attribute="1" defaultMemberUniqueName="[Table1_3].[Country].[All]" allUniqueName="[Table1_3].[Country].[All]" dimensionUniqueName="[Table1_3]" displayFolder="" count="0" memberValueDatatype="130" unbalanced="0"/>
    <cacheHierarchy uniqueName="[Table1_3].[Product]" caption="Product" attribute="1" defaultMemberUniqueName="[Table1_3].[Product].[All]" allUniqueName="[Table1_3].[Product].[All]" dimensionUniqueName="[Table1_3]" displayFolder="" count="0" memberValueDatatype="130" unbalanced="0"/>
    <cacheHierarchy uniqueName="[Table1_3].[Amount]" caption="Amount" attribute="1" defaultMemberUniqueName="[Table1_3].[Amount].[All]" allUniqueName="[Table1_3].[Amount].[All]" dimensionUniqueName="[Table1_3]" displayFolder="" count="0" memberValueDatatype="5" unbalanced="0"/>
    <cacheHierarchy uniqueName="[Table1_3].[Boxes Shipped]" caption="Boxes Shipped" attribute="1" defaultMemberUniqueName="[Table1_3].[Boxes Shipped].[All]" allUniqueName="[Table1_3].[Boxes Shipped].[All]" dimensionUniqueName="[Table1_3]" displayFolder="" count="0" memberValueDatatype="20" unbalanced="0"/>
    <cacheHierarchy uniqueName="[Table1_3].[Date]" caption="Date" attribute="1" time="1" defaultMemberUniqueName="[Table1_3].[Date].[All]" allUniqueName="[Table1_3].[Date].[All]" dimensionUniqueName="[Table1_3]" displayFolder="" count="0" memberValueDatatype="7" unbalanced="0"/>
    <cacheHierarchy uniqueName="[Table1_3].[Type (C&amp;D)]" caption="Type (C&amp;D)" attribute="1" defaultMemberUniqueName="[Table1_3].[Type (C&amp;D)].[All]" allUniqueName="[Table1_3].[Type (C&amp;D)].[All]" dimensionUniqueName="[Table1_3]" displayFolder="" count="0" memberValueDatatype="130" unbalanced="0"/>
    <cacheHierarchy uniqueName="[Table1_3].[Date (Year)]" caption="Date (Year)" attribute="1" defaultMemberUniqueName="[Table1_3].[Date (Year)].[All]" allUniqueName="[Table1_3].[Date (Year)].[All]" dimensionUniqueName="[Table1_3]" displayFolder="" count="0" memberValueDatatype="130" unbalanced="0"/>
    <cacheHierarchy uniqueName="[Table1_3].[Date (Month)]" caption="Date (Month)" attribute="1" defaultMemberUniqueName="[Table1_3].[Date (Month)].[All]" allUniqueName="[Table1_3].[Date (Month)].[All]" dimensionUniqueName="[Table1_3]" displayFolder="" count="0" memberValueDatatype="130" unbalanced="0"/>
    <cacheHierarchy uniqueName="[Table1_3].[Date (Month Index)]" caption="Date (Month Index)" attribute="1" defaultMemberUniqueName="[Table1_3].[Date (Month Index)].[All]" allUniqueName="[Table1_3].[Date (Month Index)].[All]" dimensionUniqueName="[Table1_3]" displayFolder="" count="0" memberValueDatatype="20" unbalanced="0" hidden="1"/>
    <cacheHierarchy uniqueName="[Measures].[__XL_Count Table1_3]" caption="__XL_Count Table1_3" measure="1" displayFolder="" measureGroup="Table1_3" count="0" hidden="1"/>
    <cacheHierarchy uniqueName="[Measures].[__No measures defined]" caption="__No measures defined" measure="1" displayFolder="" count="0" hidden="1"/>
    <cacheHierarchy uniqueName="[Measures].[Sum of Amount]" caption="Sum of Amount" measure="1" displayFolder="" measureGroup="Table1_3" count="0" hidden="1">
      <extLst>
        <ext xmlns:x15="http://schemas.microsoft.com/office/spreadsheetml/2010/11/main" uri="{B97F6D7D-B522-45F9-BDA1-12C45D357490}">
          <x15:cacheHierarchy aggregatedColumn="3"/>
        </ext>
      </extLst>
    </cacheHierarchy>
    <cacheHierarchy uniqueName="[Measures].[Count of Product]" caption="Count of Product" measure="1" displayFolder="" measureGroup="Table1_3" count="0" hidden="1">
      <extLst>
        <ext xmlns:x15="http://schemas.microsoft.com/office/spreadsheetml/2010/11/main" uri="{B97F6D7D-B522-45F9-BDA1-12C45D357490}">
          <x15:cacheHierarchy aggregatedColumn="2"/>
        </ext>
      </extLst>
    </cacheHierarchy>
    <cacheHierarchy uniqueName="[Measures].[Count of Amount]" caption="Count of Amount" measure="1" displayFolder="" measureGroup="Table1_3" count="0" hidden="1">
      <extLst>
        <ext xmlns:x15="http://schemas.microsoft.com/office/spreadsheetml/2010/11/main" uri="{B97F6D7D-B522-45F9-BDA1-12C45D357490}">
          <x15:cacheHierarchy aggregatedColumn="3"/>
        </ext>
      </extLst>
    </cacheHierarchy>
    <cacheHierarchy uniqueName="[Measures].[Count of Type (C&amp;D)]" caption="Count of Type (C&amp;D)" measure="1" displayFolder="" measureGroup="Table1_3"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Table1_3" count="0" hidden="1">
      <extLst>
        <ext xmlns:x15="http://schemas.microsoft.com/office/spreadsheetml/2010/11/main" uri="{B97F6D7D-B522-45F9-BDA1-12C45D357490}">
          <x15:cacheHierarchy aggregatedColumn="1"/>
        </ext>
      </extLst>
    </cacheHierarchy>
    <cacheHierarchy uniqueName="[Measures].[Count of Sales Person]" caption="Count of Sales Person" measure="1" displayFolder="" measureGroup="Table1_3" count="0" hidden="1">
      <extLst>
        <ext xmlns:x15="http://schemas.microsoft.com/office/spreadsheetml/2010/11/main" uri="{B97F6D7D-B522-45F9-BDA1-12C45D357490}">
          <x15:cacheHierarchy aggregatedColumn="0"/>
        </ext>
      </extLst>
    </cacheHierarchy>
    <cacheHierarchy uniqueName="[Measures].[Distinct Count of Product]" caption="Distinct Count of Product" measure="1" displayFolder="" measureGroup="Table1_3" count="0" hidden="1">
      <extLst>
        <ext xmlns:x15="http://schemas.microsoft.com/office/spreadsheetml/2010/11/main" uri="{B97F6D7D-B522-45F9-BDA1-12C45D357490}">
          <x15:cacheHierarchy aggregatedColumn="2"/>
        </ext>
      </extLst>
    </cacheHierarchy>
    <cacheHierarchy uniqueName="[Measures].[Distinct Count of Country]" caption="Distinct Count of Country" measure="1" displayFolder="" measureGroup="Table1_3" count="0" hidden="1">
      <extLst>
        <ext xmlns:x15="http://schemas.microsoft.com/office/spreadsheetml/2010/11/main" uri="{B97F6D7D-B522-45F9-BDA1-12C45D357490}">
          <x15:cacheHierarchy aggregatedColumn="1"/>
        </ext>
      </extLst>
    </cacheHierarchy>
    <cacheHierarchy uniqueName="[Measures].[Distinct Count of Sales Person]" caption="Distinct Count of Sales Person" measure="1" displayFolder="" measureGroup="Table1_3"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Boxes Shipped]" caption="Sum of Boxes Shipped" measure="1" displayFolder="" measureGroup="Table1_3"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3" uniqueName="[Table1_3]" caption="Table1_3"/>
  </dimensions>
  <measureGroups count="1">
    <measureGroup name="Table1_3" caption="Table1_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16.657609953705" createdVersion="7" refreshedVersion="7" minRefreshableVersion="3" recordCount="3282" xr:uid="{00000000-000A-0000-FFFF-FFFF46000000}">
  <cacheSource type="worksheet">
    <worksheetSource name="Table1_3"/>
  </cacheSource>
  <cacheFields count="7">
    <cacheField name="Sales Person" numFmtId="0">
      <sharedItems count="25">
        <s v="Andria Kimpton"/>
        <s v="Barr Faughny"/>
        <s v="Beverie Moffet"/>
        <s v="Brien Boise"/>
        <s v="Camilla Castle"/>
        <s v="Ches Bonnell"/>
        <s v="Curtice Advani"/>
        <s v="Dennison Crosswaite"/>
        <s v="Dotty Strutley"/>
        <s v="Gigi Bohling"/>
        <s v="Gunar Cockshoot"/>
        <s v="Husein Augar"/>
        <s v="Jan Morforth"/>
        <s v="Jehu Rudeforth"/>
        <s v="Kaine Padly"/>
        <s v="Karlen McCaffrey"/>
        <s v="Kelci Walkden"/>
        <s v="Madelene Upcott"/>
        <s v="Mallorie Waber"/>
        <s v="Marney O'Breen"/>
        <s v="Oby Sorrel"/>
        <s v="Rafaelita Blaksland"/>
        <s v="Roddy Speechley"/>
        <s v="Van Tuxwell"/>
        <s v="Wilone O'Kielt"/>
      </sharedItems>
    </cacheField>
    <cacheField name="Country" numFmtId="0">
      <sharedItems count="6">
        <s v="Australia"/>
        <s v="Canada"/>
        <s v="India"/>
        <s v="New Zealand"/>
        <s v="UK"/>
        <s v="USA"/>
      </sharedItems>
    </cacheField>
    <cacheField name="Product" numFmtId="0">
      <sharedItems count="22">
        <s v="50% Dark Bites"/>
        <s v="85% Dark Bars"/>
        <s v="Almond Choco"/>
        <s v="Baker's Choco Chips"/>
        <s v="Drinking Coco"/>
        <s v="Manuka Honey Choco"/>
        <s v="Peanut Butter Cubes"/>
        <s v="70% Dark Bites"/>
        <s v="After Nines"/>
        <s v="Caramel Stuffed Bars"/>
        <s v="Eclairs"/>
        <s v="Organic Choco Syrup"/>
        <s v="Smooth Sliky Salty"/>
        <s v="White Choc"/>
        <s v="Orange Choco"/>
        <s v="Spicy Special Slims"/>
        <s v="Mint Chip Choco"/>
        <s v="99% Dark &amp; Pure"/>
        <s v="Milk Bars"/>
        <s v="Fruit &amp; Nut Bars"/>
        <s v="Raspberry Choco"/>
        <s v="Choco Coated Almonds"/>
      </sharedItems>
    </cacheField>
    <cacheField name="Amount" numFmtId="0">
      <sharedItems containsSemiMixedTypes="0" containsString="0" containsNumber="1" minValue="7" maxValue="26170.95"/>
    </cacheField>
    <cacheField name="Boxes Shipped" numFmtId="0">
      <sharedItems containsSemiMixedTypes="0" containsString="0" containsNumber="1" containsInteger="1" minValue="0" maxValue="778"/>
    </cacheField>
    <cacheField name="Date" numFmtId="14">
      <sharedItems containsSemiMixedTypes="0" containsNonDate="0" containsDate="1" containsString="0" minDate="2022-01-03T00:00:00" maxDate="2024-09-01T00:00:00" count="504">
        <d v="2022-06-02T00:00:00"/>
        <d v="2023-06-02T00:00:00"/>
        <d v="2024-06-02T00:00:00"/>
        <d v="2022-08-23T00:00:00"/>
        <d v="2023-08-23T00:00:00"/>
        <d v="2024-08-23T00:00:00"/>
        <d v="2022-04-25T00:00:00"/>
        <d v="2023-04-25T00:00:00"/>
        <d v="2024-04-25T00:00:00"/>
        <d v="2022-08-09T00:00:00"/>
        <d v="2023-08-09T00:00:00"/>
        <d v="2024-08-09T00:00:00"/>
        <d v="2022-06-28T00:00:00"/>
        <d v="2023-06-28T00:00:00"/>
        <d v="2024-06-28T00:00:00"/>
        <d v="2022-03-30T00:00:00"/>
        <d v="2023-03-30T00:00:00"/>
        <d v="2024-03-30T00:00:00"/>
        <d v="2022-04-20T00:00:00"/>
        <d v="2023-04-20T00:00:00"/>
        <d v="2024-04-20T00:00:00"/>
        <d v="2022-04-08T00:00:00"/>
        <d v="2023-04-08T00:00:00"/>
        <d v="2024-04-08T00:00:00"/>
        <d v="2022-05-11T00:00:00"/>
        <d v="2023-05-11T00:00:00"/>
        <d v="2024-05-11T00:00:00"/>
        <d v="2022-01-03T00:00:00"/>
        <d v="2023-01-03T00:00:00"/>
        <d v="2024-01-03T00:00:00"/>
        <d v="2022-08-11T00:00:00"/>
        <d v="2023-08-11T00:00:00"/>
        <d v="2024-08-11T00:00:00"/>
        <d v="2022-07-21T00:00:00"/>
        <d v="2023-07-21T00:00:00"/>
        <d v="2024-07-21T00:00:00"/>
        <d v="2022-01-04T00:00:00"/>
        <d v="2023-01-04T00:00:00"/>
        <d v="2024-01-04T00:00:00"/>
        <d v="2022-02-16T00:00:00"/>
        <d v="2023-02-16T00:00:00"/>
        <d v="2024-02-16T00:00:00"/>
        <d v="2022-07-08T00:00:00"/>
        <d v="2023-07-08T00:00:00"/>
        <d v="2024-07-08T00:00:00"/>
        <d v="2022-02-14T00:00:00"/>
        <d v="2023-02-14T00:00:00"/>
        <d v="2024-02-14T00:00:00"/>
        <d v="2022-01-31T00:00:00"/>
        <d v="2023-01-31T00:00:00"/>
        <d v="2024-01-31T00:00:00"/>
        <d v="2022-01-17T00:00:00"/>
        <d v="2023-01-17T00:00:00"/>
        <d v="2024-01-17T00:00:00"/>
        <d v="2022-05-16T00:00:00"/>
        <d v="2023-05-16T00:00:00"/>
        <d v="2024-05-16T00:00:00"/>
        <d v="2022-05-30T00:00:00"/>
        <d v="2023-05-30T00:00:00"/>
        <d v="2024-05-30T00:00:00"/>
        <d v="2022-01-18T00:00:00"/>
        <d v="2023-01-18T00:00:00"/>
        <d v="2024-01-18T00:00:00"/>
        <d v="2022-02-23T00:00:00"/>
        <d v="2023-02-23T00:00:00"/>
        <d v="2024-02-23T00:00:00"/>
        <d v="2022-03-02T00:00:00"/>
        <d v="2023-03-02T00:00:00"/>
        <d v="2024-03-02T00:00:00"/>
        <d v="2022-04-05T00:00:00"/>
        <d v="2023-04-05T00:00:00"/>
        <d v="2024-04-05T00:00:00"/>
        <d v="2022-02-15T00:00:00"/>
        <d v="2023-02-15T00:00:00"/>
        <d v="2024-02-15T00:00:00"/>
        <d v="2022-06-14T00:00:00"/>
        <d v="2023-06-14T00:00:00"/>
        <d v="2024-06-14T00:00:00"/>
        <d v="2022-03-04T00:00:00"/>
        <d v="2023-03-04T00:00:00"/>
        <d v="2024-03-04T00:00:00"/>
        <d v="2022-06-20T00:00:00"/>
        <d v="2023-06-20T00:00:00"/>
        <d v="2024-06-20T00:00:00"/>
        <d v="2022-08-24T00:00:00"/>
        <d v="2023-08-24T00:00:00"/>
        <d v="2024-08-24T00:00:00"/>
        <d v="2022-07-25T00:00:00"/>
        <d v="2023-07-25T00:00:00"/>
        <d v="2024-07-25T00:00:00"/>
        <d v="2022-06-07T00:00:00"/>
        <d v="2023-06-07T00:00:00"/>
        <d v="2024-06-07T00:00:00"/>
        <d v="2022-05-23T00:00:00"/>
        <d v="2023-05-23T00:00:00"/>
        <d v="2024-05-23T00:00:00"/>
        <d v="2022-02-11T00:00:00"/>
        <d v="2023-02-11T00:00:00"/>
        <d v="2024-02-11T00:00:00"/>
        <d v="2022-05-12T00:00:00"/>
        <d v="2023-05-12T00:00:00"/>
        <d v="2024-05-12T00:00:00"/>
        <d v="2022-05-02T00:00:00"/>
        <d v="2023-05-02T00:00:00"/>
        <d v="2024-05-02T00:00:00"/>
        <d v="2022-07-15T00:00:00"/>
        <d v="2023-07-15T00:00:00"/>
        <d v="2024-07-15T00:00:00"/>
        <d v="2022-06-30T00:00:00"/>
        <d v="2023-06-30T00:00:00"/>
        <d v="2024-06-30T00:00:00"/>
        <d v="2022-02-10T00:00:00"/>
        <d v="2023-02-10T00:00:00"/>
        <d v="2024-02-10T00:00:00"/>
        <d v="2022-07-29T00:00:00"/>
        <d v="2023-07-29T00:00:00"/>
        <d v="2024-07-29T00:00:00"/>
        <d v="2022-01-07T00:00:00"/>
        <d v="2023-01-07T00:00:00"/>
        <d v="2024-01-07T00:00:00"/>
        <d v="2022-05-27T00:00:00"/>
        <d v="2023-05-27T00:00:00"/>
        <d v="2024-05-27T00:00:00"/>
        <d v="2022-07-04T00:00:00"/>
        <d v="2023-07-04T00:00:00"/>
        <d v="2024-07-04T00:00:00"/>
        <d v="2022-07-19T00:00:00"/>
        <d v="2023-07-19T00:00:00"/>
        <d v="2024-07-19T00:00:00"/>
        <d v="2022-02-03T00:00:00"/>
        <d v="2023-02-03T00:00:00"/>
        <d v="2024-02-03T00:00:00"/>
        <d v="2022-04-18T00:00:00"/>
        <d v="2023-04-18T00:00:00"/>
        <d v="2024-04-18T00:00:00"/>
        <d v="2022-08-25T00:00:00"/>
        <d v="2023-08-25T00:00:00"/>
        <d v="2024-08-25T00:00:00"/>
        <d v="2022-03-10T00:00:00"/>
        <d v="2023-03-10T00:00:00"/>
        <d v="2024-03-10T00:00:00"/>
        <d v="2022-03-29T00:00:00"/>
        <d v="2023-03-29T00:00:00"/>
        <d v="2024-03-29T00:00:00"/>
        <d v="2022-08-18T00:00:00"/>
        <d v="2023-08-18T00:00:00"/>
        <d v="2024-08-18T00:00:00"/>
        <d v="2022-01-28T00:00:00"/>
        <d v="2023-01-28T00:00:00"/>
        <d v="2024-01-28T00:00:00"/>
        <d v="2022-01-12T00:00:00"/>
        <d v="2023-01-12T00:00:00"/>
        <d v="2024-01-12T00:00:00"/>
        <d v="2022-06-23T00:00:00"/>
        <d v="2023-06-23T00:00:00"/>
        <d v="2024-06-23T00:00:00"/>
        <d v="2022-05-24T00:00:00"/>
        <d v="2023-05-24T00:00:00"/>
        <d v="2024-05-24T00:00:00"/>
        <d v="2022-04-19T00:00:00"/>
        <d v="2023-04-19T00:00:00"/>
        <d v="2024-04-19T00:00:00"/>
        <d v="2022-01-13T00:00:00"/>
        <d v="2023-01-13T00:00:00"/>
        <d v="2024-01-13T00:00:00"/>
        <d v="2022-03-28T00:00:00"/>
        <d v="2023-03-28T00:00:00"/>
        <d v="2024-03-28T00:00:00"/>
        <d v="2022-04-26T00:00:00"/>
        <d v="2023-04-26T00:00:00"/>
        <d v="2024-04-26T00:00:00"/>
        <d v="2022-02-24T00:00:00"/>
        <d v="2023-02-24T00:00:00"/>
        <d v="2024-02-24T00:00:00"/>
        <d v="2022-02-21T00:00:00"/>
        <d v="2023-02-21T00:00:00"/>
        <d v="2024-02-21T00:00:00"/>
        <d v="2022-01-25T00:00:00"/>
        <d v="2023-01-25T00:00:00"/>
        <d v="2024-01-25T00:00:00"/>
        <d v="2022-07-07T00:00:00"/>
        <d v="2023-07-07T00:00:00"/>
        <d v="2024-07-07T00:00:00"/>
        <d v="2022-08-22T00:00:00"/>
        <d v="2023-08-22T00:00:00"/>
        <d v="2024-08-22T00:00:00"/>
        <d v="2022-07-05T00:00:00"/>
        <d v="2023-07-05T00:00:00"/>
        <d v="2024-07-05T00:00:00"/>
        <d v="2022-04-14T00:00:00"/>
        <d v="2023-04-14T00:00:00"/>
        <d v="2024-04-14T00:00:00"/>
        <d v="2022-04-12T00:00:00"/>
        <d v="2023-04-12T00:00:00"/>
        <d v="2024-04-12T00:00:00"/>
        <d v="2022-05-05T00:00:00"/>
        <d v="2023-05-05T00:00:00"/>
        <d v="2024-05-05T00:00:00"/>
        <d v="2022-08-04T00:00:00"/>
        <d v="2023-08-04T00:00:00"/>
        <d v="2024-08-04T00:00:00"/>
        <d v="2022-04-22T00:00:00"/>
        <d v="2023-04-22T00:00:00"/>
        <d v="2024-04-22T00:00:00"/>
        <d v="2022-05-25T00:00:00"/>
        <d v="2023-05-25T00:00:00"/>
        <d v="2024-05-25T00:00:00"/>
        <d v="2022-01-26T00:00:00"/>
        <d v="2023-01-26T00:00:00"/>
        <d v="2024-01-26T00:00:00"/>
        <d v="2022-06-27T00:00:00"/>
        <d v="2023-06-27T00:00:00"/>
        <d v="2024-06-27T00:00:00"/>
        <d v="2022-01-11T00:00:00"/>
        <d v="2023-01-11T00:00:00"/>
        <d v="2024-01-11T00:00:00"/>
        <d v="2022-05-10T00:00:00"/>
        <d v="2023-05-10T00:00:00"/>
        <d v="2024-05-10T00:00:00"/>
        <d v="2022-02-28T00:00:00"/>
        <d v="2023-02-28T00:00:00"/>
        <d v="2024-02-28T00:00:00"/>
        <d v="2022-06-01T00:00:00"/>
        <d v="2023-06-01T00:00:00"/>
        <d v="2024-06-01T00:00:00"/>
        <d v="2022-06-09T00:00:00"/>
        <d v="2023-06-09T00:00:00"/>
        <d v="2024-06-09T00:00:00"/>
        <d v="2022-05-06T00:00:00"/>
        <d v="2023-05-06T00:00:00"/>
        <d v="2024-05-06T00:00:00"/>
        <d v="2022-04-15T00:00:00"/>
        <d v="2023-04-15T00:00:00"/>
        <d v="2024-04-15T00:00:00"/>
        <d v="2022-04-21T00:00:00"/>
        <d v="2023-04-21T00:00:00"/>
        <d v="2024-04-21T00:00:00"/>
        <d v="2022-08-30T00:00:00"/>
        <d v="2023-08-30T00:00:00"/>
        <d v="2024-08-30T00:00:00"/>
        <d v="2022-08-03T00:00:00"/>
        <d v="2023-08-03T00:00:00"/>
        <d v="2024-08-03T00:00:00"/>
        <d v="2022-05-19T00:00:00"/>
        <d v="2023-05-19T00:00:00"/>
        <d v="2024-05-19T00:00:00"/>
        <d v="2022-03-24T00:00:00"/>
        <d v="2023-03-24T00:00:00"/>
        <d v="2024-03-24T00:00:00"/>
        <d v="2022-02-09T00:00:00"/>
        <d v="2023-02-09T00:00:00"/>
        <d v="2024-02-09T00:00:00"/>
        <d v="2022-08-10T00:00:00"/>
        <d v="2023-08-10T00:00:00"/>
        <d v="2024-08-10T00:00:00"/>
        <d v="2022-05-04T00:00:00"/>
        <d v="2023-05-04T00:00:00"/>
        <d v="2024-05-04T00:00:00"/>
        <d v="2022-02-17T00:00:00"/>
        <d v="2023-02-17T00:00:00"/>
        <d v="2024-02-17T00:00:00"/>
        <d v="2022-07-28T00:00:00"/>
        <d v="2023-07-28T00:00:00"/>
        <d v="2024-07-28T00:00:00"/>
        <d v="2022-03-11T00:00:00"/>
        <d v="2023-03-11T00:00:00"/>
        <d v="2024-03-11T00:00:00"/>
        <d v="2022-07-27T00:00:00"/>
        <d v="2023-07-27T00:00:00"/>
        <d v="2024-07-27T00:00:00"/>
        <d v="2022-06-06T00:00:00"/>
        <d v="2023-06-06T00:00:00"/>
        <d v="2024-06-06T00:00:00"/>
        <d v="2022-08-19T00:00:00"/>
        <d v="2023-08-19T00:00:00"/>
        <d v="2024-08-19T00:00:00"/>
        <d v="2022-05-09T00:00:00"/>
        <d v="2023-05-09T00:00:00"/>
        <d v="2024-05-09T00:00:00"/>
        <d v="2022-05-18T00:00:00"/>
        <d v="2023-05-18T00:00:00"/>
        <d v="2024-05-18T00:00:00"/>
        <d v="2022-04-13T00:00:00"/>
        <d v="2023-04-13T00:00:00"/>
        <d v="2024-04-13T00:00:00"/>
        <d v="2022-05-13T00:00:00"/>
        <d v="2023-05-13T00:00:00"/>
        <d v="2024-05-13T00:00:00"/>
        <d v="2022-06-16T00:00:00"/>
        <d v="2023-06-16T00:00:00"/>
        <d v="2024-06-16T00:00:00"/>
        <d v="2022-02-25T00:00:00"/>
        <d v="2023-02-25T00:00:00"/>
        <d v="2024-02-25T00:00:00"/>
        <d v="2022-04-29T00:00:00"/>
        <d v="2023-04-29T00:00:00"/>
        <d v="2024-04-29T00:00:00"/>
        <d v="2022-02-22T00:00:00"/>
        <d v="2023-02-22T00:00:00"/>
        <d v="2024-02-22T00:00:00"/>
        <d v="2022-06-15T00:00:00"/>
        <d v="2023-06-15T00:00:00"/>
        <d v="2024-06-15T00:00:00"/>
        <d v="2022-07-12T00:00:00"/>
        <d v="2023-07-12T00:00:00"/>
        <d v="2024-07-12T00:00:00"/>
        <d v="2022-07-11T00:00:00"/>
        <d v="2023-07-11T00:00:00"/>
        <d v="2024-07-11T00:00:00"/>
        <d v="2022-08-01T00:00:00"/>
        <d v="2023-08-01T00:00:00"/>
        <d v="2024-08-01T00:00:00"/>
        <d v="2022-01-27T00:00:00"/>
        <d v="2023-01-27T00:00:00"/>
        <d v="2024-01-27T00:00:00"/>
        <d v="2022-01-10T00:00:00"/>
        <d v="2023-01-10T00:00:00"/>
        <d v="2024-01-10T00:00:00"/>
        <d v="2022-03-17T00:00:00"/>
        <d v="2023-03-17T00:00:00"/>
        <d v="2024-03-17T00:00:00"/>
        <d v="2022-03-03T00:00:00"/>
        <d v="2023-03-03T00:00:00"/>
        <d v="2024-03-03T00:00:00"/>
        <d v="2022-08-02T00:00:00"/>
        <d v="2023-08-02T00:00:00"/>
        <d v="2024-08-02T00:00:00"/>
        <d v="2022-08-08T00:00:00"/>
        <d v="2023-08-08T00:00:00"/>
        <d v="2024-08-08T00:00:00"/>
        <d v="2022-08-26T00:00:00"/>
        <d v="2023-08-26T00:00:00"/>
        <d v="2024-08-26T00:00:00"/>
        <d v="2022-06-17T00:00:00"/>
        <d v="2023-06-17T00:00:00"/>
        <d v="2024-06-17T00:00:00"/>
        <d v="2022-06-13T00:00:00"/>
        <d v="2023-06-13T00:00:00"/>
        <d v="2024-06-13T00:00:00"/>
        <d v="2022-04-04T00:00:00"/>
        <d v="2023-04-04T00:00:00"/>
        <d v="2024-04-04T00:00:00"/>
        <d v="2022-05-26T00:00:00"/>
        <d v="2023-05-26T00:00:00"/>
        <d v="2024-05-26T00:00:00"/>
        <d v="2022-06-10T00:00:00"/>
        <d v="2023-06-10T00:00:00"/>
        <d v="2024-06-10T00:00:00"/>
        <d v="2022-03-21T00:00:00"/>
        <d v="2023-03-21T00:00:00"/>
        <d v="2024-03-21T00:00:00"/>
        <d v="2022-05-20T00:00:00"/>
        <d v="2023-05-20T00:00:00"/>
        <d v="2024-05-20T00:00:00"/>
        <d v="2022-03-14T00:00:00"/>
        <d v="2023-03-14T00:00:00"/>
        <d v="2024-03-14T00:00:00"/>
        <d v="2022-07-26T00:00:00"/>
        <d v="2023-07-26T00:00:00"/>
        <d v="2024-07-26T00:00:00"/>
        <d v="2022-03-16T00:00:00"/>
        <d v="2023-03-16T00:00:00"/>
        <d v="2024-03-16T00:00:00"/>
        <d v="2022-08-05T00:00:00"/>
        <d v="2023-08-05T00:00:00"/>
        <d v="2024-08-05T00:00:00"/>
        <d v="2022-03-08T00:00:00"/>
        <d v="2023-03-08T00:00:00"/>
        <d v="2024-03-08T00:00:00"/>
        <d v="2022-07-06T00:00:00"/>
        <d v="2023-07-06T00:00:00"/>
        <d v="2024-07-06T00:00:00"/>
        <d v="2022-08-17T00:00:00"/>
        <d v="2023-08-17T00:00:00"/>
        <d v="2024-08-17T00:00:00"/>
        <d v="2022-04-27T00:00:00"/>
        <d v="2023-04-27T00:00:00"/>
        <d v="2024-04-27T00:00:00"/>
        <d v="2022-06-29T00:00:00"/>
        <d v="2023-06-29T00:00:00"/>
        <d v="2024-06-29T00:00:00"/>
        <d v="2022-07-13T00:00:00"/>
        <d v="2023-07-13T00:00:00"/>
        <d v="2024-07-13T00:00:00"/>
        <d v="2022-03-25T00:00:00"/>
        <d v="2023-03-25T00:00:00"/>
        <d v="2024-03-25T00:00:00"/>
        <d v="2022-03-15T00:00:00"/>
        <d v="2023-03-15T00:00:00"/>
        <d v="2024-03-15T00:00:00"/>
        <d v="2022-06-08T00:00:00"/>
        <d v="2023-06-08T00:00:00"/>
        <d v="2024-06-08T00:00:00"/>
        <d v="2022-06-24T00:00:00"/>
        <d v="2023-06-24T00:00:00"/>
        <d v="2024-06-24T00:00:00"/>
        <d v="2022-02-07T00:00:00"/>
        <d v="2023-02-07T00:00:00"/>
        <d v="2024-02-07T00:00:00"/>
        <d v="2022-03-01T00:00:00"/>
        <d v="2023-03-01T00:00:00"/>
        <d v="2024-03-01T00:00:00"/>
        <d v="2022-02-01T00:00:00"/>
        <d v="2023-02-01T00:00:00"/>
        <d v="2024-02-01T00:00:00"/>
        <d v="2022-04-01T00:00:00"/>
        <d v="2023-04-01T00:00:00"/>
        <d v="2024-04-01T00:00:00"/>
        <d v="2022-03-23T00:00:00"/>
        <d v="2023-03-23T00:00:00"/>
        <d v="2024-03-23T00:00:00"/>
        <d v="2022-03-18T00:00:00"/>
        <d v="2023-03-18T00:00:00"/>
        <d v="2024-03-18T00:00:00"/>
        <d v="2022-03-07T00:00:00"/>
        <d v="2023-03-07T00:00:00"/>
        <d v="2024-03-07T00:00:00"/>
        <d v="2022-07-18T00:00:00"/>
        <d v="2023-07-18T00:00:00"/>
        <d v="2024-07-18T00:00:00"/>
        <d v="2022-08-12T00:00:00"/>
        <d v="2023-08-12T00:00:00"/>
        <d v="2024-08-12T00:00:00"/>
        <d v="2022-08-15T00:00:00"/>
        <d v="2023-08-15T00:00:00"/>
        <d v="2024-08-15T00:00:00"/>
        <d v="2022-07-14T00:00:00"/>
        <d v="2023-07-14T00:00:00"/>
        <d v="2024-07-14T00:00:00"/>
        <d v="2022-03-09T00:00:00"/>
        <d v="2023-03-09T00:00:00"/>
        <d v="2024-03-09T00:00:00"/>
        <d v="2022-06-21T00:00:00"/>
        <d v="2023-06-21T00:00:00"/>
        <d v="2024-06-21T00:00:00"/>
        <d v="2022-01-21T00:00:00"/>
        <d v="2023-01-21T00:00:00"/>
        <d v="2024-01-21T00:00:00"/>
        <d v="2022-04-06T00:00:00"/>
        <d v="2023-04-06T00:00:00"/>
        <d v="2024-04-06T00:00:00"/>
        <d v="2022-05-17T00:00:00"/>
        <d v="2023-05-17T00:00:00"/>
        <d v="2024-05-17T00:00:00"/>
        <d v="2022-01-14T00:00:00"/>
        <d v="2023-01-14T00:00:00"/>
        <d v="2024-01-14T00:00:00"/>
        <d v="2022-07-22T00:00:00"/>
        <d v="2023-07-22T00:00:00"/>
        <d v="2024-07-22T00:00:00"/>
        <d v="2022-07-01T00:00:00"/>
        <d v="2023-07-01T00:00:00"/>
        <d v="2024-07-01T00:00:00"/>
        <d v="2022-06-03T00:00:00"/>
        <d v="2023-06-03T00:00:00"/>
        <d v="2024-06-03T00:00:00"/>
        <d v="2022-01-05T00:00:00"/>
        <d v="2023-01-05T00:00:00"/>
        <d v="2024-01-05T00:00:00"/>
        <d v="2022-03-22T00:00:00"/>
        <d v="2023-03-22T00:00:00"/>
        <d v="2024-03-22T00:00:00"/>
        <d v="2022-05-03T00:00:00"/>
        <d v="2023-05-03T00:00:00"/>
        <d v="2024-05-03T00:00:00"/>
        <d v="2022-02-08T00:00:00"/>
        <d v="2023-02-08T00:00:00"/>
        <d v="2024-02-08T00:00:00"/>
        <d v="2022-01-19T00:00:00"/>
        <d v="2023-01-19T00:00:00"/>
        <d v="2024-01-19T00:00:00"/>
        <d v="2022-04-28T00:00:00"/>
        <d v="2023-04-28T00:00:00"/>
        <d v="2024-04-28T00:00:00"/>
        <d v="2022-02-18T00:00:00"/>
        <d v="2023-02-18T00:00:00"/>
        <d v="2024-02-18T00:00:00"/>
        <d v="2022-06-22T00:00:00"/>
        <d v="2023-06-22T00:00:00"/>
        <d v="2024-06-22T00:00:00"/>
        <d v="2022-01-24T00:00:00"/>
        <d v="2023-01-24T00:00:00"/>
        <d v="2024-01-24T00:00:00"/>
        <d v="2022-08-31T00:00:00"/>
        <d v="2023-08-31T00:00:00"/>
        <d v="2024-08-31T00:00:00"/>
        <d v="2022-01-20T00:00:00"/>
        <d v="2023-01-20T00:00:00"/>
        <d v="2024-01-20T00:00:00"/>
        <d v="2022-03-31T00:00:00"/>
        <d v="2023-03-31T00:00:00"/>
        <d v="2024-03-31T00:00:00"/>
        <d v="2022-05-31T00:00:00"/>
        <d v="2023-05-31T00:00:00"/>
        <d v="2024-05-31T00:00:00"/>
        <d v="2022-07-20T00:00:00"/>
        <d v="2023-07-20T00:00:00"/>
        <d v="2024-07-20T00:00:00"/>
        <d v="2022-08-16T00:00:00"/>
        <d v="2023-08-16T00:00:00"/>
        <d v="2024-08-16T00:00:00"/>
        <d v="2022-04-11T00:00:00"/>
        <d v="2023-04-11T00:00:00"/>
        <d v="2024-04-11T00:00:00"/>
      </sharedItems>
      <fieldGroup base="5">
        <rangePr groupBy="years" startDate="2022-01-03T00:00:00" endDate="2024-09-01T00:00:00"/>
        <groupItems count="5">
          <s v="&lt;1/3/2022"/>
          <s v="2022"/>
          <s v="2023"/>
          <s v="2024"/>
          <s v="&gt;9/1/2024"/>
        </groupItems>
      </fieldGroup>
    </cacheField>
    <cacheField name="Type (C&amp;D)" numFmtId="0">
      <sharedItems count="2">
        <s v="Deal"/>
        <s v="Contract"/>
      </sharedItems>
    </cacheField>
  </cacheFields>
  <extLst>
    <ext xmlns:x14="http://schemas.microsoft.com/office/spreadsheetml/2009/9/main" uri="{725AE2AE-9491-48be-B2B4-4EB974FC3084}">
      <x14:pivotCacheDefinition pivotCacheId="10104851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82">
  <r>
    <x v="0"/>
    <x v="0"/>
    <x v="0"/>
    <n v="4438"/>
    <n v="227"/>
    <x v="0"/>
    <x v="0"/>
  </r>
  <r>
    <x v="0"/>
    <x v="0"/>
    <x v="0"/>
    <n v="5091.78"/>
    <n v="219"/>
    <x v="1"/>
    <x v="0"/>
  </r>
  <r>
    <x v="0"/>
    <x v="0"/>
    <x v="0"/>
    <n v="5220.1899999999996"/>
    <n v="216"/>
    <x v="2"/>
    <x v="0"/>
  </r>
  <r>
    <x v="0"/>
    <x v="0"/>
    <x v="1"/>
    <n v="4186"/>
    <n v="233"/>
    <x v="3"/>
    <x v="0"/>
  </r>
  <r>
    <x v="0"/>
    <x v="0"/>
    <x v="1"/>
    <n v="4496.32"/>
    <n v="240"/>
    <x v="4"/>
    <x v="0"/>
  </r>
  <r>
    <x v="0"/>
    <x v="0"/>
    <x v="1"/>
    <n v="4900.32"/>
    <n v="254"/>
    <x v="5"/>
    <x v="0"/>
  </r>
  <r>
    <x v="0"/>
    <x v="0"/>
    <x v="2"/>
    <n v="3192"/>
    <n v="175"/>
    <x v="6"/>
    <x v="0"/>
  </r>
  <r>
    <x v="0"/>
    <x v="0"/>
    <x v="2"/>
    <n v="3430.58"/>
    <n v="174"/>
    <x v="7"/>
    <x v="0"/>
  </r>
  <r>
    <x v="0"/>
    <x v="0"/>
    <x v="2"/>
    <n v="3790.18"/>
    <n v="168"/>
    <x v="8"/>
    <x v="0"/>
  </r>
  <r>
    <x v="0"/>
    <x v="0"/>
    <x v="3"/>
    <n v="329"/>
    <n v="109"/>
    <x v="9"/>
    <x v="0"/>
  </r>
  <r>
    <x v="0"/>
    <x v="0"/>
    <x v="3"/>
    <n v="344.82"/>
    <n v="118"/>
    <x v="10"/>
    <x v="0"/>
  </r>
  <r>
    <x v="0"/>
    <x v="0"/>
    <x v="3"/>
    <n v="350.27"/>
    <n v="117"/>
    <x v="11"/>
    <x v="0"/>
  </r>
  <r>
    <x v="0"/>
    <x v="0"/>
    <x v="4"/>
    <n v="1603"/>
    <n v="48"/>
    <x v="12"/>
    <x v="0"/>
  </r>
  <r>
    <x v="0"/>
    <x v="0"/>
    <x v="4"/>
    <n v="1657.2"/>
    <n v="49"/>
    <x v="13"/>
    <x v="0"/>
  </r>
  <r>
    <x v="0"/>
    <x v="0"/>
    <x v="4"/>
    <n v="1797.26"/>
    <n v="49"/>
    <x v="14"/>
    <x v="0"/>
  </r>
  <r>
    <x v="0"/>
    <x v="0"/>
    <x v="5"/>
    <n v="9744"/>
    <n v="377"/>
    <x v="15"/>
    <x v="0"/>
  </r>
  <r>
    <x v="0"/>
    <x v="0"/>
    <x v="5"/>
    <n v="10883.13"/>
    <n v="394"/>
    <x v="16"/>
    <x v="0"/>
  </r>
  <r>
    <x v="0"/>
    <x v="0"/>
    <x v="5"/>
    <n v="11559.52"/>
    <n v="413"/>
    <x v="17"/>
    <x v="0"/>
  </r>
  <r>
    <x v="0"/>
    <x v="0"/>
    <x v="6"/>
    <n v="6678"/>
    <n v="148"/>
    <x v="18"/>
    <x v="0"/>
  </r>
  <r>
    <x v="0"/>
    <x v="0"/>
    <x v="6"/>
    <n v="7009.01"/>
    <n v="150"/>
    <x v="19"/>
    <x v="0"/>
  </r>
  <r>
    <x v="0"/>
    <x v="0"/>
    <x v="6"/>
    <n v="7661.86"/>
    <n v="144"/>
    <x v="20"/>
    <x v="0"/>
  </r>
  <r>
    <x v="0"/>
    <x v="1"/>
    <x v="7"/>
    <n v="10262"/>
    <n v="15"/>
    <x v="21"/>
    <x v="0"/>
  </r>
  <r>
    <x v="0"/>
    <x v="1"/>
    <x v="7"/>
    <n v="10964.29"/>
    <n v="16"/>
    <x v="22"/>
    <x v="0"/>
  </r>
  <r>
    <x v="0"/>
    <x v="1"/>
    <x v="7"/>
    <n v="12109"/>
    <n v="16"/>
    <x v="23"/>
    <x v="0"/>
  </r>
  <r>
    <x v="0"/>
    <x v="1"/>
    <x v="8"/>
    <n v="2163"/>
    <n v="70"/>
    <x v="24"/>
    <x v="0"/>
  </r>
  <r>
    <x v="0"/>
    <x v="1"/>
    <x v="8"/>
    <n v="2222.3000000000002"/>
    <n v="77"/>
    <x v="25"/>
    <x v="0"/>
  </r>
  <r>
    <x v="0"/>
    <x v="1"/>
    <x v="8"/>
    <n v="2321.9699999999998"/>
    <n v="71"/>
    <x v="26"/>
    <x v="0"/>
  </r>
  <r>
    <x v="0"/>
    <x v="1"/>
    <x v="9"/>
    <n v="7154"/>
    <n v="348"/>
    <x v="27"/>
    <x v="0"/>
  </r>
  <r>
    <x v="0"/>
    <x v="1"/>
    <x v="9"/>
    <n v="7990.91"/>
    <n v="343"/>
    <x v="28"/>
    <x v="0"/>
  </r>
  <r>
    <x v="0"/>
    <x v="1"/>
    <x v="9"/>
    <n v="7560.62"/>
    <n v="336"/>
    <x v="29"/>
    <x v="0"/>
  </r>
  <r>
    <x v="0"/>
    <x v="1"/>
    <x v="10"/>
    <n v="308"/>
    <n v="125"/>
    <x v="30"/>
    <x v="0"/>
  </r>
  <r>
    <x v="0"/>
    <x v="1"/>
    <x v="10"/>
    <n v="339.99"/>
    <n v="124"/>
    <x v="31"/>
    <x v="0"/>
  </r>
  <r>
    <x v="0"/>
    <x v="1"/>
    <x v="10"/>
    <n v="337.37"/>
    <n v="120"/>
    <x v="32"/>
    <x v="0"/>
  </r>
  <r>
    <x v="0"/>
    <x v="1"/>
    <x v="5"/>
    <n v="4858"/>
    <n v="488"/>
    <x v="33"/>
    <x v="0"/>
  </r>
  <r>
    <x v="0"/>
    <x v="1"/>
    <x v="5"/>
    <n v="5031.9399999999996"/>
    <n v="495"/>
    <x v="34"/>
    <x v="0"/>
  </r>
  <r>
    <x v="0"/>
    <x v="1"/>
    <x v="5"/>
    <n v="5538.85"/>
    <n v="492"/>
    <x v="35"/>
    <x v="0"/>
  </r>
  <r>
    <x v="0"/>
    <x v="1"/>
    <x v="11"/>
    <n v="8204"/>
    <n v="204"/>
    <x v="36"/>
    <x v="0"/>
  </r>
  <r>
    <x v="0"/>
    <x v="1"/>
    <x v="11"/>
    <n v="8804.98"/>
    <n v="214"/>
    <x v="37"/>
    <x v="0"/>
  </r>
  <r>
    <x v="0"/>
    <x v="1"/>
    <x v="11"/>
    <n v="9479.6299999999992"/>
    <n v="217"/>
    <x v="38"/>
    <x v="0"/>
  </r>
  <r>
    <x v="0"/>
    <x v="1"/>
    <x v="6"/>
    <n v="1127"/>
    <n v="319"/>
    <x v="39"/>
    <x v="0"/>
  </r>
  <r>
    <x v="0"/>
    <x v="1"/>
    <x v="6"/>
    <n v="1160.54"/>
    <n v="311"/>
    <x v="40"/>
    <x v="0"/>
  </r>
  <r>
    <x v="0"/>
    <x v="1"/>
    <x v="6"/>
    <n v="1348.05"/>
    <n v="332"/>
    <x v="41"/>
    <x v="0"/>
  </r>
  <r>
    <x v="0"/>
    <x v="1"/>
    <x v="12"/>
    <n v="1155"/>
    <n v="79"/>
    <x v="42"/>
    <x v="0"/>
  </r>
  <r>
    <x v="0"/>
    <x v="1"/>
    <x v="12"/>
    <n v="1187.71"/>
    <n v="75"/>
    <x v="43"/>
    <x v="0"/>
  </r>
  <r>
    <x v="0"/>
    <x v="1"/>
    <x v="12"/>
    <n v="1223.79"/>
    <n v="81"/>
    <x v="44"/>
    <x v="0"/>
  </r>
  <r>
    <x v="0"/>
    <x v="1"/>
    <x v="13"/>
    <n v="4067"/>
    <n v="29"/>
    <x v="45"/>
    <x v="0"/>
  </r>
  <r>
    <x v="0"/>
    <x v="1"/>
    <x v="13"/>
    <n v="4435.95"/>
    <n v="31"/>
    <x v="46"/>
    <x v="0"/>
  </r>
  <r>
    <x v="0"/>
    <x v="1"/>
    <x v="13"/>
    <n v="4368.01"/>
    <n v="29"/>
    <x v="47"/>
    <x v="0"/>
  </r>
  <r>
    <x v="0"/>
    <x v="2"/>
    <x v="0"/>
    <n v="13482"/>
    <n v="15"/>
    <x v="48"/>
    <x v="0"/>
  </r>
  <r>
    <x v="0"/>
    <x v="2"/>
    <x v="0"/>
    <n v="13661.89"/>
    <n v="15"/>
    <x v="49"/>
    <x v="0"/>
  </r>
  <r>
    <x v="0"/>
    <x v="2"/>
    <x v="0"/>
    <n v="15789.48"/>
    <n v="16"/>
    <x v="50"/>
    <x v="0"/>
  </r>
  <r>
    <x v="0"/>
    <x v="2"/>
    <x v="8"/>
    <n v="952"/>
    <n v="68"/>
    <x v="51"/>
    <x v="0"/>
  </r>
  <r>
    <x v="0"/>
    <x v="2"/>
    <x v="8"/>
    <n v="960.68"/>
    <n v="71"/>
    <x v="52"/>
    <x v="0"/>
  </r>
  <r>
    <x v="0"/>
    <x v="2"/>
    <x v="8"/>
    <n v="1009.28"/>
    <n v="69"/>
    <x v="53"/>
    <x v="0"/>
  </r>
  <r>
    <x v="0"/>
    <x v="2"/>
    <x v="10"/>
    <n v="2149"/>
    <n v="84"/>
    <x v="54"/>
    <x v="0"/>
  </r>
  <r>
    <x v="0"/>
    <x v="2"/>
    <x v="10"/>
    <n v="2455.09"/>
    <n v="83"/>
    <x v="55"/>
    <x v="0"/>
  </r>
  <r>
    <x v="0"/>
    <x v="2"/>
    <x v="10"/>
    <n v="2413.0500000000002"/>
    <n v="82"/>
    <x v="56"/>
    <x v="0"/>
  </r>
  <r>
    <x v="0"/>
    <x v="2"/>
    <x v="14"/>
    <n v="301"/>
    <n v="421"/>
    <x v="57"/>
    <x v="0"/>
  </r>
  <r>
    <x v="0"/>
    <x v="2"/>
    <x v="14"/>
    <n v="318.19"/>
    <n v="417"/>
    <x v="58"/>
    <x v="0"/>
  </r>
  <r>
    <x v="0"/>
    <x v="2"/>
    <x v="14"/>
    <n v="339.64"/>
    <n v="452"/>
    <x v="59"/>
    <x v="0"/>
  </r>
  <r>
    <x v="0"/>
    <x v="2"/>
    <x v="11"/>
    <n v="3955"/>
    <n v="134"/>
    <x v="60"/>
    <x v="0"/>
  </r>
  <r>
    <x v="0"/>
    <x v="2"/>
    <x v="11"/>
    <n v="3971.78"/>
    <n v="131"/>
    <x v="61"/>
    <x v="0"/>
  </r>
  <r>
    <x v="0"/>
    <x v="2"/>
    <x v="11"/>
    <n v="4552.3"/>
    <n v="132"/>
    <x v="62"/>
    <x v="0"/>
  </r>
  <r>
    <x v="0"/>
    <x v="2"/>
    <x v="15"/>
    <n v="6307"/>
    <n v="142"/>
    <x v="63"/>
    <x v="0"/>
  </r>
  <r>
    <x v="0"/>
    <x v="2"/>
    <x v="15"/>
    <n v="6559.44"/>
    <n v="154"/>
    <x v="64"/>
    <x v="0"/>
  </r>
  <r>
    <x v="0"/>
    <x v="2"/>
    <x v="15"/>
    <n v="6682.34"/>
    <n v="139"/>
    <x v="65"/>
    <x v="0"/>
  </r>
  <r>
    <x v="0"/>
    <x v="3"/>
    <x v="0"/>
    <n v="3374"/>
    <n v="202"/>
    <x v="66"/>
    <x v="0"/>
  </r>
  <r>
    <x v="0"/>
    <x v="3"/>
    <x v="0"/>
    <n v="3750.88"/>
    <n v="208"/>
    <x v="67"/>
    <x v="0"/>
  </r>
  <r>
    <x v="0"/>
    <x v="3"/>
    <x v="0"/>
    <n v="3741.19"/>
    <n v="222"/>
    <x v="68"/>
    <x v="0"/>
  </r>
  <r>
    <x v="0"/>
    <x v="3"/>
    <x v="2"/>
    <n v="6559"/>
    <n v="158"/>
    <x v="69"/>
    <x v="0"/>
  </r>
  <r>
    <x v="0"/>
    <x v="3"/>
    <x v="2"/>
    <n v="7190.49"/>
    <n v="165"/>
    <x v="70"/>
    <x v="0"/>
  </r>
  <r>
    <x v="0"/>
    <x v="3"/>
    <x v="2"/>
    <n v="7037.21"/>
    <n v="172"/>
    <x v="71"/>
    <x v="0"/>
  </r>
  <r>
    <x v="0"/>
    <x v="3"/>
    <x v="16"/>
    <n v="8848"/>
    <n v="211"/>
    <x v="72"/>
    <x v="0"/>
  </r>
  <r>
    <x v="0"/>
    <x v="3"/>
    <x v="16"/>
    <n v="9738.74"/>
    <n v="209"/>
    <x v="73"/>
    <x v="0"/>
  </r>
  <r>
    <x v="0"/>
    <x v="3"/>
    <x v="16"/>
    <n v="10696.21"/>
    <n v="201"/>
    <x v="74"/>
    <x v="0"/>
  </r>
  <r>
    <x v="0"/>
    <x v="3"/>
    <x v="14"/>
    <n v="8169"/>
    <n v="88"/>
    <x v="75"/>
    <x v="0"/>
  </r>
  <r>
    <x v="0"/>
    <x v="3"/>
    <x v="14"/>
    <n v="9295.83"/>
    <n v="93"/>
    <x v="76"/>
    <x v="0"/>
  </r>
  <r>
    <x v="0"/>
    <x v="3"/>
    <x v="14"/>
    <n v="9420.2199999999993"/>
    <n v="94"/>
    <x v="77"/>
    <x v="0"/>
  </r>
  <r>
    <x v="0"/>
    <x v="3"/>
    <x v="11"/>
    <n v="4935"/>
    <n v="39"/>
    <x v="78"/>
    <x v="0"/>
  </r>
  <r>
    <x v="0"/>
    <x v="3"/>
    <x v="11"/>
    <n v="4948.1499999999996"/>
    <n v="39"/>
    <x v="79"/>
    <x v="0"/>
  </r>
  <r>
    <x v="0"/>
    <x v="3"/>
    <x v="11"/>
    <n v="5616.01"/>
    <n v="43"/>
    <x v="80"/>
    <x v="0"/>
  </r>
  <r>
    <x v="0"/>
    <x v="3"/>
    <x v="6"/>
    <n v="959"/>
    <n v="265"/>
    <x v="81"/>
    <x v="0"/>
  </r>
  <r>
    <x v="0"/>
    <x v="3"/>
    <x v="6"/>
    <n v="970.96"/>
    <n v="291"/>
    <x v="82"/>
    <x v="0"/>
  </r>
  <r>
    <x v="0"/>
    <x v="3"/>
    <x v="6"/>
    <n v="1119.94"/>
    <n v="283"/>
    <x v="83"/>
    <x v="0"/>
  </r>
  <r>
    <x v="0"/>
    <x v="4"/>
    <x v="0"/>
    <n v="2653"/>
    <n v="314"/>
    <x v="84"/>
    <x v="0"/>
  </r>
  <r>
    <x v="0"/>
    <x v="4"/>
    <x v="0"/>
    <n v="2854.85"/>
    <n v="337"/>
    <x v="85"/>
    <x v="0"/>
  </r>
  <r>
    <x v="0"/>
    <x v="4"/>
    <x v="0"/>
    <n v="2930.4"/>
    <n v="344"/>
    <x v="86"/>
    <x v="0"/>
  </r>
  <r>
    <x v="0"/>
    <x v="4"/>
    <x v="17"/>
    <n v="1155"/>
    <n v="66"/>
    <x v="87"/>
    <x v="0"/>
  </r>
  <r>
    <x v="0"/>
    <x v="4"/>
    <x v="17"/>
    <n v="1288.0999999999999"/>
    <n v="67"/>
    <x v="88"/>
    <x v="0"/>
  </r>
  <r>
    <x v="0"/>
    <x v="4"/>
    <x v="17"/>
    <n v="1258.54"/>
    <n v="72"/>
    <x v="89"/>
    <x v="0"/>
  </r>
  <r>
    <x v="0"/>
    <x v="4"/>
    <x v="9"/>
    <n v="7924"/>
    <n v="275"/>
    <x v="90"/>
    <x v="0"/>
  </r>
  <r>
    <x v="0"/>
    <x v="4"/>
    <x v="9"/>
    <n v="8234.5"/>
    <n v="294"/>
    <x v="91"/>
    <x v="0"/>
  </r>
  <r>
    <x v="0"/>
    <x v="4"/>
    <x v="9"/>
    <n v="8959.3799999999992"/>
    <n v="271"/>
    <x v="92"/>
    <x v="0"/>
  </r>
  <r>
    <x v="0"/>
    <x v="4"/>
    <x v="4"/>
    <n v="1554"/>
    <n v="65"/>
    <x v="93"/>
    <x v="0"/>
  </r>
  <r>
    <x v="0"/>
    <x v="4"/>
    <x v="4"/>
    <n v="1600.11"/>
    <n v="70"/>
    <x v="94"/>
    <x v="0"/>
  </r>
  <r>
    <x v="0"/>
    <x v="4"/>
    <x v="4"/>
    <n v="1827.45"/>
    <n v="66"/>
    <x v="95"/>
    <x v="0"/>
  </r>
  <r>
    <x v="0"/>
    <x v="4"/>
    <x v="18"/>
    <n v="14336"/>
    <n v="293"/>
    <x v="96"/>
    <x v="0"/>
  </r>
  <r>
    <x v="0"/>
    <x v="4"/>
    <x v="18"/>
    <n v="16486.650000000001"/>
    <n v="314"/>
    <x v="97"/>
    <x v="0"/>
  </r>
  <r>
    <x v="0"/>
    <x v="4"/>
    <x v="18"/>
    <n v="17101.669999999998"/>
    <n v="307"/>
    <x v="98"/>
    <x v="0"/>
  </r>
  <r>
    <x v="0"/>
    <x v="4"/>
    <x v="13"/>
    <n v="9037"/>
    <n v="101"/>
    <x v="99"/>
    <x v="0"/>
  </r>
  <r>
    <x v="0"/>
    <x v="4"/>
    <x v="13"/>
    <n v="9793.16"/>
    <n v="110"/>
    <x v="100"/>
    <x v="0"/>
  </r>
  <r>
    <x v="0"/>
    <x v="4"/>
    <x v="13"/>
    <n v="10203.469999999999"/>
    <n v="109"/>
    <x v="101"/>
    <x v="0"/>
  </r>
  <r>
    <x v="0"/>
    <x v="5"/>
    <x v="1"/>
    <n v="8911"/>
    <n v="82"/>
    <x v="69"/>
    <x v="0"/>
  </r>
  <r>
    <x v="0"/>
    <x v="5"/>
    <x v="1"/>
    <n v="9458.0300000000007"/>
    <n v="87"/>
    <x v="70"/>
    <x v="0"/>
  </r>
  <r>
    <x v="0"/>
    <x v="5"/>
    <x v="1"/>
    <n v="10527.23"/>
    <n v="82"/>
    <x v="71"/>
    <x v="0"/>
  </r>
  <r>
    <x v="0"/>
    <x v="5"/>
    <x v="9"/>
    <n v="8393"/>
    <n v="46"/>
    <x v="102"/>
    <x v="0"/>
  </r>
  <r>
    <x v="0"/>
    <x v="5"/>
    <x v="9"/>
    <n v="8836.9"/>
    <n v="48"/>
    <x v="103"/>
    <x v="0"/>
  </r>
  <r>
    <x v="0"/>
    <x v="5"/>
    <x v="9"/>
    <n v="8878.27"/>
    <n v="47"/>
    <x v="104"/>
    <x v="0"/>
  </r>
  <r>
    <x v="0"/>
    <x v="5"/>
    <x v="19"/>
    <n v="1456"/>
    <n v="359"/>
    <x v="105"/>
    <x v="0"/>
  </r>
  <r>
    <x v="0"/>
    <x v="5"/>
    <x v="19"/>
    <n v="1588.28"/>
    <n v="352"/>
    <x v="106"/>
    <x v="0"/>
  </r>
  <r>
    <x v="0"/>
    <x v="5"/>
    <x v="19"/>
    <n v="1536.82"/>
    <n v="386"/>
    <x v="107"/>
    <x v="0"/>
  </r>
  <r>
    <x v="0"/>
    <x v="5"/>
    <x v="20"/>
    <n v="14504"/>
    <n v="21"/>
    <x v="108"/>
    <x v="0"/>
  </r>
  <r>
    <x v="0"/>
    <x v="5"/>
    <x v="20"/>
    <n v="15565.91"/>
    <n v="21"/>
    <x v="109"/>
    <x v="0"/>
  </r>
  <r>
    <x v="0"/>
    <x v="5"/>
    <x v="20"/>
    <n v="15531.78"/>
    <n v="22"/>
    <x v="110"/>
    <x v="0"/>
  </r>
  <r>
    <x v="0"/>
    <x v="5"/>
    <x v="15"/>
    <n v="2366"/>
    <n v="5"/>
    <x v="93"/>
    <x v="0"/>
  </r>
  <r>
    <x v="0"/>
    <x v="5"/>
    <x v="15"/>
    <n v="2553.46"/>
    <n v="5"/>
    <x v="94"/>
    <x v="0"/>
  </r>
  <r>
    <x v="0"/>
    <x v="5"/>
    <x v="15"/>
    <n v="2595.52"/>
    <n v="5"/>
    <x v="95"/>
    <x v="0"/>
  </r>
  <r>
    <x v="1"/>
    <x v="0"/>
    <x v="1"/>
    <n v="8498"/>
    <n v="44"/>
    <x v="111"/>
    <x v="0"/>
  </r>
  <r>
    <x v="1"/>
    <x v="0"/>
    <x v="1"/>
    <n v="8651.2000000000007"/>
    <n v="43"/>
    <x v="112"/>
    <x v="0"/>
  </r>
  <r>
    <x v="1"/>
    <x v="0"/>
    <x v="1"/>
    <n v="9452.18"/>
    <n v="42"/>
    <x v="113"/>
    <x v="0"/>
  </r>
  <r>
    <x v="1"/>
    <x v="0"/>
    <x v="9"/>
    <n v="2933"/>
    <n v="55"/>
    <x v="114"/>
    <x v="0"/>
  </r>
  <r>
    <x v="1"/>
    <x v="0"/>
    <x v="9"/>
    <n v="2931.1"/>
    <n v="60"/>
    <x v="115"/>
    <x v="0"/>
  </r>
  <r>
    <x v="1"/>
    <x v="0"/>
    <x v="9"/>
    <n v="3192.06"/>
    <n v="54"/>
    <x v="116"/>
    <x v="0"/>
  </r>
  <r>
    <x v="1"/>
    <x v="0"/>
    <x v="19"/>
    <n v="15421"/>
    <n v="55"/>
    <x v="108"/>
    <x v="0"/>
  </r>
  <r>
    <x v="1"/>
    <x v="0"/>
    <x v="19"/>
    <n v="17280.98"/>
    <n v="58"/>
    <x v="109"/>
    <x v="0"/>
  </r>
  <r>
    <x v="1"/>
    <x v="0"/>
    <x v="19"/>
    <n v="16572.07"/>
    <n v="57"/>
    <x v="110"/>
    <x v="0"/>
  </r>
  <r>
    <x v="1"/>
    <x v="0"/>
    <x v="11"/>
    <n v="2303"/>
    <n v="33"/>
    <x v="117"/>
    <x v="0"/>
  </r>
  <r>
    <x v="1"/>
    <x v="0"/>
    <x v="11"/>
    <n v="2478.33"/>
    <n v="33"/>
    <x v="118"/>
    <x v="0"/>
  </r>
  <r>
    <x v="1"/>
    <x v="0"/>
    <x v="11"/>
    <n v="2620.66"/>
    <n v="34"/>
    <x v="119"/>
    <x v="0"/>
  </r>
  <r>
    <x v="1"/>
    <x v="0"/>
    <x v="20"/>
    <n v="9268"/>
    <n v="100"/>
    <x v="120"/>
    <x v="0"/>
  </r>
  <r>
    <x v="1"/>
    <x v="0"/>
    <x v="20"/>
    <n v="9810.9500000000007"/>
    <n v="105"/>
    <x v="121"/>
    <x v="0"/>
  </r>
  <r>
    <x v="1"/>
    <x v="0"/>
    <x v="20"/>
    <n v="10744.23"/>
    <n v="105"/>
    <x v="122"/>
    <x v="0"/>
  </r>
  <r>
    <x v="1"/>
    <x v="0"/>
    <x v="13"/>
    <n v="8113"/>
    <n v="370"/>
    <x v="123"/>
    <x v="0"/>
  </r>
  <r>
    <x v="1"/>
    <x v="0"/>
    <x v="13"/>
    <n v="8927.6299999999992"/>
    <n v="386"/>
    <x v="124"/>
    <x v="0"/>
  </r>
  <r>
    <x v="1"/>
    <x v="0"/>
    <x v="13"/>
    <n v="9402.26"/>
    <n v="401"/>
    <x v="125"/>
    <x v="0"/>
  </r>
  <r>
    <x v="1"/>
    <x v="1"/>
    <x v="0"/>
    <n v="10185"/>
    <n v="303"/>
    <x v="126"/>
    <x v="0"/>
  </r>
  <r>
    <x v="1"/>
    <x v="1"/>
    <x v="0"/>
    <n v="10275.549999999999"/>
    <n v="301"/>
    <x v="127"/>
    <x v="0"/>
  </r>
  <r>
    <x v="1"/>
    <x v="1"/>
    <x v="0"/>
    <n v="10917.59"/>
    <n v="302"/>
    <x v="128"/>
    <x v="0"/>
  </r>
  <r>
    <x v="1"/>
    <x v="1"/>
    <x v="3"/>
    <n v="10969"/>
    <n v="170"/>
    <x v="129"/>
    <x v="0"/>
  </r>
  <r>
    <x v="1"/>
    <x v="1"/>
    <x v="3"/>
    <n v="10967.31"/>
    <n v="172"/>
    <x v="130"/>
    <x v="0"/>
  </r>
  <r>
    <x v="1"/>
    <x v="1"/>
    <x v="3"/>
    <n v="12279.35"/>
    <n v="162"/>
    <x v="131"/>
    <x v="0"/>
  </r>
  <r>
    <x v="1"/>
    <x v="1"/>
    <x v="4"/>
    <n v="6237"/>
    <n v="247"/>
    <x v="132"/>
    <x v="0"/>
  </r>
  <r>
    <x v="1"/>
    <x v="1"/>
    <x v="4"/>
    <n v="6523.34"/>
    <n v="245"/>
    <x v="133"/>
    <x v="0"/>
  </r>
  <r>
    <x v="1"/>
    <x v="1"/>
    <x v="4"/>
    <n v="7496.03"/>
    <n v="259"/>
    <x v="134"/>
    <x v="0"/>
  </r>
  <r>
    <x v="1"/>
    <x v="1"/>
    <x v="5"/>
    <n v="3402"/>
    <n v="249"/>
    <x v="135"/>
    <x v="0"/>
  </r>
  <r>
    <x v="1"/>
    <x v="1"/>
    <x v="5"/>
    <n v="3613.32"/>
    <n v="251"/>
    <x v="136"/>
    <x v="0"/>
  </r>
  <r>
    <x v="1"/>
    <x v="1"/>
    <x v="5"/>
    <n v="4115.57"/>
    <n v="274"/>
    <x v="137"/>
    <x v="0"/>
  </r>
  <r>
    <x v="1"/>
    <x v="1"/>
    <x v="14"/>
    <n v="7602"/>
    <n v="18"/>
    <x v="108"/>
    <x v="0"/>
  </r>
  <r>
    <x v="1"/>
    <x v="1"/>
    <x v="14"/>
    <n v="8650.42"/>
    <n v="19"/>
    <x v="109"/>
    <x v="0"/>
  </r>
  <r>
    <x v="1"/>
    <x v="1"/>
    <x v="14"/>
    <n v="8285.3799999999992"/>
    <n v="18"/>
    <x v="110"/>
    <x v="0"/>
  </r>
  <r>
    <x v="1"/>
    <x v="1"/>
    <x v="11"/>
    <n v="1141"/>
    <n v="205"/>
    <x v="138"/>
    <x v="0"/>
  </r>
  <r>
    <x v="1"/>
    <x v="1"/>
    <x v="11"/>
    <n v="1229.96"/>
    <n v="219"/>
    <x v="139"/>
    <x v="0"/>
  </r>
  <r>
    <x v="1"/>
    <x v="1"/>
    <x v="11"/>
    <n v="1312.35"/>
    <n v="200"/>
    <x v="140"/>
    <x v="0"/>
  </r>
  <r>
    <x v="1"/>
    <x v="1"/>
    <x v="6"/>
    <n v="2100"/>
    <n v="78"/>
    <x v="90"/>
    <x v="0"/>
  </r>
  <r>
    <x v="1"/>
    <x v="1"/>
    <x v="6"/>
    <n v="2167.19"/>
    <n v="85"/>
    <x v="91"/>
    <x v="0"/>
  </r>
  <r>
    <x v="1"/>
    <x v="1"/>
    <x v="6"/>
    <n v="2206.2800000000002"/>
    <n v="79"/>
    <x v="92"/>
    <x v="0"/>
  </r>
  <r>
    <x v="1"/>
    <x v="1"/>
    <x v="13"/>
    <n v="4291"/>
    <n v="1"/>
    <x v="141"/>
    <x v="0"/>
  </r>
  <r>
    <x v="1"/>
    <x v="1"/>
    <x v="13"/>
    <n v="4692.3599999999997"/>
    <n v="1"/>
    <x v="142"/>
    <x v="0"/>
  </r>
  <r>
    <x v="1"/>
    <x v="1"/>
    <x v="13"/>
    <n v="4590.46"/>
    <n v="1"/>
    <x v="143"/>
    <x v="0"/>
  </r>
  <r>
    <x v="1"/>
    <x v="2"/>
    <x v="8"/>
    <n v="8190"/>
    <n v="109"/>
    <x v="114"/>
    <x v="0"/>
  </r>
  <r>
    <x v="1"/>
    <x v="2"/>
    <x v="8"/>
    <n v="9021.65"/>
    <n v="104"/>
    <x v="115"/>
    <x v="0"/>
  </r>
  <r>
    <x v="1"/>
    <x v="2"/>
    <x v="8"/>
    <n v="9558.06"/>
    <n v="117"/>
    <x v="116"/>
    <x v="0"/>
  </r>
  <r>
    <x v="1"/>
    <x v="2"/>
    <x v="3"/>
    <n v="6454"/>
    <n v="141"/>
    <x v="144"/>
    <x v="0"/>
  </r>
  <r>
    <x v="1"/>
    <x v="2"/>
    <x v="3"/>
    <n v="7454.25"/>
    <n v="148"/>
    <x v="145"/>
    <x v="0"/>
  </r>
  <r>
    <x v="1"/>
    <x v="2"/>
    <x v="3"/>
    <n v="7548.62"/>
    <n v="153"/>
    <x v="146"/>
    <x v="0"/>
  </r>
  <r>
    <x v="1"/>
    <x v="2"/>
    <x v="9"/>
    <n v="6566"/>
    <n v="99"/>
    <x v="36"/>
    <x v="0"/>
  </r>
  <r>
    <x v="1"/>
    <x v="2"/>
    <x v="9"/>
    <n v="7042.98"/>
    <n v="107"/>
    <x v="37"/>
    <x v="0"/>
  </r>
  <r>
    <x v="1"/>
    <x v="2"/>
    <x v="9"/>
    <n v="7912.62"/>
    <n v="106"/>
    <x v="38"/>
    <x v="0"/>
  </r>
  <r>
    <x v="1"/>
    <x v="2"/>
    <x v="4"/>
    <n v="2219"/>
    <n v="142"/>
    <x v="147"/>
    <x v="0"/>
  </r>
  <r>
    <x v="1"/>
    <x v="2"/>
    <x v="4"/>
    <n v="2431.5300000000002"/>
    <n v="148"/>
    <x v="148"/>
    <x v="0"/>
  </r>
  <r>
    <x v="1"/>
    <x v="2"/>
    <x v="4"/>
    <n v="2411.52"/>
    <n v="144"/>
    <x v="149"/>
    <x v="0"/>
  </r>
  <r>
    <x v="1"/>
    <x v="2"/>
    <x v="16"/>
    <n v="7413"/>
    <n v="465"/>
    <x v="150"/>
    <x v="0"/>
  </r>
  <r>
    <x v="1"/>
    <x v="2"/>
    <x v="16"/>
    <n v="8313.09"/>
    <n v="493"/>
    <x v="151"/>
    <x v="0"/>
  </r>
  <r>
    <x v="1"/>
    <x v="2"/>
    <x v="16"/>
    <n v="7899.01"/>
    <n v="461"/>
    <x v="152"/>
    <x v="0"/>
  </r>
  <r>
    <x v="1"/>
    <x v="3"/>
    <x v="0"/>
    <n v="4557"/>
    <n v="308"/>
    <x v="153"/>
    <x v="0"/>
  </r>
  <r>
    <x v="1"/>
    <x v="3"/>
    <x v="0"/>
    <n v="4909.8599999999997"/>
    <n v="304"/>
    <x v="154"/>
    <x v="0"/>
  </r>
  <r>
    <x v="1"/>
    <x v="3"/>
    <x v="0"/>
    <n v="5185.3599999999997"/>
    <n v="321"/>
    <x v="155"/>
    <x v="0"/>
  </r>
  <r>
    <x v="1"/>
    <x v="3"/>
    <x v="1"/>
    <n v="2100"/>
    <n v="157"/>
    <x v="93"/>
    <x v="0"/>
  </r>
  <r>
    <x v="1"/>
    <x v="3"/>
    <x v="1"/>
    <n v="2151.04"/>
    <n v="170"/>
    <x v="94"/>
    <x v="0"/>
  </r>
  <r>
    <x v="1"/>
    <x v="3"/>
    <x v="1"/>
    <n v="2214.91"/>
    <n v="161"/>
    <x v="95"/>
    <x v="0"/>
  </r>
  <r>
    <x v="1"/>
    <x v="3"/>
    <x v="17"/>
    <n v="8134"/>
    <n v="195"/>
    <x v="156"/>
    <x v="0"/>
  </r>
  <r>
    <x v="1"/>
    <x v="3"/>
    <x v="17"/>
    <n v="9294.14"/>
    <n v="201"/>
    <x v="157"/>
    <x v="0"/>
  </r>
  <r>
    <x v="1"/>
    <x v="3"/>
    <x v="17"/>
    <n v="9152.7199999999993"/>
    <n v="208"/>
    <x v="158"/>
    <x v="0"/>
  </r>
  <r>
    <x v="1"/>
    <x v="3"/>
    <x v="8"/>
    <n v="10024"/>
    <n v="84"/>
    <x v="159"/>
    <x v="0"/>
  </r>
  <r>
    <x v="1"/>
    <x v="3"/>
    <x v="8"/>
    <n v="11460.08"/>
    <n v="81"/>
    <x v="160"/>
    <x v="0"/>
  </r>
  <r>
    <x v="1"/>
    <x v="3"/>
    <x v="8"/>
    <n v="11250.69"/>
    <n v="91"/>
    <x v="161"/>
    <x v="0"/>
  </r>
  <r>
    <x v="1"/>
    <x v="3"/>
    <x v="2"/>
    <n v="5558"/>
    <n v="127"/>
    <x v="162"/>
    <x v="0"/>
  </r>
  <r>
    <x v="1"/>
    <x v="3"/>
    <x v="2"/>
    <n v="6372.68"/>
    <n v="131"/>
    <x v="163"/>
    <x v="0"/>
  </r>
  <r>
    <x v="1"/>
    <x v="3"/>
    <x v="2"/>
    <n v="6426.04"/>
    <n v="132"/>
    <x v="164"/>
    <x v="0"/>
  </r>
  <r>
    <x v="1"/>
    <x v="3"/>
    <x v="10"/>
    <n v="6713"/>
    <n v="31"/>
    <x v="165"/>
    <x v="0"/>
  </r>
  <r>
    <x v="1"/>
    <x v="3"/>
    <x v="10"/>
    <n v="7144.08"/>
    <n v="32"/>
    <x v="166"/>
    <x v="0"/>
  </r>
  <r>
    <x v="1"/>
    <x v="3"/>
    <x v="10"/>
    <n v="7418.41"/>
    <n v="31"/>
    <x v="167"/>
    <x v="0"/>
  </r>
  <r>
    <x v="1"/>
    <x v="3"/>
    <x v="19"/>
    <n v="1687"/>
    <n v="147"/>
    <x v="168"/>
    <x v="0"/>
  </r>
  <r>
    <x v="1"/>
    <x v="3"/>
    <x v="19"/>
    <n v="1888.94"/>
    <n v="159"/>
    <x v="169"/>
    <x v="0"/>
  </r>
  <r>
    <x v="1"/>
    <x v="3"/>
    <x v="19"/>
    <n v="1853.03"/>
    <n v="153"/>
    <x v="170"/>
    <x v="0"/>
  </r>
  <r>
    <x v="1"/>
    <x v="3"/>
    <x v="5"/>
    <n v="5474"/>
    <n v="239"/>
    <x v="171"/>
    <x v="0"/>
  </r>
  <r>
    <x v="1"/>
    <x v="3"/>
    <x v="5"/>
    <n v="5917.62"/>
    <n v="238"/>
    <x v="172"/>
    <x v="0"/>
  </r>
  <r>
    <x v="1"/>
    <x v="3"/>
    <x v="5"/>
    <n v="6575.07"/>
    <n v="249"/>
    <x v="173"/>
    <x v="0"/>
  </r>
  <r>
    <x v="1"/>
    <x v="3"/>
    <x v="16"/>
    <n v="6440"/>
    <n v="145"/>
    <x v="174"/>
    <x v="0"/>
  </r>
  <r>
    <x v="1"/>
    <x v="3"/>
    <x v="16"/>
    <n v="6526.01"/>
    <n v="147"/>
    <x v="175"/>
    <x v="0"/>
  </r>
  <r>
    <x v="1"/>
    <x v="3"/>
    <x v="16"/>
    <n v="7197.75"/>
    <n v="159"/>
    <x v="176"/>
    <x v="0"/>
  </r>
  <r>
    <x v="1"/>
    <x v="3"/>
    <x v="20"/>
    <n v="6468"/>
    <n v="66"/>
    <x v="114"/>
    <x v="0"/>
  </r>
  <r>
    <x v="1"/>
    <x v="3"/>
    <x v="20"/>
    <n v="7358.7"/>
    <n v="68"/>
    <x v="115"/>
    <x v="0"/>
  </r>
  <r>
    <x v="1"/>
    <x v="3"/>
    <x v="20"/>
    <n v="7667.99"/>
    <n v="69"/>
    <x v="116"/>
    <x v="0"/>
  </r>
  <r>
    <x v="1"/>
    <x v="3"/>
    <x v="12"/>
    <n v="3990"/>
    <n v="169"/>
    <x v="177"/>
    <x v="0"/>
  </r>
  <r>
    <x v="1"/>
    <x v="3"/>
    <x v="12"/>
    <n v="4552.1499999999996"/>
    <n v="172"/>
    <x v="178"/>
    <x v="0"/>
  </r>
  <r>
    <x v="1"/>
    <x v="3"/>
    <x v="12"/>
    <n v="4487.01"/>
    <n v="184"/>
    <x v="179"/>
    <x v="0"/>
  </r>
  <r>
    <x v="1"/>
    <x v="4"/>
    <x v="0"/>
    <n v="581"/>
    <n v="65"/>
    <x v="147"/>
    <x v="0"/>
  </r>
  <r>
    <x v="1"/>
    <x v="4"/>
    <x v="0"/>
    <n v="656.44"/>
    <n v="67"/>
    <x v="148"/>
    <x v="0"/>
  </r>
  <r>
    <x v="1"/>
    <x v="4"/>
    <x v="0"/>
    <n v="639.95000000000005"/>
    <n v="71"/>
    <x v="149"/>
    <x v="0"/>
  </r>
  <r>
    <x v="1"/>
    <x v="4"/>
    <x v="18"/>
    <n v="3864"/>
    <n v="430"/>
    <x v="66"/>
    <x v="0"/>
  </r>
  <r>
    <x v="1"/>
    <x v="4"/>
    <x v="18"/>
    <n v="4012.51"/>
    <n v="409"/>
    <x v="67"/>
    <x v="0"/>
  </r>
  <r>
    <x v="1"/>
    <x v="4"/>
    <x v="18"/>
    <n v="4482.33"/>
    <n v="467"/>
    <x v="68"/>
    <x v="0"/>
  </r>
  <r>
    <x v="1"/>
    <x v="4"/>
    <x v="16"/>
    <n v="3724"/>
    <n v="316"/>
    <x v="180"/>
    <x v="0"/>
  </r>
  <r>
    <x v="1"/>
    <x v="4"/>
    <x v="16"/>
    <n v="4129.9799999999996"/>
    <n v="332"/>
    <x v="181"/>
    <x v="0"/>
  </r>
  <r>
    <x v="1"/>
    <x v="4"/>
    <x v="16"/>
    <n v="3950.65"/>
    <n v="324"/>
    <x v="182"/>
    <x v="0"/>
  </r>
  <r>
    <x v="1"/>
    <x v="4"/>
    <x v="20"/>
    <n v="5481"/>
    <n v="69"/>
    <x v="183"/>
    <x v="0"/>
  </r>
  <r>
    <x v="1"/>
    <x v="4"/>
    <x v="20"/>
    <n v="6323.45"/>
    <n v="70"/>
    <x v="184"/>
    <x v="0"/>
  </r>
  <r>
    <x v="1"/>
    <x v="4"/>
    <x v="20"/>
    <n v="6016.8"/>
    <n v="71"/>
    <x v="185"/>
    <x v="0"/>
  </r>
  <r>
    <x v="1"/>
    <x v="4"/>
    <x v="13"/>
    <n v="1652"/>
    <n v="72"/>
    <x v="186"/>
    <x v="0"/>
  </r>
  <r>
    <x v="1"/>
    <x v="4"/>
    <x v="13"/>
    <n v="1837.47"/>
    <n v="77"/>
    <x v="187"/>
    <x v="0"/>
  </r>
  <r>
    <x v="1"/>
    <x v="4"/>
    <x v="13"/>
    <n v="1959.22"/>
    <n v="70"/>
    <x v="188"/>
    <x v="0"/>
  </r>
  <r>
    <x v="1"/>
    <x v="5"/>
    <x v="0"/>
    <n v="13034"/>
    <n v="117"/>
    <x v="189"/>
    <x v="0"/>
  </r>
  <r>
    <x v="1"/>
    <x v="5"/>
    <x v="0"/>
    <n v="14604.67"/>
    <n v="128"/>
    <x v="190"/>
    <x v="0"/>
  </r>
  <r>
    <x v="1"/>
    <x v="5"/>
    <x v="0"/>
    <n v="15372.94"/>
    <n v="124"/>
    <x v="191"/>
    <x v="0"/>
  </r>
  <r>
    <x v="1"/>
    <x v="5"/>
    <x v="1"/>
    <n v="12761"/>
    <n v="47"/>
    <x v="135"/>
    <x v="0"/>
  </r>
  <r>
    <x v="1"/>
    <x v="5"/>
    <x v="1"/>
    <n v="14566.22"/>
    <n v="45"/>
    <x v="136"/>
    <x v="0"/>
  </r>
  <r>
    <x v="1"/>
    <x v="5"/>
    <x v="1"/>
    <n v="13497.17"/>
    <n v="49"/>
    <x v="137"/>
    <x v="0"/>
  </r>
  <r>
    <x v="1"/>
    <x v="5"/>
    <x v="2"/>
    <n v="385"/>
    <n v="78"/>
    <x v="129"/>
    <x v="0"/>
  </r>
  <r>
    <x v="1"/>
    <x v="5"/>
    <x v="2"/>
    <n v="430.59"/>
    <n v="85"/>
    <x v="130"/>
    <x v="0"/>
  </r>
  <r>
    <x v="1"/>
    <x v="5"/>
    <x v="2"/>
    <n v="434.42"/>
    <n v="83"/>
    <x v="131"/>
    <x v="0"/>
  </r>
  <r>
    <x v="1"/>
    <x v="5"/>
    <x v="9"/>
    <n v="3318"/>
    <n v="299"/>
    <x v="141"/>
    <x v="0"/>
  </r>
  <r>
    <x v="1"/>
    <x v="5"/>
    <x v="9"/>
    <n v="3407.61"/>
    <n v="316"/>
    <x v="142"/>
    <x v="0"/>
  </r>
  <r>
    <x v="1"/>
    <x v="5"/>
    <x v="9"/>
    <n v="3917.13"/>
    <n v="287"/>
    <x v="143"/>
    <x v="0"/>
  </r>
  <r>
    <x v="1"/>
    <x v="5"/>
    <x v="19"/>
    <n v="9058"/>
    <n v="46"/>
    <x v="147"/>
    <x v="0"/>
  </r>
  <r>
    <x v="1"/>
    <x v="5"/>
    <x v="19"/>
    <n v="9370.61"/>
    <n v="45"/>
    <x v="148"/>
    <x v="0"/>
  </r>
  <r>
    <x v="1"/>
    <x v="5"/>
    <x v="19"/>
    <n v="9617.64"/>
    <n v="44"/>
    <x v="149"/>
    <x v="0"/>
  </r>
  <r>
    <x v="1"/>
    <x v="5"/>
    <x v="14"/>
    <n v="3703"/>
    <n v="11"/>
    <x v="138"/>
    <x v="0"/>
  </r>
  <r>
    <x v="1"/>
    <x v="5"/>
    <x v="14"/>
    <n v="4254.37"/>
    <n v="12"/>
    <x v="139"/>
    <x v="0"/>
  </r>
  <r>
    <x v="1"/>
    <x v="5"/>
    <x v="14"/>
    <n v="4244.3599999999997"/>
    <n v="11"/>
    <x v="140"/>
    <x v="0"/>
  </r>
  <r>
    <x v="1"/>
    <x v="5"/>
    <x v="20"/>
    <n v="9282"/>
    <n v="101"/>
    <x v="192"/>
    <x v="0"/>
  </r>
  <r>
    <x v="1"/>
    <x v="5"/>
    <x v="20"/>
    <n v="10102.86"/>
    <n v="107"/>
    <x v="193"/>
    <x v="0"/>
  </r>
  <r>
    <x v="1"/>
    <x v="5"/>
    <x v="20"/>
    <n v="9876.86"/>
    <n v="106"/>
    <x v="194"/>
    <x v="0"/>
  </r>
  <r>
    <x v="1"/>
    <x v="5"/>
    <x v="13"/>
    <n v="7420"/>
    <n v="163"/>
    <x v="195"/>
    <x v="0"/>
  </r>
  <r>
    <x v="1"/>
    <x v="5"/>
    <x v="13"/>
    <n v="7900.52"/>
    <n v="175"/>
    <x v="196"/>
    <x v="0"/>
  </r>
  <r>
    <x v="1"/>
    <x v="5"/>
    <x v="13"/>
    <n v="8523.42"/>
    <n v="171"/>
    <x v="197"/>
    <x v="0"/>
  </r>
  <r>
    <x v="2"/>
    <x v="0"/>
    <x v="0"/>
    <n v="700"/>
    <n v="457"/>
    <x v="54"/>
    <x v="0"/>
  </r>
  <r>
    <x v="2"/>
    <x v="0"/>
    <x v="0"/>
    <n v="725.16"/>
    <n v="453"/>
    <x v="55"/>
    <x v="0"/>
  </r>
  <r>
    <x v="2"/>
    <x v="0"/>
    <x v="0"/>
    <n v="764.63"/>
    <n v="441"/>
    <x v="56"/>
    <x v="0"/>
  </r>
  <r>
    <x v="2"/>
    <x v="0"/>
    <x v="3"/>
    <n v="3192"/>
    <n v="109"/>
    <x v="198"/>
    <x v="0"/>
  </r>
  <r>
    <x v="2"/>
    <x v="0"/>
    <x v="3"/>
    <n v="3482.73"/>
    <n v="108"/>
    <x v="199"/>
    <x v="0"/>
  </r>
  <r>
    <x v="2"/>
    <x v="0"/>
    <x v="3"/>
    <n v="3360.74"/>
    <n v="119"/>
    <x v="200"/>
    <x v="0"/>
  </r>
  <r>
    <x v="2"/>
    <x v="0"/>
    <x v="10"/>
    <n v="1827"/>
    <n v="6"/>
    <x v="81"/>
    <x v="0"/>
  </r>
  <r>
    <x v="2"/>
    <x v="0"/>
    <x v="10"/>
    <n v="1835.42"/>
    <n v="6"/>
    <x v="82"/>
    <x v="0"/>
  </r>
  <r>
    <x v="2"/>
    <x v="0"/>
    <x v="10"/>
    <n v="2134.65"/>
    <n v="6"/>
    <x v="83"/>
    <x v="0"/>
  </r>
  <r>
    <x v="2"/>
    <x v="0"/>
    <x v="19"/>
    <n v="1435"/>
    <n v="258"/>
    <x v="201"/>
    <x v="0"/>
  </r>
  <r>
    <x v="2"/>
    <x v="0"/>
    <x v="19"/>
    <n v="1545.36"/>
    <n v="269"/>
    <x v="202"/>
    <x v="0"/>
  </r>
  <r>
    <x v="2"/>
    <x v="0"/>
    <x v="19"/>
    <n v="1718.97"/>
    <n v="260"/>
    <x v="203"/>
    <x v="0"/>
  </r>
  <r>
    <x v="2"/>
    <x v="0"/>
    <x v="18"/>
    <n v="735"/>
    <n v="390"/>
    <x v="204"/>
    <x v="0"/>
  </r>
  <r>
    <x v="2"/>
    <x v="0"/>
    <x v="18"/>
    <n v="793.17"/>
    <n v="400"/>
    <x v="205"/>
    <x v="0"/>
  </r>
  <r>
    <x v="2"/>
    <x v="0"/>
    <x v="18"/>
    <n v="770.45"/>
    <n v="389"/>
    <x v="206"/>
    <x v="0"/>
  </r>
  <r>
    <x v="2"/>
    <x v="0"/>
    <x v="11"/>
    <n v="6790"/>
    <n v="356"/>
    <x v="207"/>
    <x v="0"/>
  </r>
  <r>
    <x v="2"/>
    <x v="0"/>
    <x v="11"/>
    <n v="7807.74"/>
    <n v="355"/>
    <x v="208"/>
    <x v="0"/>
  </r>
  <r>
    <x v="2"/>
    <x v="0"/>
    <x v="11"/>
    <n v="7271.76"/>
    <n v="385"/>
    <x v="209"/>
    <x v="0"/>
  </r>
  <r>
    <x v="2"/>
    <x v="0"/>
    <x v="12"/>
    <n v="10507"/>
    <n v="467"/>
    <x v="177"/>
    <x v="0"/>
  </r>
  <r>
    <x v="2"/>
    <x v="0"/>
    <x v="12"/>
    <n v="11682.62"/>
    <n v="506"/>
    <x v="178"/>
    <x v="0"/>
  </r>
  <r>
    <x v="2"/>
    <x v="0"/>
    <x v="12"/>
    <n v="11533.35"/>
    <n v="491"/>
    <x v="179"/>
    <x v="0"/>
  </r>
  <r>
    <x v="2"/>
    <x v="0"/>
    <x v="13"/>
    <n v="2240"/>
    <n v="166"/>
    <x v="210"/>
    <x v="0"/>
  </r>
  <r>
    <x v="2"/>
    <x v="0"/>
    <x v="13"/>
    <n v="2379.0100000000002"/>
    <n v="178"/>
    <x v="211"/>
    <x v="0"/>
  </r>
  <r>
    <x v="2"/>
    <x v="0"/>
    <x v="13"/>
    <n v="2659.78"/>
    <n v="178"/>
    <x v="212"/>
    <x v="0"/>
  </r>
  <r>
    <x v="2"/>
    <x v="1"/>
    <x v="1"/>
    <n v="6139"/>
    <n v="45"/>
    <x v="39"/>
    <x v="0"/>
  </r>
  <r>
    <x v="2"/>
    <x v="1"/>
    <x v="1"/>
    <n v="6393.2"/>
    <n v="44"/>
    <x v="40"/>
    <x v="0"/>
  </r>
  <r>
    <x v="2"/>
    <x v="1"/>
    <x v="1"/>
    <n v="6829.86"/>
    <n v="46"/>
    <x v="41"/>
    <x v="0"/>
  </r>
  <r>
    <x v="2"/>
    <x v="1"/>
    <x v="3"/>
    <n v="13447"/>
    <n v="95"/>
    <x v="213"/>
    <x v="0"/>
  </r>
  <r>
    <x v="2"/>
    <x v="1"/>
    <x v="3"/>
    <n v="14625.75"/>
    <n v="90"/>
    <x v="214"/>
    <x v="0"/>
  </r>
  <r>
    <x v="2"/>
    <x v="1"/>
    <x v="3"/>
    <n v="15305.32"/>
    <n v="91"/>
    <x v="215"/>
    <x v="0"/>
  </r>
  <r>
    <x v="2"/>
    <x v="1"/>
    <x v="4"/>
    <n v="994"/>
    <n v="118"/>
    <x v="186"/>
    <x v="0"/>
  </r>
  <r>
    <x v="2"/>
    <x v="1"/>
    <x v="4"/>
    <n v="1093.46"/>
    <n v="115"/>
    <x v="187"/>
    <x v="0"/>
  </r>
  <r>
    <x v="2"/>
    <x v="1"/>
    <x v="4"/>
    <n v="1172.53"/>
    <n v="124"/>
    <x v="188"/>
    <x v="0"/>
  </r>
  <r>
    <x v="2"/>
    <x v="1"/>
    <x v="19"/>
    <n v="10332"/>
    <n v="180"/>
    <x v="45"/>
    <x v="0"/>
  </r>
  <r>
    <x v="2"/>
    <x v="1"/>
    <x v="19"/>
    <n v="10644.74"/>
    <n v="172"/>
    <x v="46"/>
    <x v="0"/>
  </r>
  <r>
    <x v="2"/>
    <x v="1"/>
    <x v="19"/>
    <n v="12191.42"/>
    <n v="177"/>
    <x v="47"/>
    <x v="0"/>
  </r>
  <r>
    <x v="2"/>
    <x v="1"/>
    <x v="18"/>
    <n v="8799"/>
    <n v="250"/>
    <x v="39"/>
    <x v="0"/>
  </r>
  <r>
    <x v="2"/>
    <x v="1"/>
    <x v="18"/>
    <n v="9786.09"/>
    <n v="248"/>
    <x v="40"/>
    <x v="0"/>
  </r>
  <r>
    <x v="2"/>
    <x v="1"/>
    <x v="18"/>
    <n v="10137.790000000001"/>
    <n v="250"/>
    <x v="41"/>
    <x v="0"/>
  </r>
  <r>
    <x v="2"/>
    <x v="1"/>
    <x v="14"/>
    <n v="8722"/>
    <n v="109"/>
    <x v="216"/>
    <x v="0"/>
  </r>
  <r>
    <x v="2"/>
    <x v="1"/>
    <x v="14"/>
    <n v="9390.2800000000007"/>
    <n v="104"/>
    <x v="217"/>
    <x v="0"/>
  </r>
  <r>
    <x v="2"/>
    <x v="1"/>
    <x v="14"/>
    <n v="9321.64"/>
    <n v="111"/>
    <x v="218"/>
    <x v="0"/>
  </r>
  <r>
    <x v="2"/>
    <x v="1"/>
    <x v="12"/>
    <n v="14287"/>
    <n v="370"/>
    <x v="219"/>
    <x v="0"/>
  </r>
  <r>
    <x v="2"/>
    <x v="1"/>
    <x v="12"/>
    <n v="15507.29"/>
    <n v="352"/>
    <x v="220"/>
    <x v="0"/>
  </r>
  <r>
    <x v="2"/>
    <x v="1"/>
    <x v="12"/>
    <n v="16585.43"/>
    <n v="388"/>
    <x v="221"/>
    <x v="0"/>
  </r>
  <r>
    <x v="2"/>
    <x v="1"/>
    <x v="13"/>
    <n v="9275"/>
    <n v="173"/>
    <x v="105"/>
    <x v="0"/>
  </r>
  <r>
    <x v="2"/>
    <x v="1"/>
    <x v="13"/>
    <n v="9957.2000000000007"/>
    <n v="185"/>
    <x v="106"/>
    <x v="0"/>
  </r>
  <r>
    <x v="2"/>
    <x v="1"/>
    <x v="13"/>
    <n v="10573.29"/>
    <n v="179"/>
    <x v="107"/>
    <x v="0"/>
  </r>
  <r>
    <x v="2"/>
    <x v="2"/>
    <x v="7"/>
    <n v="448"/>
    <n v="146"/>
    <x v="222"/>
    <x v="0"/>
  </r>
  <r>
    <x v="2"/>
    <x v="2"/>
    <x v="7"/>
    <n v="467.19"/>
    <n v="159"/>
    <x v="223"/>
    <x v="0"/>
  </r>
  <r>
    <x v="2"/>
    <x v="2"/>
    <x v="7"/>
    <n v="495.65"/>
    <n v="146"/>
    <x v="224"/>
    <x v="0"/>
  </r>
  <r>
    <x v="2"/>
    <x v="2"/>
    <x v="2"/>
    <n v="3066"/>
    <n v="96"/>
    <x v="156"/>
    <x v="0"/>
  </r>
  <r>
    <x v="2"/>
    <x v="2"/>
    <x v="2"/>
    <n v="3474.98"/>
    <n v="104"/>
    <x v="157"/>
    <x v="0"/>
  </r>
  <r>
    <x v="2"/>
    <x v="2"/>
    <x v="2"/>
    <n v="3634.26"/>
    <n v="100"/>
    <x v="158"/>
    <x v="0"/>
  </r>
  <r>
    <x v="2"/>
    <x v="2"/>
    <x v="21"/>
    <n v="3577"/>
    <n v="261"/>
    <x v="171"/>
    <x v="0"/>
  </r>
  <r>
    <x v="2"/>
    <x v="2"/>
    <x v="21"/>
    <n v="3818.21"/>
    <n v="287"/>
    <x v="172"/>
    <x v="0"/>
  </r>
  <r>
    <x v="2"/>
    <x v="2"/>
    <x v="21"/>
    <n v="3911.69"/>
    <n v="254"/>
    <x v="173"/>
    <x v="0"/>
  </r>
  <r>
    <x v="2"/>
    <x v="2"/>
    <x v="4"/>
    <n v="6055"/>
    <n v="46"/>
    <x v="105"/>
    <x v="0"/>
  </r>
  <r>
    <x v="2"/>
    <x v="2"/>
    <x v="4"/>
    <n v="6984.74"/>
    <n v="51"/>
    <x v="106"/>
    <x v="0"/>
  </r>
  <r>
    <x v="2"/>
    <x v="2"/>
    <x v="4"/>
    <n v="6756.17"/>
    <n v="45"/>
    <x v="107"/>
    <x v="0"/>
  </r>
  <r>
    <x v="2"/>
    <x v="2"/>
    <x v="10"/>
    <n v="10325"/>
    <n v="147"/>
    <x v="225"/>
    <x v="0"/>
  </r>
  <r>
    <x v="2"/>
    <x v="2"/>
    <x v="10"/>
    <n v="11130.52"/>
    <n v="144"/>
    <x v="226"/>
    <x v="0"/>
  </r>
  <r>
    <x v="2"/>
    <x v="2"/>
    <x v="10"/>
    <n v="11033.61"/>
    <n v="155"/>
    <x v="227"/>
    <x v="0"/>
  </r>
  <r>
    <x v="2"/>
    <x v="2"/>
    <x v="5"/>
    <n v="9835"/>
    <n v="167"/>
    <x v="228"/>
    <x v="0"/>
  </r>
  <r>
    <x v="2"/>
    <x v="2"/>
    <x v="5"/>
    <n v="10168.32"/>
    <n v="159"/>
    <x v="229"/>
    <x v="0"/>
  </r>
  <r>
    <x v="2"/>
    <x v="2"/>
    <x v="5"/>
    <n v="11462.32"/>
    <n v="172"/>
    <x v="230"/>
    <x v="0"/>
  </r>
  <r>
    <x v="2"/>
    <x v="2"/>
    <x v="18"/>
    <n v="1869"/>
    <n v="323"/>
    <x v="231"/>
    <x v="0"/>
  </r>
  <r>
    <x v="2"/>
    <x v="2"/>
    <x v="18"/>
    <n v="1928.74"/>
    <n v="354"/>
    <x v="232"/>
    <x v="0"/>
  </r>
  <r>
    <x v="2"/>
    <x v="2"/>
    <x v="18"/>
    <n v="1997.46"/>
    <n v="314"/>
    <x v="233"/>
    <x v="0"/>
  </r>
  <r>
    <x v="2"/>
    <x v="2"/>
    <x v="11"/>
    <n v="1036"/>
    <n v="20"/>
    <x v="153"/>
    <x v="0"/>
  </r>
  <r>
    <x v="2"/>
    <x v="2"/>
    <x v="11"/>
    <n v="1093.72"/>
    <n v="22"/>
    <x v="154"/>
    <x v="0"/>
  </r>
  <r>
    <x v="2"/>
    <x v="2"/>
    <x v="11"/>
    <n v="1123.57"/>
    <n v="19"/>
    <x v="155"/>
    <x v="0"/>
  </r>
  <r>
    <x v="2"/>
    <x v="2"/>
    <x v="15"/>
    <n v="3339"/>
    <n v="171"/>
    <x v="234"/>
    <x v="0"/>
  </r>
  <r>
    <x v="2"/>
    <x v="2"/>
    <x v="15"/>
    <n v="3357.08"/>
    <n v="186"/>
    <x v="235"/>
    <x v="0"/>
  </r>
  <r>
    <x v="2"/>
    <x v="2"/>
    <x v="15"/>
    <n v="3968.38"/>
    <n v="182"/>
    <x v="236"/>
    <x v="0"/>
  </r>
  <r>
    <x v="2"/>
    <x v="2"/>
    <x v="13"/>
    <n v="1813"/>
    <n v="296"/>
    <x v="123"/>
    <x v="0"/>
  </r>
  <r>
    <x v="2"/>
    <x v="2"/>
    <x v="13"/>
    <n v="1994.44"/>
    <n v="299"/>
    <x v="124"/>
    <x v="0"/>
  </r>
  <r>
    <x v="2"/>
    <x v="2"/>
    <x v="13"/>
    <n v="1900.09"/>
    <n v="297"/>
    <x v="125"/>
    <x v="0"/>
  </r>
  <r>
    <x v="2"/>
    <x v="3"/>
    <x v="1"/>
    <n v="11200"/>
    <n v="22"/>
    <x v="237"/>
    <x v="0"/>
  </r>
  <r>
    <x v="2"/>
    <x v="3"/>
    <x v="1"/>
    <n v="12205.52"/>
    <n v="23"/>
    <x v="238"/>
    <x v="0"/>
  </r>
  <r>
    <x v="2"/>
    <x v="3"/>
    <x v="1"/>
    <n v="12886.26"/>
    <n v="21"/>
    <x v="239"/>
    <x v="0"/>
  </r>
  <r>
    <x v="2"/>
    <x v="3"/>
    <x v="3"/>
    <n v="1372"/>
    <n v="144"/>
    <x v="240"/>
    <x v="0"/>
  </r>
  <r>
    <x v="2"/>
    <x v="3"/>
    <x v="3"/>
    <n v="1452.61"/>
    <n v="142"/>
    <x v="241"/>
    <x v="0"/>
  </r>
  <r>
    <x v="2"/>
    <x v="3"/>
    <x v="3"/>
    <n v="1517.05"/>
    <n v="147"/>
    <x v="242"/>
    <x v="0"/>
  </r>
  <r>
    <x v="2"/>
    <x v="3"/>
    <x v="4"/>
    <n v="1141"/>
    <n v="518"/>
    <x v="150"/>
    <x v="0"/>
  </r>
  <r>
    <x v="2"/>
    <x v="3"/>
    <x v="4"/>
    <n v="1269.56"/>
    <n v="497"/>
    <x v="151"/>
    <x v="0"/>
  </r>
  <r>
    <x v="2"/>
    <x v="3"/>
    <x v="4"/>
    <n v="1284.3699999999999"/>
    <n v="560"/>
    <x v="152"/>
    <x v="0"/>
  </r>
  <r>
    <x v="2"/>
    <x v="3"/>
    <x v="16"/>
    <n v="4361"/>
    <n v="97"/>
    <x v="225"/>
    <x v="0"/>
  </r>
  <r>
    <x v="2"/>
    <x v="3"/>
    <x v="16"/>
    <n v="4560.8100000000004"/>
    <n v="102"/>
    <x v="226"/>
    <x v="0"/>
  </r>
  <r>
    <x v="2"/>
    <x v="3"/>
    <x v="16"/>
    <n v="4994.93"/>
    <n v="98"/>
    <x v="227"/>
    <x v="0"/>
  </r>
  <r>
    <x v="2"/>
    <x v="3"/>
    <x v="11"/>
    <n v="6678"/>
    <n v="226"/>
    <x v="156"/>
    <x v="0"/>
  </r>
  <r>
    <x v="2"/>
    <x v="3"/>
    <x v="11"/>
    <n v="7229.26"/>
    <n v="215"/>
    <x v="157"/>
    <x v="0"/>
  </r>
  <r>
    <x v="2"/>
    <x v="3"/>
    <x v="11"/>
    <n v="7402.04"/>
    <n v="231"/>
    <x v="158"/>
    <x v="0"/>
  </r>
  <r>
    <x v="2"/>
    <x v="3"/>
    <x v="6"/>
    <n v="10822"/>
    <n v="30"/>
    <x v="63"/>
    <x v="0"/>
  </r>
  <r>
    <x v="2"/>
    <x v="3"/>
    <x v="6"/>
    <n v="12129.42"/>
    <n v="29"/>
    <x v="64"/>
    <x v="0"/>
  </r>
  <r>
    <x v="2"/>
    <x v="3"/>
    <x v="6"/>
    <n v="11510.68"/>
    <n v="30"/>
    <x v="65"/>
    <x v="0"/>
  </r>
  <r>
    <x v="2"/>
    <x v="3"/>
    <x v="12"/>
    <n v="2387"/>
    <n v="59"/>
    <x v="243"/>
    <x v="0"/>
  </r>
  <r>
    <x v="2"/>
    <x v="3"/>
    <x v="12"/>
    <n v="2492.67"/>
    <n v="58"/>
    <x v="244"/>
    <x v="0"/>
  </r>
  <r>
    <x v="2"/>
    <x v="3"/>
    <x v="12"/>
    <n v="2755.14"/>
    <n v="63"/>
    <x v="245"/>
    <x v="0"/>
  </r>
  <r>
    <x v="2"/>
    <x v="3"/>
    <x v="15"/>
    <n v="63"/>
    <n v="0"/>
    <x v="90"/>
    <x v="1"/>
  </r>
  <r>
    <x v="2"/>
    <x v="3"/>
    <x v="15"/>
    <n v="66.13"/>
    <n v="65"/>
    <x v="91"/>
    <x v="1"/>
  </r>
  <r>
    <x v="2"/>
    <x v="3"/>
    <x v="15"/>
    <n v="70.19"/>
    <n v="63"/>
    <x v="92"/>
    <x v="1"/>
  </r>
  <r>
    <x v="2"/>
    <x v="3"/>
    <x v="13"/>
    <n v="7126"/>
    <n v="7"/>
    <x v="246"/>
    <x v="0"/>
  </r>
  <r>
    <x v="2"/>
    <x v="3"/>
    <x v="13"/>
    <n v="8003.23"/>
    <n v="7"/>
    <x v="247"/>
    <x v="0"/>
  </r>
  <r>
    <x v="2"/>
    <x v="3"/>
    <x v="13"/>
    <n v="7946.49"/>
    <n v="7"/>
    <x v="248"/>
    <x v="0"/>
  </r>
  <r>
    <x v="2"/>
    <x v="4"/>
    <x v="0"/>
    <n v="2499"/>
    <n v="271"/>
    <x v="249"/>
    <x v="0"/>
  </r>
  <r>
    <x v="2"/>
    <x v="4"/>
    <x v="0"/>
    <n v="2529.8200000000002"/>
    <n v="297"/>
    <x v="250"/>
    <x v="0"/>
  </r>
  <r>
    <x v="2"/>
    <x v="4"/>
    <x v="0"/>
    <n v="2922.18"/>
    <n v="289"/>
    <x v="251"/>
    <x v="0"/>
  </r>
  <r>
    <x v="2"/>
    <x v="4"/>
    <x v="17"/>
    <n v="3486"/>
    <n v="121"/>
    <x v="252"/>
    <x v="0"/>
  </r>
  <r>
    <x v="2"/>
    <x v="4"/>
    <x v="17"/>
    <n v="3701.6"/>
    <n v="131"/>
    <x v="253"/>
    <x v="0"/>
  </r>
  <r>
    <x v="2"/>
    <x v="4"/>
    <x v="17"/>
    <n v="3821.76"/>
    <n v="122"/>
    <x v="254"/>
    <x v="0"/>
  </r>
  <r>
    <x v="2"/>
    <x v="4"/>
    <x v="2"/>
    <n v="2506"/>
    <n v="100"/>
    <x v="54"/>
    <x v="0"/>
  </r>
  <r>
    <x v="2"/>
    <x v="4"/>
    <x v="2"/>
    <n v="2628.33"/>
    <n v="101"/>
    <x v="55"/>
    <x v="0"/>
  </r>
  <r>
    <x v="2"/>
    <x v="4"/>
    <x v="2"/>
    <n v="2799.42"/>
    <n v="104"/>
    <x v="56"/>
    <x v="0"/>
  </r>
  <r>
    <x v="2"/>
    <x v="4"/>
    <x v="21"/>
    <n v="3010"/>
    <n v="69"/>
    <x v="78"/>
    <x v="0"/>
  </r>
  <r>
    <x v="2"/>
    <x v="4"/>
    <x v="21"/>
    <n v="3212.35"/>
    <n v="66"/>
    <x v="79"/>
    <x v="0"/>
  </r>
  <r>
    <x v="2"/>
    <x v="4"/>
    <x v="21"/>
    <n v="3303.13"/>
    <n v="73"/>
    <x v="80"/>
    <x v="0"/>
  </r>
  <r>
    <x v="2"/>
    <x v="4"/>
    <x v="10"/>
    <n v="8463"/>
    <n v="155"/>
    <x v="201"/>
    <x v="0"/>
  </r>
  <r>
    <x v="2"/>
    <x v="4"/>
    <x v="10"/>
    <n v="9749.07"/>
    <n v="169"/>
    <x v="202"/>
    <x v="0"/>
  </r>
  <r>
    <x v="2"/>
    <x v="4"/>
    <x v="10"/>
    <n v="9144.7900000000009"/>
    <n v="156"/>
    <x v="203"/>
    <x v="0"/>
  </r>
  <r>
    <x v="2"/>
    <x v="4"/>
    <x v="12"/>
    <n v="4403"/>
    <n v="76"/>
    <x v="255"/>
    <x v="0"/>
  </r>
  <r>
    <x v="2"/>
    <x v="4"/>
    <x v="12"/>
    <n v="4726.6000000000004"/>
    <n v="75"/>
    <x v="256"/>
    <x v="0"/>
  </r>
  <r>
    <x v="2"/>
    <x v="4"/>
    <x v="12"/>
    <n v="5119.3500000000004"/>
    <n v="77"/>
    <x v="257"/>
    <x v="0"/>
  </r>
  <r>
    <x v="2"/>
    <x v="4"/>
    <x v="15"/>
    <n v="8680"/>
    <n v="252"/>
    <x v="258"/>
    <x v="0"/>
  </r>
  <r>
    <x v="2"/>
    <x v="4"/>
    <x v="15"/>
    <n v="9059.82"/>
    <n v="268"/>
    <x v="259"/>
    <x v="0"/>
  </r>
  <r>
    <x v="2"/>
    <x v="4"/>
    <x v="15"/>
    <n v="9327.08"/>
    <n v="259"/>
    <x v="260"/>
    <x v="0"/>
  </r>
  <r>
    <x v="2"/>
    <x v="4"/>
    <x v="13"/>
    <n v="6475"/>
    <n v="76"/>
    <x v="108"/>
    <x v="0"/>
  </r>
  <r>
    <x v="2"/>
    <x v="4"/>
    <x v="13"/>
    <n v="6901.22"/>
    <n v="80"/>
    <x v="109"/>
    <x v="0"/>
  </r>
  <r>
    <x v="2"/>
    <x v="4"/>
    <x v="13"/>
    <n v="7108.96"/>
    <n v="80"/>
    <x v="110"/>
    <x v="0"/>
  </r>
  <r>
    <x v="2"/>
    <x v="5"/>
    <x v="0"/>
    <n v="2450"/>
    <n v="352"/>
    <x v="261"/>
    <x v="0"/>
  </r>
  <r>
    <x v="2"/>
    <x v="5"/>
    <x v="0"/>
    <n v="2620.19"/>
    <n v="340"/>
    <x v="262"/>
    <x v="0"/>
  </r>
  <r>
    <x v="2"/>
    <x v="5"/>
    <x v="0"/>
    <n v="2941.65"/>
    <n v="360"/>
    <x v="263"/>
    <x v="0"/>
  </r>
  <r>
    <x v="2"/>
    <x v="5"/>
    <x v="7"/>
    <n v="2275"/>
    <n v="115"/>
    <x v="210"/>
    <x v="0"/>
  </r>
  <r>
    <x v="2"/>
    <x v="5"/>
    <x v="7"/>
    <n v="2341.8000000000002"/>
    <n v="117"/>
    <x v="211"/>
    <x v="0"/>
  </r>
  <r>
    <x v="2"/>
    <x v="5"/>
    <x v="7"/>
    <n v="2636.16"/>
    <n v="110"/>
    <x v="212"/>
    <x v="0"/>
  </r>
  <r>
    <x v="2"/>
    <x v="5"/>
    <x v="1"/>
    <n v="12404"/>
    <n v="334"/>
    <x v="3"/>
    <x v="0"/>
  </r>
  <r>
    <x v="2"/>
    <x v="5"/>
    <x v="1"/>
    <n v="13156.49"/>
    <n v="360"/>
    <x v="4"/>
    <x v="0"/>
  </r>
  <r>
    <x v="2"/>
    <x v="5"/>
    <x v="1"/>
    <n v="14028.4"/>
    <n v="344"/>
    <x v="5"/>
    <x v="0"/>
  </r>
  <r>
    <x v="2"/>
    <x v="5"/>
    <x v="6"/>
    <n v="13930"/>
    <n v="339"/>
    <x v="144"/>
    <x v="0"/>
  </r>
  <r>
    <x v="2"/>
    <x v="5"/>
    <x v="6"/>
    <n v="13951.32"/>
    <n v="329"/>
    <x v="145"/>
    <x v="0"/>
  </r>
  <r>
    <x v="2"/>
    <x v="5"/>
    <x v="6"/>
    <n v="15722.43"/>
    <n v="351"/>
    <x v="146"/>
    <x v="0"/>
  </r>
  <r>
    <x v="2"/>
    <x v="5"/>
    <x v="20"/>
    <n v="14798"/>
    <n v="83"/>
    <x v="159"/>
    <x v="0"/>
  </r>
  <r>
    <x v="2"/>
    <x v="5"/>
    <x v="20"/>
    <n v="16223.83"/>
    <n v="87"/>
    <x v="160"/>
    <x v="0"/>
  </r>
  <r>
    <x v="2"/>
    <x v="5"/>
    <x v="20"/>
    <n v="16414.689999999999"/>
    <n v="80"/>
    <x v="161"/>
    <x v="0"/>
  </r>
  <r>
    <x v="2"/>
    <x v="5"/>
    <x v="12"/>
    <n v="2317"/>
    <n v="352"/>
    <x v="246"/>
    <x v="0"/>
  </r>
  <r>
    <x v="2"/>
    <x v="5"/>
    <x v="12"/>
    <n v="2556.2600000000002"/>
    <n v="354"/>
    <x v="247"/>
    <x v="0"/>
  </r>
  <r>
    <x v="2"/>
    <x v="5"/>
    <x v="12"/>
    <n v="2787.72"/>
    <n v="342"/>
    <x v="248"/>
    <x v="0"/>
  </r>
  <r>
    <x v="2"/>
    <x v="5"/>
    <x v="13"/>
    <n v="5292"/>
    <n v="134"/>
    <x v="264"/>
    <x v="0"/>
  </r>
  <r>
    <x v="2"/>
    <x v="5"/>
    <x v="13"/>
    <n v="5639.9"/>
    <n v="129"/>
    <x v="265"/>
    <x v="0"/>
  </r>
  <r>
    <x v="2"/>
    <x v="5"/>
    <x v="13"/>
    <n v="5964.72"/>
    <n v="136"/>
    <x v="266"/>
    <x v="0"/>
  </r>
  <r>
    <x v="3"/>
    <x v="0"/>
    <x v="17"/>
    <n v="2835"/>
    <n v="102"/>
    <x v="123"/>
    <x v="0"/>
  </r>
  <r>
    <x v="3"/>
    <x v="0"/>
    <x v="17"/>
    <n v="3166.56"/>
    <n v="98"/>
    <x v="124"/>
    <x v="0"/>
  </r>
  <r>
    <x v="3"/>
    <x v="0"/>
    <x v="17"/>
    <n v="3356.17"/>
    <n v="111"/>
    <x v="125"/>
    <x v="0"/>
  </r>
  <r>
    <x v="3"/>
    <x v="0"/>
    <x v="3"/>
    <n v="12516"/>
    <n v="212"/>
    <x v="36"/>
    <x v="0"/>
  </r>
  <r>
    <x v="3"/>
    <x v="0"/>
    <x v="3"/>
    <n v="12870.47"/>
    <n v="227"/>
    <x v="37"/>
    <x v="0"/>
  </r>
  <r>
    <x v="3"/>
    <x v="0"/>
    <x v="3"/>
    <n v="14957.65"/>
    <n v="206"/>
    <x v="38"/>
    <x v="0"/>
  </r>
  <r>
    <x v="3"/>
    <x v="0"/>
    <x v="21"/>
    <n v="5124"/>
    <n v="62"/>
    <x v="204"/>
    <x v="0"/>
  </r>
  <r>
    <x v="3"/>
    <x v="0"/>
    <x v="21"/>
    <n v="5641.54"/>
    <n v="61"/>
    <x v="205"/>
    <x v="0"/>
  </r>
  <r>
    <x v="3"/>
    <x v="0"/>
    <x v="21"/>
    <n v="5532.85"/>
    <n v="63"/>
    <x v="206"/>
    <x v="0"/>
  </r>
  <r>
    <x v="3"/>
    <x v="0"/>
    <x v="4"/>
    <n v="6832"/>
    <n v="156"/>
    <x v="267"/>
    <x v="0"/>
  </r>
  <r>
    <x v="3"/>
    <x v="0"/>
    <x v="4"/>
    <n v="7262.12"/>
    <n v="158"/>
    <x v="268"/>
    <x v="0"/>
  </r>
  <r>
    <x v="3"/>
    <x v="0"/>
    <x v="4"/>
    <n v="7192.41"/>
    <n v="159"/>
    <x v="269"/>
    <x v="0"/>
  </r>
  <r>
    <x v="3"/>
    <x v="0"/>
    <x v="10"/>
    <n v="6888"/>
    <n v="88"/>
    <x v="210"/>
    <x v="0"/>
  </r>
  <r>
    <x v="3"/>
    <x v="0"/>
    <x v="10"/>
    <n v="7484.07"/>
    <n v="94"/>
    <x v="211"/>
    <x v="0"/>
  </r>
  <r>
    <x v="3"/>
    <x v="0"/>
    <x v="10"/>
    <n v="8222.65"/>
    <n v="92"/>
    <x v="212"/>
    <x v="0"/>
  </r>
  <r>
    <x v="3"/>
    <x v="0"/>
    <x v="19"/>
    <n v="8575"/>
    <n v="23"/>
    <x v="270"/>
    <x v="0"/>
  </r>
  <r>
    <x v="3"/>
    <x v="0"/>
    <x v="19"/>
    <n v="8558.59"/>
    <n v="24"/>
    <x v="271"/>
    <x v="0"/>
  </r>
  <r>
    <x v="3"/>
    <x v="0"/>
    <x v="19"/>
    <n v="9771.93"/>
    <n v="22"/>
    <x v="272"/>
    <x v="0"/>
  </r>
  <r>
    <x v="3"/>
    <x v="0"/>
    <x v="18"/>
    <n v="1981"/>
    <n v="52"/>
    <x v="267"/>
    <x v="0"/>
  </r>
  <r>
    <x v="3"/>
    <x v="0"/>
    <x v="18"/>
    <n v="2117.8200000000002"/>
    <n v="56"/>
    <x v="268"/>
    <x v="0"/>
  </r>
  <r>
    <x v="3"/>
    <x v="0"/>
    <x v="18"/>
    <n v="2356.21"/>
    <n v="54"/>
    <x v="269"/>
    <x v="0"/>
  </r>
  <r>
    <x v="3"/>
    <x v="0"/>
    <x v="11"/>
    <n v="4263"/>
    <n v="264"/>
    <x v="105"/>
    <x v="0"/>
  </r>
  <r>
    <x v="3"/>
    <x v="0"/>
    <x v="11"/>
    <n v="4479.6899999999996"/>
    <n v="261"/>
    <x v="106"/>
    <x v="0"/>
  </r>
  <r>
    <x v="3"/>
    <x v="0"/>
    <x v="11"/>
    <n v="4768.88"/>
    <n v="281"/>
    <x v="107"/>
    <x v="0"/>
  </r>
  <r>
    <x v="3"/>
    <x v="0"/>
    <x v="6"/>
    <n v="301"/>
    <n v="205"/>
    <x v="273"/>
    <x v="0"/>
  </r>
  <r>
    <x v="3"/>
    <x v="0"/>
    <x v="6"/>
    <n v="311.61"/>
    <n v="204"/>
    <x v="274"/>
    <x v="0"/>
  </r>
  <r>
    <x v="3"/>
    <x v="0"/>
    <x v="6"/>
    <n v="352.51"/>
    <n v="196"/>
    <x v="275"/>
    <x v="0"/>
  </r>
  <r>
    <x v="3"/>
    <x v="0"/>
    <x v="15"/>
    <n v="6223"/>
    <n v="256"/>
    <x v="276"/>
    <x v="0"/>
  </r>
  <r>
    <x v="3"/>
    <x v="0"/>
    <x v="15"/>
    <n v="6707.63"/>
    <n v="269"/>
    <x v="277"/>
    <x v="0"/>
  </r>
  <r>
    <x v="3"/>
    <x v="0"/>
    <x v="15"/>
    <n v="6867.13"/>
    <n v="273"/>
    <x v="278"/>
    <x v="0"/>
  </r>
  <r>
    <x v="3"/>
    <x v="0"/>
    <x v="13"/>
    <n v="4879"/>
    <n v="22"/>
    <x v="135"/>
    <x v="0"/>
  </r>
  <r>
    <x v="3"/>
    <x v="0"/>
    <x v="13"/>
    <n v="5347.12"/>
    <n v="23"/>
    <x v="136"/>
    <x v="0"/>
  </r>
  <r>
    <x v="3"/>
    <x v="0"/>
    <x v="13"/>
    <n v="5616.77"/>
    <n v="23"/>
    <x v="137"/>
    <x v="0"/>
  </r>
  <r>
    <x v="3"/>
    <x v="1"/>
    <x v="1"/>
    <n v="10241"/>
    <n v="259"/>
    <x v="258"/>
    <x v="0"/>
  </r>
  <r>
    <x v="3"/>
    <x v="1"/>
    <x v="1"/>
    <n v="10315.879999999999"/>
    <n v="268"/>
    <x v="259"/>
    <x v="0"/>
  </r>
  <r>
    <x v="3"/>
    <x v="1"/>
    <x v="1"/>
    <n v="12163.59"/>
    <n v="264"/>
    <x v="260"/>
    <x v="0"/>
  </r>
  <r>
    <x v="3"/>
    <x v="1"/>
    <x v="17"/>
    <n v="16793"/>
    <n v="416"/>
    <x v="279"/>
    <x v="0"/>
  </r>
  <r>
    <x v="3"/>
    <x v="1"/>
    <x v="17"/>
    <n v="17675.28"/>
    <n v="446"/>
    <x v="280"/>
    <x v="0"/>
  </r>
  <r>
    <x v="3"/>
    <x v="1"/>
    <x v="17"/>
    <n v="17718.25"/>
    <n v="430"/>
    <x v="281"/>
    <x v="0"/>
  </r>
  <r>
    <x v="3"/>
    <x v="1"/>
    <x v="2"/>
    <n v="4781"/>
    <n v="125"/>
    <x v="282"/>
    <x v="0"/>
  </r>
  <r>
    <x v="3"/>
    <x v="1"/>
    <x v="2"/>
    <n v="5026.8100000000004"/>
    <n v="123"/>
    <x v="283"/>
    <x v="0"/>
  </r>
  <r>
    <x v="3"/>
    <x v="1"/>
    <x v="2"/>
    <n v="5439.43"/>
    <n v="125"/>
    <x v="284"/>
    <x v="0"/>
  </r>
  <r>
    <x v="3"/>
    <x v="1"/>
    <x v="5"/>
    <n v="6930"/>
    <n v="182"/>
    <x v="9"/>
    <x v="0"/>
  </r>
  <r>
    <x v="3"/>
    <x v="1"/>
    <x v="5"/>
    <n v="7442.69"/>
    <n v="179"/>
    <x v="10"/>
    <x v="0"/>
  </r>
  <r>
    <x v="3"/>
    <x v="1"/>
    <x v="5"/>
    <n v="7308.24"/>
    <n v="178"/>
    <x v="11"/>
    <x v="0"/>
  </r>
  <r>
    <x v="3"/>
    <x v="1"/>
    <x v="16"/>
    <n v="5033"/>
    <n v="178"/>
    <x v="147"/>
    <x v="0"/>
  </r>
  <r>
    <x v="3"/>
    <x v="1"/>
    <x v="16"/>
    <n v="5061.37"/>
    <n v="179"/>
    <x v="148"/>
    <x v="0"/>
  </r>
  <r>
    <x v="3"/>
    <x v="1"/>
    <x v="16"/>
    <n v="5475.65"/>
    <n v="194"/>
    <x v="149"/>
    <x v="0"/>
  </r>
  <r>
    <x v="3"/>
    <x v="1"/>
    <x v="20"/>
    <n v="2800"/>
    <n v="45"/>
    <x v="75"/>
    <x v="0"/>
  </r>
  <r>
    <x v="3"/>
    <x v="1"/>
    <x v="20"/>
    <n v="2994.76"/>
    <n v="47"/>
    <x v="76"/>
    <x v="0"/>
  </r>
  <r>
    <x v="3"/>
    <x v="1"/>
    <x v="20"/>
    <n v="3172.23"/>
    <n v="46"/>
    <x v="77"/>
    <x v="0"/>
  </r>
  <r>
    <x v="3"/>
    <x v="1"/>
    <x v="12"/>
    <n v="5691"/>
    <n v="495"/>
    <x v="285"/>
    <x v="0"/>
  </r>
  <r>
    <x v="3"/>
    <x v="1"/>
    <x v="12"/>
    <n v="6417.05"/>
    <n v="497"/>
    <x v="286"/>
    <x v="0"/>
  </r>
  <r>
    <x v="3"/>
    <x v="1"/>
    <x v="12"/>
    <n v="6051.65"/>
    <n v="490"/>
    <x v="287"/>
    <x v="0"/>
  </r>
  <r>
    <x v="3"/>
    <x v="1"/>
    <x v="15"/>
    <n v="8106"/>
    <n v="101"/>
    <x v="78"/>
    <x v="0"/>
  </r>
  <r>
    <x v="3"/>
    <x v="1"/>
    <x v="15"/>
    <n v="8929.8799999999992"/>
    <n v="100"/>
    <x v="79"/>
    <x v="0"/>
  </r>
  <r>
    <x v="3"/>
    <x v="1"/>
    <x v="15"/>
    <n v="8993.24"/>
    <n v="97"/>
    <x v="80"/>
    <x v="0"/>
  </r>
  <r>
    <x v="3"/>
    <x v="2"/>
    <x v="7"/>
    <n v="4641"/>
    <n v="413"/>
    <x v="189"/>
    <x v="0"/>
  </r>
  <r>
    <x v="3"/>
    <x v="2"/>
    <x v="7"/>
    <n v="5071.49"/>
    <n v="439"/>
    <x v="190"/>
    <x v="0"/>
  </r>
  <r>
    <x v="3"/>
    <x v="2"/>
    <x v="7"/>
    <n v="4888.37"/>
    <n v="435"/>
    <x v="191"/>
    <x v="0"/>
  </r>
  <r>
    <x v="3"/>
    <x v="2"/>
    <x v="1"/>
    <n v="18032"/>
    <n v="205"/>
    <x v="9"/>
    <x v="0"/>
  </r>
  <r>
    <x v="3"/>
    <x v="2"/>
    <x v="1"/>
    <n v="18894.919999999998"/>
    <n v="201"/>
    <x v="10"/>
    <x v="0"/>
  </r>
  <r>
    <x v="3"/>
    <x v="2"/>
    <x v="1"/>
    <n v="21044.07"/>
    <n v="210"/>
    <x v="11"/>
    <x v="0"/>
  </r>
  <r>
    <x v="3"/>
    <x v="2"/>
    <x v="8"/>
    <n v="5747"/>
    <n v="45"/>
    <x v="288"/>
    <x v="0"/>
  </r>
  <r>
    <x v="3"/>
    <x v="2"/>
    <x v="8"/>
    <n v="5744.07"/>
    <n v="49"/>
    <x v="289"/>
    <x v="0"/>
  </r>
  <r>
    <x v="3"/>
    <x v="2"/>
    <x v="8"/>
    <n v="6555.46"/>
    <n v="45"/>
    <x v="290"/>
    <x v="0"/>
  </r>
  <r>
    <x v="3"/>
    <x v="2"/>
    <x v="2"/>
    <n v="2170"/>
    <n v="218"/>
    <x v="162"/>
    <x v="0"/>
  </r>
  <r>
    <x v="3"/>
    <x v="2"/>
    <x v="2"/>
    <n v="2378.08"/>
    <n v="222"/>
    <x v="163"/>
    <x v="0"/>
  </r>
  <r>
    <x v="3"/>
    <x v="2"/>
    <x v="2"/>
    <n v="2303.17"/>
    <n v="225"/>
    <x v="164"/>
    <x v="0"/>
  </r>
  <r>
    <x v="3"/>
    <x v="2"/>
    <x v="9"/>
    <n v="1540"/>
    <n v="100"/>
    <x v="291"/>
    <x v="0"/>
  </r>
  <r>
    <x v="3"/>
    <x v="2"/>
    <x v="9"/>
    <n v="1643.45"/>
    <n v="110"/>
    <x v="292"/>
    <x v="0"/>
  </r>
  <r>
    <x v="3"/>
    <x v="2"/>
    <x v="9"/>
    <n v="1742.37"/>
    <n v="106"/>
    <x v="293"/>
    <x v="0"/>
  </r>
  <r>
    <x v="3"/>
    <x v="2"/>
    <x v="10"/>
    <n v="1351"/>
    <n v="61"/>
    <x v="294"/>
    <x v="0"/>
  </r>
  <r>
    <x v="3"/>
    <x v="2"/>
    <x v="10"/>
    <n v="1511.51"/>
    <n v="58"/>
    <x v="295"/>
    <x v="0"/>
  </r>
  <r>
    <x v="3"/>
    <x v="2"/>
    <x v="10"/>
    <n v="1447.58"/>
    <n v="67"/>
    <x v="296"/>
    <x v="0"/>
  </r>
  <r>
    <x v="3"/>
    <x v="2"/>
    <x v="18"/>
    <n v="13503"/>
    <n v="251"/>
    <x v="297"/>
    <x v="0"/>
  </r>
  <r>
    <x v="3"/>
    <x v="2"/>
    <x v="18"/>
    <n v="15583"/>
    <n v="248"/>
    <x v="298"/>
    <x v="0"/>
  </r>
  <r>
    <x v="3"/>
    <x v="2"/>
    <x v="18"/>
    <n v="14190.78"/>
    <n v="269"/>
    <x v="299"/>
    <x v="0"/>
  </r>
  <r>
    <x v="3"/>
    <x v="2"/>
    <x v="20"/>
    <n v="6328"/>
    <n v="164"/>
    <x v="57"/>
    <x v="0"/>
  </r>
  <r>
    <x v="3"/>
    <x v="2"/>
    <x v="20"/>
    <n v="6833.28"/>
    <n v="157"/>
    <x v="58"/>
    <x v="0"/>
  </r>
  <r>
    <x v="3"/>
    <x v="2"/>
    <x v="20"/>
    <n v="7623.58"/>
    <n v="162"/>
    <x v="59"/>
    <x v="0"/>
  </r>
  <r>
    <x v="3"/>
    <x v="2"/>
    <x v="12"/>
    <n v="5964"/>
    <n v="26"/>
    <x v="120"/>
    <x v="0"/>
  </r>
  <r>
    <x v="3"/>
    <x v="2"/>
    <x v="12"/>
    <n v="6345.02"/>
    <n v="28"/>
    <x v="121"/>
    <x v="0"/>
  </r>
  <r>
    <x v="3"/>
    <x v="2"/>
    <x v="12"/>
    <n v="7091.66"/>
    <n v="28"/>
    <x v="122"/>
    <x v="0"/>
  </r>
  <r>
    <x v="3"/>
    <x v="2"/>
    <x v="15"/>
    <n v="1302"/>
    <n v="33"/>
    <x v="147"/>
    <x v="0"/>
  </r>
  <r>
    <x v="3"/>
    <x v="2"/>
    <x v="15"/>
    <n v="1463.67"/>
    <n v="34"/>
    <x v="148"/>
    <x v="0"/>
  </r>
  <r>
    <x v="3"/>
    <x v="2"/>
    <x v="15"/>
    <n v="1408.28"/>
    <n v="35"/>
    <x v="149"/>
    <x v="0"/>
  </r>
  <r>
    <x v="3"/>
    <x v="3"/>
    <x v="7"/>
    <n v="7231"/>
    <n v="130"/>
    <x v="300"/>
    <x v="0"/>
  </r>
  <r>
    <x v="3"/>
    <x v="3"/>
    <x v="7"/>
    <n v="7900.42"/>
    <n v="143"/>
    <x v="301"/>
    <x v="0"/>
  </r>
  <r>
    <x v="3"/>
    <x v="3"/>
    <x v="7"/>
    <n v="7624.41"/>
    <n v="139"/>
    <x v="302"/>
    <x v="0"/>
  </r>
  <r>
    <x v="3"/>
    <x v="3"/>
    <x v="3"/>
    <n v="5978"/>
    <n v="24"/>
    <x v="303"/>
    <x v="0"/>
  </r>
  <r>
    <x v="3"/>
    <x v="3"/>
    <x v="3"/>
    <n v="6297.06"/>
    <n v="26"/>
    <x v="304"/>
    <x v="0"/>
  </r>
  <r>
    <x v="3"/>
    <x v="3"/>
    <x v="3"/>
    <n v="6790.41"/>
    <n v="26"/>
    <x v="305"/>
    <x v="0"/>
  </r>
  <r>
    <x v="3"/>
    <x v="3"/>
    <x v="4"/>
    <n v="1582"/>
    <n v="100"/>
    <x v="270"/>
    <x v="0"/>
  </r>
  <r>
    <x v="3"/>
    <x v="3"/>
    <x v="4"/>
    <n v="1614.17"/>
    <n v="106"/>
    <x v="271"/>
    <x v="0"/>
  </r>
  <r>
    <x v="3"/>
    <x v="3"/>
    <x v="4"/>
    <n v="1666.46"/>
    <n v="98"/>
    <x v="272"/>
    <x v="0"/>
  </r>
  <r>
    <x v="3"/>
    <x v="3"/>
    <x v="10"/>
    <n v="4690"/>
    <n v="299"/>
    <x v="306"/>
    <x v="0"/>
  </r>
  <r>
    <x v="3"/>
    <x v="3"/>
    <x v="10"/>
    <n v="4981.78"/>
    <n v="299"/>
    <x v="307"/>
    <x v="0"/>
  </r>
  <r>
    <x v="3"/>
    <x v="3"/>
    <x v="10"/>
    <n v="5270.33"/>
    <n v="323"/>
    <x v="308"/>
    <x v="0"/>
  </r>
  <r>
    <x v="3"/>
    <x v="3"/>
    <x v="5"/>
    <n v="14980"/>
    <n v="42"/>
    <x v="75"/>
    <x v="0"/>
  </r>
  <r>
    <x v="3"/>
    <x v="3"/>
    <x v="5"/>
    <n v="17222.86"/>
    <n v="44"/>
    <x v="76"/>
    <x v="0"/>
  </r>
  <r>
    <x v="3"/>
    <x v="3"/>
    <x v="5"/>
    <n v="16807.37"/>
    <n v="44"/>
    <x v="77"/>
    <x v="0"/>
  </r>
  <r>
    <x v="3"/>
    <x v="3"/>
    <x v="16"/>
    <n v="63"/>
    <n v="181"/>
    <x v="309"/>
    <x v="1"/>
  </r>
  <r>
    <x v="3"/>
    <x v="3"/>
    <x v="16"/>
    <n v="66.349999999999994"/>
    <n v="197"/>
    <x v="310"/>
    <x v="1"/>
  </r>
  <r>
    <x v="3"/>
    <x v="3"/>
    <x v="16"/>
    <n v="71.41"/>
    <n v="188"/>
    <x v="311"/>
    <x v="1"/>
  </r>
  <r>
    <x v="3"/>
    <x v="3"/>
    <x v="11"/>
    <n v="637"/>
    <n v="313"/>
    <x v="51"/>
    <x v="0"/>
  </r>
  <r>
    <x v="3"/>
    <x v="3"/>
    <x v="11"/>
    <n v="689.4"/>
    <n v="331"/>
    <x v="52"/>
    <x v="0"/>
  </r>
  <r>
    <x v="3"/>
    <x v="3"/>
    <x v="11"/>
    <n v="677.38"/>
    <n v="327"/>
    <x v="53"/>
    <x v="0"/>
  </r>
  <r>
    <x v="3"/>
    <x v="3"/>
    <x v="12"/>
    <n v="1015"/>
    <n v="27"/>
    <x v="60"/>
    <x v="0"/>
  </r>
  <r>
    <x v="3"/>
    <x v="3"/>
    <x v="12"/>
    <n v="1124.27"/>
    <n v="26"/>
    <x v="61"/>
    <x v="0"/>
  </r>
  <r>
    <x v="3"/>
    <x v="3"/>
    <x v="12"/>
    <n v="1108.18"/>
    <n v="27"/>
    <x v="62"/>
    <x v="0"/>
  </r>
  <r>
    <x v="3"/>
    <x v="3"/>
    <x v="13"/>
    <n v="5509"/>
    <n v="321"/>
    <x v="300"/>
    <x v="0"/>
  </r>
  <r>
    <x v="3"/>
    <x v="3"/>
    <x v="13"/>
    <n v="5774.92"/>
    <n v="325"/>
    <x v="301"/>
    <x v="0"/>
  </r>
  <r>
    <x v="3"/>
    <x v="3"/>
    <x v="13"/>
    <n v="6287.25"/>
    <n v="340"/>
    <x v="302"/>
    <x v="0"/>
  </r>
  <r>
    <x v="3"/>
    <x v="4"/>
    <x v="2"/>
    <n v="105"/>
    <n v="125"/>
    <x v="204"/>
    <x v="0"/>
  </r>
  <r>
    <x v="3"/>
    <x v="4"/>
    <x v="2"/>
    <n v="107.24"/>
    <n v="129"/>
    <x v="205"/>
    <x v="0"/>
  </r>
  <r>
    <x v="3"/>
    <x v="4"/>
    <x v="2"/>
    <n v="115.9"/>
    <n v="120"/>
    <x v="206"/>
    <x v="0"/>
  </r>
  <r>
    <x v="3"/>
    <x v="4"/>
    <x v="9"/>
    <n v="2681"/>
    <n v="149"/>
    <x v="78"/>
    <x v="0"/>
  </r>
  <r>
    <x v="3"/>
    <x v="4"/>
    <x v="9"/>
    <n v="2882.76"/>
    <n v="145"/>
    <x v="79"/>
    <x v="0"/>
  </r>
  <r>
    <x v="3"/>
    <x v="4"/>
    <x v="9"/>
    <n v="3106.11"/>
    <n v="159"/>
    <x v="80"/>
    <x v="0"/>
  </r>
  <r>
    <x v="3"/>
    <x v="4"/>
    <x v="4"/>
    <n v="5754"/>
    <n v="133"/>
    <x v="312"/>
    <x v="0"/>
  </r>
  <r>
    <x v="3"/>
    <x v="4"/>
    <x v="4"/>
    <n v="6337.94"/>
    <n v="128"/>
    <x v="313"/>
    <x v="0"/>
  </r>
  <r>
    <x v="3"/>
    <x v="4"/>
    <x v="4"/>
    <n v="6498.96"/>
    <n v="143"/>
    <x v="314"/>
    <x v="0"/>
  </r>
  <r>
    <x v="3"/>
    <x v="4"/>
    <x v="5"/>
    <n v="70"/>
    <n v="103"/>
    <x v="12"/>
    <x v="1"/>
  </r>
  <r>
    <x v="3"/>
    <x v="4"/>
    <x v="5"/>
    <n v="80.62"/>
    <n v="103"/>
    <x v="13"/>
    <x v="1"/>
  </r>
  <r>
    <x v="3"/>
    <x v="4"/>
    <x v="5"/>
    <n v="73.91"/>
    <n v="101"/>
    <x v="14"/>
    <x v="1"/>
  </r>
  <r>
    <x v="3"/>
    <x v="4"/>
    <x v="6"/>
    <n v="15330"/>
    <n v="30"/>
    <x v="315"/>
    <x v="0"/>
  </r>
  <r>
    <x v="3"/>
    <x v="4"/>
    <x v="6"/>
    <n v="15337.23"/>
    <n v="31"/>
    <x v="316"/>
    <x v="0"/>
  </r>
  <r>
    <x v="3"/>
    <x v="4"/>
    <x v="6"/>
    <n v="17346.79"/>
    <n v="32"/>
    <x v="317"/>
    <x v="0"/>
  </r>
  <r>
    <x v="3"/>
    <x v="4"/>
    <x v="15"/>
    <n v="2352"/>
    <n v="58"/>
    <x v="204"/>
    <x v="0"/>
  </r>
  <r>
    <x v="3"/>
    <x v="4"/>
    <x v="15"/>
    <n v="2462.14"/>
    <n v="60"/>
    <x v="205"/>
    <x v="0"/>
  </r>
  <r>
    <x v="3"/>
    <x v="4"/>
    <x v="15"/>
    <n v="2639.55"/>
    <n v="59"/>
    <x v="206"/>
    <x v="0"/>
  </r>
  <r>
    <x v="3"/>
    <x v="4"/>
    <x v="13"/>
    <n v="5299"/>
    <n v="167"/>
    <x v="192"/>
    <x v="0"/>
  </r>
  <r>
    <x v="3"/>
    <x v="4"/>
    <x v="13"/>
    <n v="5837.17"/>
    <n v="173"/>
    <x v="193"/>
    <x v="0"/>
  </r>
  <r>
    <x v="3"/>
    <x v="4"/>
    <x v="13"/>
    <n v="5799.09"/>
    <n v="169"/>
    <x v="194"/>
    <x v="0"/>
  </r>
  <r>
    <x v="3"/>
    <x v="5"/>
    <x v="7"/>
    <n v="1694"/>
    <n v="21"/>
    <x v="189"/>
    <x v="0"/>
  </r>
  <r>
    <x v="3"/>
    <x v="5"/>
    <x v="7"/>
    <n v="1863.2"/>
    <n v="22"/>
    <x v="190"/>
    <x v="0"/>
  </r>
  <r>
    <x v="3"/>
    <x v="5"/>
    <x v="7"/>
    <n v="1898.07"/>
    <n v="22"/>
    <x v="191"/>
    <x v="0"/>
  </r>
  <r>
    <x v="3"/>
    <x v="5"/>
    <x v="17"/>
    <n v="6769"/>
    <n v="353"/>
    <x v="87"/>
    <x v="0"/>
  </r>
  <r>
    <x v="3"/>
    <x v="5"/>
    <x v="17"/>
    <n v="7323.82"/>
    <n v="339"/>
    <x v="88"/>
    <x v="0"/>
  </r>
  <r>
    <x v="3"/>
    <x v="5"/>
    <x v="17"/>
    <n v="7650.76"/>
    <n v="358"/>
    <x v="89"/>
    <x v="0"/>
  </r>
  <r>
    <x v="3"/>
    <x v="5"/>
    <x v="5"/>
    <n v="1904"/>
    <n v="8"/>
    <x v="183"/>
    <x v="0"/>
  </r>
  <r>
    <x v="3"/>
    <x v="5"/>
    <x v="5"/>
    <n v="2069.48"/>
    <n v="8"/>
    <x v="184"/>
    <x v="0"/>
  </r>
  <r>
    <x v="3"/>
    <x v="5"/>
    <x v="5"/>
    <n v="2095.7800000000002"/>
    <n v="8"/>
    <x v="185"/>
    <x v="0"/>
  </r>
  <r>
    <x v="3"/>
    <x v="5"/>
    <x v="18"/>
    <n v="14301"/>
    <n v="130"/>
    <x v="180"/>
    <x v="0"/>
  </r>
  <r>
    <x v="3"/>
    <x v="5"/>
    <x v="18"/>
    <n v="14460.51"/>
    <n v="124"/>
    <x v="181"/>
    <x v="0"/>
  </r>
  <r>
    <x v="3"/>
    <x v="5"/>
    <x v="18"/>
    <n v="16001.54"/>
    <n v="133"/>
    <x v="182"/>
    <x v="0"/>
  </r>
  <r>
    <x v="3"/>
    <x v="5"/>
    <x v="16"/>
    <n v="10577"/>
    <n v="150"/>
    <x v="204"/>
    <x v="0"/>
  </r>
  <r>
    <x v="3"/>
    <x v="5"/>
    <x v="16"/>
    <n v="11426.56"/>
    <n v="151"/>
    <x v="205"/>
    <x v="0"/>
  </r>
  <r>
    <x v="3"/>
    <x v="5"/>
    <x v="16"/>
    <n v="12476.68"/>
    <n v="162"/>
    <x v="206"/>
    <x v="0"/>
  </r>
  <r>
    <x v="3"/>
    <x v="5"/>
    <x v="14"/>
    <n v="6020"/>
    <n v="147"/>
    <x v="147"/>
    <x v="0"/>
  </r>
  <r>
    <x v="3"/>
    <x v="5"/>
    <x v="14"/>
    <n v="6276.91"/>
    <n v="157"/>
    <x v="148"/>
    <x v="0"/>
  </r>
  <r>
    <x v="3"/>
    <x v="5"/>
    <x v="14"/>
    <n v="7185.5"/>
    <n v="152"/>
    <x v="149"/>
    <x v="0"/>
  </r>
  <r>
    <x v="3"/>
    <x v="5"/>
    <x v="11"/>
    <n v="16233"/>
    <n v="138"/>
    <x v="204"/>
    <x v="0"/>
  </r>
  <r>
    <x v="3"/>
    <x v="5"/>
    <x v="11"/>
    <n v="17383.080000000002"/>
    <n v="145"/>
    <x v="205"/>
    <x v="0"/>
  </r>
  <r>
    <x v="3"/>
    <x v="5"/>
    <x v="11"/>
    <n v="17415.669999999998"/>
    <n v="148"/>
    <x v="206"/>
    <x v="0"/>
  </r>
  <r>
    <x v="3"/>
    <x v="5"/>
    <x v="20"/>
    <n v="672"/>
    <n v="194"/>
    <x v="150"/>
    <x v="0"/>
  </r>
  <r>
    <x v="3"/>
    <x v="5"/>
    <x v="20"/>
    <n v="683.63"/>
    <n v="202"/>
    <x v="151"/>
    <x v="0"/>
  </r>
  <r>
    <x v="3"/>
    <x v="5"/>
    <x v="20"/>
    <n v="807.26"/>
    <n v="198"/>
    <x v="152"/>
    <x v="0"/>
  </r>
  <r>
    <x v="4"/>
    <x v="0"/>
    <x v="7"/>
    <n v="6048"/>
    <n v="477"/>
    <x v="294"/>
    <x v="0"/>
  </r>
  <r>
    <x v="4"/>
    <x v="0"/>
    <x v="7"/>
    <n v="6249.31"/>
    <n v="509"/>
    <x v="295"/>
    <x v="0"/>
  </r>
  <r>
    <x v="4"/>
    <x v="0"/>
    <x v="7"/>
    <n v="6999.62"/>
    <n v="500"/>
    <x v="296"/>
    <x v="0"/>
  </r>
  <r>
    <x v="4"/>
    <x v="0"/>
    <x v="1"/>
    <n v="3654"/>
    <n v="14"/>
    <x v="243"/>
    <x v="0"/>
  </r>
  <r>
    <x v="4"/>
    <x v="0"/>
    <x v="1"/>
    <n v="3790.51"/>
    <n v="14"/>
    <x v="244"/>
    <x v="0"/>
  </r>
  <r>
    <x v="4"/>
    <x v="0"/>
    <x v="1"/>
    <n v="4247.49"/>
    <n v="14"/>
    <x v="245"/>
    <x v="0"/>
  </r>
  <r>
    <x v="4"/>
    <x v="0"/>
    <x v="17"/>
    <n v="4669"/>
    <n v="101"/>
    <x v="60"/>
    <x v="0"/>
  </r>
  <r>
    <x v="4"/>
    <x v="0"/>
    <x v="17"/>
    <n v="4977.55"/>
    <n v="97"/>
    <x v="61"/>
    <x v="0"/>
  </r>
  <r>
    <x v="4"/>
    <x v="0"/>
    <x v="17"/>
    <n v="5346.62"/>
    <n v="109"/>
    <x v="62"/>
    <x v="0"/>
  </r>
  <r>
    <x v="4"/>
    <x v="0"/>
    <x v="9"/>
    <n v="3178"/>
    <n v="16"/>
    <x v="102"/>
    <x v="0"/>
  </r>
  <r>
    <x v="4"/>
    <x v="0"/>
    <x v="9"/>
    <n v="3242.04"/>
    <n v="15"/>
    <x v="103"/>
    <x v="0"/>
  </r>
  <r>
    <x v="4"/>
    <x v="0"/>
    <x v="9"/>
    <n v="3538.27"/>
    <n v="16"/>
    <x v="104"/>
    <x v="0"/>
  </r>
  <r>
    <x v="4"/>
    <x v="0"/>
    <x v="5"/>
    <n v="637"/>
    <n v="169"/>
    <x v="318"/>
    <x v="0"/>
  </r>
  <r>
    <x v="4"/>
    <x v="0"/>
    <x v="5"/>
    <n v="703.4"/>
    <n v="181"/>
    <x v="319"/>
    <x v="0"/>
  </r>
  <r>
    <x v="4"/>
    <x v="0"/>
    <x v="5"/>
    <n v="681.71"/>
    <n v="170"/>
    <x v="320"/>
    <x v="0"/>
  </r>
  <r>
    <x v="4"/>
    <x v="0"/>
    <x v="20"/>
    <n v="6342"/>
    <n v="178"/>
    <x v="3"/>
    <x v="0"/>
  </r>
  <r>
    <x v="4"/>
    <x v="0"/>
    <x v="20"/>
    <n v="6984.06"/>
    <n v="174"/>
    <x v="4"/>
    <x v="0"/>
  </r>
  <r>
    <x v="4"/>
    <x v="0"/>
    <x v="20"/>
    <n v="6641.89"/>
    <n v="188"/>
    <x v="5"/>
    <x v="0"/>
  </r>
  <r>
    <x v="4"/>
    <x v="0"/>
    <x v="12"/>
    <n v="7406"/>
    <n v="118"/>
    <x v="321"/>
    <x v="0"/>
  </r>
  <r>
    <x v="4"/>
    <x v="0"/>
    <x v="12"/>
    <n v="8220.25"/>
    <n v="125"/>
    <x v="322"/>
    <x v="0"/>
  </r>
  <r>
    <x v="4"/>
    <x v="0"/>
    <x v="12"/>
    <n v="8263.11"/>
    <n v="129"/>
    <x v="323"/>
    <x v="0"/>
  </r>
  <r>
    <x v="4"/>
    <x v="1"/>
    <x v="7"/>
    <n v="9716"/>
    <n v="151"/>
    <x v="267"/>
    <x v="0"/>
  </r>
  <r>
    <x v="4"/>
    <x v="1"/>
    <x v="7"/>
    <n v="10095.709999999999"/>
    <n v="151"/>
    <x v="268"/>
    <x v="0"/>
  </r>
  <r>
    <x v="4"/>
    <x v="1"/>
    <x v="7"/>
    <n v="10791.08"/>
    <n v="166"/>
    <x v="269"/>
    <x v="0"/>
  </r>
  <r>
    <x v="4"/>
    <x v="1"/>
    <x v="4"/>
    <n v="12481"/>
    <n v="264"/>
    <x v="321"/>
    <x v="0"/>
  </r>
  <r>
    <x v="4"/>
    <x v="1"/>
    <x v="4"/>
    <n v="13555.26"/>
    <n v="279"/>
    <x v="322"/>
    <x v="0"/>
  </r>
  <r>
    <x v="4"/>
    <x v="1"/>
    <x v="4"/>
    <n v="13524.05"/>
    <n v="253"/>
    <x v="323"/>
    <x v="0"/>
  </r>
  <r>
    <x v="4"/>
    <x v="1"/>
    <x v="14"/>
    <n v="7770"/>
    <n v="54"/>
    <x v="258"/>
    <x v="0"/>
  </r>
  <r>
    <x v="4"/>
    <x v="1"/>
    <x v="14"/>
    <n v="8671.2099999999991"/>
    <n v="52"/>
    <x v="259"/>
    <x v="0"/>
  </r>
  <r>
    <x v="4"/>
    <x v="1"/>
    <x v="14"/>
    <n v="9056.1"/>
    <n v="58"/>
    <x v="260"/>
    <x v="0"/>
  </r>
  <r>
    <x v="4"/>
    <x v="2"/>
    <x v="0"/>
    <n v="9275"/>
    <n v="411"/>
    <x v="123"/>
    <x v="0"/>
  </r>
  <r>
    <x v="4"/>
    <x v="2"/>
    <x v="0"/>
    <n v="10539.54"/>
    <n v="398"/>
    <x v="124"/>
    <x v="0"/>
  </r>
  <r>
    <x v="4"/>
    <x v="2"/>
    <x v="0"/>
    <n v="10590.61"/>
    <n v="430"/>
    <x v="125"/>
    <x v="0"/>
  </r>
  <r>
    <x v="4"/>
    <x v="2"/>
    <x v="1"/>
    <n v="9023"/>
    <n v="51"/>
    <x v="255"/>
    <x v="0"/>
  </r>
  <r>
    <x v="4"/>
    <x v="2"/>
    <x v="1"/>
    <n v="9523.65"/>
    <n v="55"/>
    <x v="256"/>
    <x v="0"/>
  </r>
  <r>
    <x v="4"/>
    <x v="2"/>
    <x v="1"/>
    <n v="9986.0499999999993"/>
    <n v="54"/>
    <x v="257"/>
    <x v="0"/>
  </r>
  <r>
    <x v="4"/>
    <x v="2"/>
    <x v="17"/>
    <n v="203"/>
    <n v="207"/>
    <x v="324"/>
    <x v="0"/>
  </r>
  <r>
    <x v="4"/>
    <x v="2"/>
    <x v="17"/>
    <n v="207.87"/>
    <n v="216"/>
    <x v="325"/>
    <x v="0"/>
  </r>
  <r>
    <x v="4"/>
    <x v="2"/>
    <x v="17"/>
    <n v="227.55"/>
    <n v="225"/>
    <x v="326"/>
    <x v="0"/>
  </r>
  <r>
    <x v="4"/>
    <x v="2"/>
    <x v="4"/>
    <n v="469"/>
    <n v="163"/>
    <x v="327"/>
    <x v="0"/>
  </r>
  <r>
    <x v="4"/>
    <x v="2"/>
    <x v="4"/>
    <n v="492.13"/>
    <n v="164"/>
    <x v="328"/>
    <x v="0"/>
  </r>
  <r>
    <x v="4"/>
    <x v="2"/>
    <x v="4"/>
    <n v="503.52"/>
    <n v="167"/>
    <x v="329"/>
    <x v="0"/>
  </r>
  <r>
    <x v="4"/>
    <x v="2"/>
    <x v="6"/>
    <n v="11837"/>
    <n v="277"/>
    <x v="105"/>
    <x v="0"/>
  </r>
  <r>
    <x v="4"/>
    <x v="2"/>
    <x v="6"/>
    <n v="12507.08"/>
    <n v="284"/>
    <x v="106"/>
    <x v="0"/>
  </r>
  <r>
    <x v="4"/>
    <x v="2"/>
    <x v="6"/>
    <n v="14102.83"/>
    <n v="291"/>
    <x v="107"/>
    <x v="0"/>
  </r>
  <r>
    <x v="4"/>
    <x v="3"/>
    <x v="1"/>
    <n v="15099"/>
    <n v="55"/>
    <x v="327"/>
    <x v="0"/>
  </r>
  <r>
    <x v="4"/>
    <x v="3"/>
    <x v="1"/>
    <n v="15372.54"/>
    <n v="57"/>
    <x v="328"/>
    <x v="0"/>
  </r>
  <r>
    <x v="4"/>
    <x v="3"/>
    <x v="1"/>
    <n v="17841.919999999998"/>
    <n v="53"/>
    <x v="329"/>
    <x v="0"/>
  </r>
  <r>
    <x v="4"/>
    <x v="3"/>
    <x v="17"/>
    <n v="2268"/>
    <n v="42"/>
    <x v="330"/>
    <x v="0"/>
  </r>
  <r>
    <x v="4"/>
    <x v="3"/>
    <x v="17"/>
    <n v="2518.5"/>
    <n v="45"/>
    <x v="331"/>
    <x v="0"/>
  </r>
  <r>
    <x v="4"/>
    <x v="3"/>
    <x v="17"/>
    <n v="2499.92"/>
    <n v="44"/>
    <x v="332"/>
    <x v="0"/>
  </r>
  <r>
    <x v="4"/>
    <x v="3"/>
    <x v="9"/>
    <n v="4137"/>
    <n v="347"/>
    <x v="333"/>
    <x v="0"/>
  </r>
  <r>
    <x v="4"/>
    <x v="3"/>
    <x v="9"/>
    <n v="4400.28"/>
    <n v="364"/>
    <x v="334"/>
    <x v="0"/>
  </r>
  <r>
    <x v="4"/>
    <x v="3"/>
    <x v="9"/>
    <n v="4920.68"/>
    <n v="380"/>
    <x v="335"/>
    <x v="0"/>
  </r>
  <r>
    <x v="4"/>
    <x v="3"/>
    <x v="16"/>
    <n v="1162"/>
    <n v="190"/>
    <x v="336"/>
    <x v="0"/>
  </r>
  <r>
    <x v="4"/>
    <x v="3"/>
    <x v="16"/>
    <n v="1178"/>
    <n v="199"/>
    <x v="337"/>
    <x v="0"/>
  </r>
  <r>
    <x v="4"/>
    <x v="3"/>
    <x v="16"/>
    <n v="1293.02"/>
    <n v="201"/>
    <x v="338"/>
    <x v="0"/>
  </r>
  <r>
    <x v="4"/>
    <x v="3"/>
    <x v="6"/>
    <n v="1582"/>
    <n v="62"/>
    <x v="33"/>
    <x v="0"/>
  </r>
  <r>
    <x v="4"/>
    <x v="3"/>
    <x v="6"/>
    <n v="1724.91"/>
    <n v="60"/>
    <x v="34"/>
    <x v="0"/>
  </r>
  <r>
    <x v="4"/>
    <x v="3"/>
    <x v="6"/>
    <n v="1754.64"/>
    <n v="62"/>
    <x v="35"/>
    <x v="0"/>
  </r>
  <r>
    <x v="4"/>
    <x v="3"/>
    <x v="20"/>
    <n v="4746"/>
    <n v="137"/>
    <x v="339"/>
    <x v="0"/>
  </r>
  <r>
    <x v="4"/>
    <x v="3"/>
    <x v="20"/>
    <n v="4823.6499999999996"/>
    <n v="143"/>
    <x v="340"/>
    <x v="0"/>
  </r>
  <r>
    <x v="4"/>
    <x v="3"/>
    <x v="20"/>
    <n v="5081.5200000000004"/>
    <n v="148"/>
    <x v="341"/>
    <x v="0"/>
  </r>
  <r>
    <x v="4"/>
    <x v="3"/>
    <x v="15"/>
    <n v="11564"/>
    <n v="24"/>
    <x v="177"/>
    <x v="0"/>
  </r>
  <r>
    <x v="4"/>
    <x v="3"/>
    <x v="15"/>
    <n v="12557.56"/>
    <n v="26"/>
    <x v="178"/>
    <x v="0"/>
  </r>
  <r>
    <x v="4"/>
    <x v="3"/>
    <x v="15"/>
    <n v="12744.67"/>
    <n v="26"/>
    <x v="179"/>
    <x v="0"/>
  </r>
  <r>
    <x v="4"/>
    <x v="4"/>
    <x v="16"/>
    <n v="4977"/>
    <n v="317"/>
    <x v="342"/>
    <x v="0"/>
  </r>
  <r>
    <x v="4"/>
    <x v="4"/>
    <x v="16"/>
    <n v="5509.77"/>
    <n v="307"/>
    <x v="343"/>
    <x v="0"/>
  </r>
  <r>
    <x v="4"/>
    <x v="4"/>
    <x v="16"/>
    <n v="5414.75"/>
    <n v="325"/>
    <x v="344"/>
    <x v="0"/>
  </r>
  <r>
    <x v="4"/>
    <x v="4"/>
    <x v="6"/>
    <n v="4872"/>
    <n v="126"/>
    <x v="126"/>
    <x v="0"/>
  </r>
  <r>
    <x v="4"/>
    <x v="4"/>
    <x v="6"/>
    <n v="5231.88"/>
    <n v="125"/>
    <x v="127"/>
    <x v="0"/>
  </r>
  <r>
    <x v="4"/>
    <x v="4"/>
    <x v="6"/>
    <n v="5267.69"/>
    <n v="120"/>
    <x v="128"/>
    <x v="0"/>
  </r>
  <r>
    <x v="4"/>
    <x v="4"/>
    <x v="13"/>
    <n v="9982"/>
    <n v="187"/>
    <x v="27"/>
    <x v="0"/>
  </r>
  <r>
    <x v="4"/>
    <x v="4"/>
    <x v="13"/>
    <n v="9957.66"/>
    <n v="194"/>
    <x v="28"/>
    <x v="0"/>
  </r>
  <r>
    <x v="4"/>
    <x v="4"/>
    <x v="13"/>
    <n v="11946.4"/>
    <n v="192"/>
    <x v="29"/>
    <x v="0"/>
  </r>
  <r>
    <x v="4"/>
    <x v="5"/>
    <x v="0"/>
    <n v="5908"/>
    <n v="301"/>
    <x v="153"/>
    <x v="0"/>
  </r>
  <r>
    <x v="4"/>
    <x v="5"/>
    <x v="0"/>
    <n v="6215.72"/>
    <n v="324"/>
    <x v="154"/>
    <x v="0"/>
  </r>
  <r>
    <x v="4"/>
    <x v="5"/>
    <x v="0"/>
    <n v="6962.79"/>
    <n v="303"/>
    <x v="155"/>
    <x v="0"/>
  </r>
  <r>
    <x v="4"/>
    <x v="5"/>
    <x v="1"/>
    <n v="2401"/>
    <n v="78"/>
    <x v="6"/>
    <x v="0"/>
  </r>
  <r>
    <x v="4"/>
    <x v="5"/>
    <x v="1"/>
    <n v="2639.16"/>
    <n v="80"/>
    <x v="7"/>
    <x v="0"/>
  </r>
  <r>
    <x v="4"/>
    <x v="5"/>
    <x v="1"/>
    <n v="2644.65"/>
    <n v="83"/>
    <x v="8"/>
    <x v="0"/>
  </r>
  <r>
    <x v="4"/>
    <x v="5"/>
    <x v="10"/>
    <n v="4515"/>
    <n v="392"/>
    <x v="345"/>
    <x v="0"/>
  </r>
  <r>
    <x v="4"/>
    <x v="5"/>
    <x v="10"/>
    <n v="5031.3999999999996"/>
    <n v="401"/>
    <x v="346"/>
    <x v="0"/>
  </r>
  <r>
    <x v="4"/>
    <x v="5"/>
    <x v="10"/>
    <n v="4879.55"/>
    <n v="427"/>
    <x v="347"/>
    <x v="0"/>
  </r>
  <r>
    <x v="4"/>
    <x v="5"/>
    <x v="5"/>
    <n v="16401"/>
    <n v="179"/>
    <x v="348"/>
    <x v="0"/>
  </r>
  <r>
    <x v="4"/>
    <x v="5"/>
    <x v="5"/>
    <n v="16792.23"/>
    <n v="184"/>
    <x v="349"/>
    <x v="0"/>
  </r>
  <r>
    <x v="4"/>
    <x v="5"/>
    <x v="5"/>
    <n v="18936.88"/>
    <n v="180"/>
    <x v="350"/>
    <x v="0"/>
  </r>
  <r>
    <x v="4"/>
    <x v="5"/>
    <x v="20"/>
    <n v="3339"/>
    <n v="18"/>
    <x v="351"/>
    <x v="0"/>
  </r>
  <r>
    <x v="4"/>
    <x v="5"/>
    <x v="20"/>
    <n v="3496.41"/>
    <n v="18"/>
    <x v="352"/>
    <x v="0"/>
  </r>
  <r>
    <x v="4"/>
    <x v="5"/>
    <x v="20"/>
    <n v="3516.72"/>
    <n v="17"/>
    <x v="353"/>
    <x v="0"/>
  </r>
  <r>
    <x v="4"/>
    <x v="5"/>
    <x v="15"/>
    <n v="1274"/>
    <n v="244"/>
    <x v="96"/>
    <x v="0"/>
  </r>
  <r>
    <x v="4"/>
    <x v="5"/>
    <x v="15"/>
    <n v="1311.25"/>
    <n v="251"/>
    <x v="97"/>
    <x v="0"/>
  </r>
  <r>
    <x v="4"/>
    <x v="5"/>
    <x v="15"/>
    <n v="1413.64"/>
    <n v="261"/>
    <x v="98"/>
    <x v="0"/>
  </r>
  <r>
    <x v="4"/>
    <x v="5"/>
    <x v="13"/>
    <n v="9681"/>
    <n v="24"/>
    <x v="144"/>
    <x v="0"/>
  </r>
  <r>
    <x v="4"/>
    <x v="5"/>
    <x v="13"/>
    <n v="10898.19"/>
    <n v="24"/>
    <x v="145"/>
    <x v="0"/>
  </r>
  <r>
    <x v="4"/>
    <x v="5"/>
    <x v="13"/>
    <n v="10958.51"/>
    <n v="23"/>
    <x v="146"/>
    <x v="0"/>
  </r>
  <r>
    <x v="5"/>
    <x v="0"/>
    <x v="7"/>
    <n v="3136"/>
    <n v="125"/>
    <x v="150"/>
    <x v="0"/>
  </r>
  <r>
    <x v="5"/>
    <x v="0"/>
    <x v="7"/>
    <n v="3252.7"/>
    <n v="119"/>
    <x v="151"/>
    <x v="0"/>
  </r>
  <r>
    <x v="5"/>
    <x v="0"/>
    <x v="7"/>
    <n v="3609.76"/>
    <n v="122"/>
    <x v="152"/>
    <x v="0"/>
  </r>
  <r>
    <x v="5"/>
    <x v="0"/>
    <x v="9"/>
    <n v="8757"/>
    <n v="162"/>
    <x v="51"/>
    <x v="0"/>
  </r>
  <r>
    <x v="5"/>
    <x v="0"/>
    <x v="9"/>
    <n v="10033.52"/>
    <n v="163"/>
    <x v="52"/>
    <x v="0"/>
  </r>
  <r>
    <x v="5"/>
    <x v="0"/>
    <x v="9"/>
    <n v="9477.32"/>
    <n v="160"/>
    <x v="53"/>
    <x v="0"/>
  </r>
  <r>
    <x v="5"/>
    <x v="0"/>
    <x v="21"/>
    <n v="1470"/>
    <n v="167"/>
    <x v="21"/>
    <x v="0"/>
  </r>
  <r>
    <x v="5"/>
    <x v="0"/>
    <x v="21"/>
    <n v="1590.98"/>
    <n v="182"/>
    <x v="22"/>
    <x v="0"/>
  </r>
  <r>
    <x v="5"/>
    <x v="0"/>
    <x v="21"/>
    <n v="1572.79"/>
    <n v="176"/>
    <x v="23"/>
    <x v="0"/>
  </r>
  <r>
    <x v="5"/>
    <x v="0"/>
    <x v="10"/>
    <n v="4116"/>
    <n v="128"/>
    <x v="186"/>
    <x v="0"/>
  </r>
  <r>
    <x v="5"/>
    <x v="0"/>
    <x v="10"/>
    <n v="4248.34"/>
    <n v="130"/>
    <x v="187"/>
    <x v="0"/>
  </r>
  <r>
    <x v="5"/>
    <x v="0"/>
    <x v="10"/>
    <n v="4906.57"/>
    <n v="128"/>
    <x v="188"/>
    <x v="0"/>
  </r>
  <r>
    <x v="5"/>
    <x v="0"/>
    <x v="16"/>
    <n v="9660"/>
    <n v="92"/>
    <x v="174"/>
    <x v="0"/>
  </r>
  <r>
    <x v="5"/>
    <x v="0"/>
    <x v="16"/>
    <n v="10000.219999999999"/>
    <n v="98"/>
    <x v="175"/>
    <x v="0"/>
  </r>
  <r>
    <x v="5"/>
    <x v="0"/>
    <x v="16"/>
    <n v="10576.55"/>
    <n v="96"/>
    <x v="176"/>
    <x v="0"/>
  </r>
  <r>
    <x v="5"/>
    <x v="0"/>
    <x v="6"/>
    <n v="10199"/>
    <n v="68"/>
    <x v="354"/>
    <x v="0"/>
  </r>
  <r>
    <x v="5"/>
    <x v="0"/>
    <x v="6"/>
    <n v="10857.23"/>
    <n v="73"/>
    <x v="355"/>
    <x v="0"/>
  </r>
  <r>
    <x v="5"/>
    <x v="0"/>
    <x v="6"/>
    <n v="11767.94"/>
    <n v="68"/>
    <x v="356"/>
    <x v="0"/>
  </r>
  <r>
    <x v="5"/>
    <x v="0"/>
    <x v="12"/>
    <n v="7490"/>
    <n v="54"/>
    <x v="54"/>
    <x v="0"/>
  </r>
  <r>
    <x v="5"/>
    <x v="0"/>
    <x v="12"/>
    <n v="7794.8"/>
    <n v="54"/>
    <x v="55"/>
    <x v="0"/>
  </r>
  <r>
    <x v="5"/>
    <x v="0"/>
    <x v="12"/>
    <n v="9007.92"/>
    <n v="52"/>
    <x v="56"/>
    <x v="0"/>
  </r>
  <r>
    <x v="5"/>
    <x v="0"/>
    <x v="13"/>
    <n v="1043"/>
    <n v="202"/>
    <x v="66"/>
    <x v="0"/>
  </r>
  <r>
    <x v="5"/>
    <x v="0"/>
    <x v="13"/>
    <n v="1177.6400000000001"/>
    <n v="206"/>
    <x v="67"/>
    <x v="0"/>
  </r>
  <r>
    <x v="5"/>
    <x v="0"/>
    <x v="13"/>
    <n v="1103.54"/>
    <n v="195"/>
    <x v="68"/>
    <x v="0"/>
  </r>
  <r>
    <x v="5"/>
    <x v="1"/>
    <x v="3"/>
    <n v="7462"/>
    <n v="371"/>
    <x v="348"/>
    <x v="0"/>
  </r>
  <r>
    <x v="5"/>
    <x v="1"/>
    <x v="3"/>
    <n v="7968.23"/>
    <n v="373"/>
    <x v="349"/>
    <x v="0"/>
  </r>
  <r>
    <x v="5"/>
    <x v="1"/>
    <x v="3"/>
    <n v="8639.19"/>
    <n v="402"/>
    <x v="350"/>
    <x v="0"/>
  </r>
  <r>
    <x v="5"/>
    <x v="1"/>
    <x v="21"/>
    <n v="15547"/>
    <n v="269"/>
    <x v="84"/>
    <x v="0"/>
  </r>
  <r>
    <x v="5"/>
    <x v="1"/>
    <x v="21"/>
    <n v="16254.61"/>
    <n v="268"/>
    <x v="85"/>
    <x v="0"/>
  </r>
  <r>
    <x v="5"/>
    <x v="1"/>
    <x v="21"/>
    <n v="17490.080000000002"/>
    <n v="289"/>
    <x v="86"/>
    <x v="0"/>
  </r>
  <r>
    <x v="5"/>
    <x v="1"/>
    <x v="10"/>
    <n v="1876"/>
    <n v="172"/>
    <x v="315"/>
    <x v="0"/>
  </r>
  <r>
    <x v="5"/>
    <x v="1"/>
    <x v="10"/>
    <n v="2106.17"/>
    <n v="172"/>
    <x v="316"/>
    <x v="0"/>
  </r>
  <r>
    <x v="5"/>
    <x v="1"/>
    <x v="10"/>
    <n v="2048.58"/>
    <n v="170"/>
    <x v="317"/>
    <x v="0"/>
  </r>
  <r>
    <x v="5"/>
    <x v="1"/>
    <x v="11"/>
    <n v="574"/>
    <n v="217"/>
    <x v="357"/>
    <x v="0"/>
  </r>
  <r>
    <x v="5"/>
    <x v="1"/>
    <x v="11"/>
    <n v="593.63"/>
    <n v="229"/>
    <x v="358"/>
    <x v="0"/>
  </r>
  <r>
    <x v="5"/>
    <x v="1"/>
    <x v="11"/>
    <n v="616.09"/>
    <n v="238"/>
    <x v="359"/>
    <x v="0"/>
  </r>
  <r>
    <x v="5"/>
    <x v="1"/>
    <x v="12"/>
    <n v="9870"/>
    <n v="121"/>
    <x v="360"/>
    <x v="0"/>
  </r>
  <r>
    <x v="5"/>
    <x v="1"/>
    <x v="12"/>
    <n v="10369.709999999999"/>
    <n v="129"/>
    <x v="361"/>
    <x v="0"/>
  </r>
  <r>
    <x v="5"/>
    <x v="1"/>
    <x v="12"/>
    <n v="10723.86"/>
    <n v="125"/>
    <x v="362"/>
    <x v="0"/>
  </r>
  <r>
    <x v="5"/>
    <x v="1"/>
    <x v="15"/>
    <n v="5327"/>
    <n v="183"/>
    <x v="363"/>
    <x v="0"/>
  </r>
  <r>
    <x v="5"/>
    <x v="1"/>
    <x v="15"/>
    <n v="5859.21"/>
    <n v="193"/>
    <x v="364"/>
    <x v="0"/>
  </r>
  <r>
    <x v="5"/>
    <x v="1"/>
    <x v="15"/>
    <n v="6092.47"/>
    <n v="201"/>
    <x v="365"/>
    <x v="0"/>
  </r>
  <r>
    <x v="5"/>
    <x v="2"/>
    <x v="0"/>
    <n v="11298"/>
    <n v="313"/>
    <x v="231"/>
    <x v="0"/>
  </r>
  <r>
    <x v="5"/>
    <x v="2"/>
    <x v="0"/>
    <n v="12083.5"/>
    <n v="334"/>
    <x v="232"/>
    <x v="0"/>
  </r>
  <r>
    <x v="5"/>
    <x v="2"/>
    <x v="0"/>
    <n v="12584.46"/>
    <n v="328"/>
    <x v="233"/>
    <x v="0"/>
  </r>
  <r>
    <x v="5"/>
    <x v="2"/>
    <x v="17"/>
    <n v="455"/>
    <n v="96"/>
    <x v="39"/>
    <x v="0"/>
  </r>
  <r>
    <x v="5"/>
    <x v="2"/>
    <x v="17"/>
    <n v="503.97"/>
    <n v="105"/>
    <x v="40"/>
    <x v="0"/>
  </r>
  <r>
    <x v="5"/>
    <x v="2"/>
    <x v="17"/>
    <n v="536.74"/>
    <n v="102"/>
    <x v="41"/>
    <x v="0"/>
  </r>
  <r>
    <x v="5"/>
    <x v="2"/>
    <x v="2"/>
    <n v="11788"/>
    <n v="73"/>
    <x v="282"/>
    <x v="0"/>
  </r>
  <r>
    <x v="5"/>
    <x v="2"/>
    <x v="2"/>
    <n v="12124.05"/>
    <n v="80"/>
    <x v="283"/>
    <x v="0"/>
  </r>
  <r>
    <x v="5"/>
    <x v="2"/>
    <x v="2"/>
    <n v="13315.47"/>
    <n v="72"/>
    <x v="284"/>
    <x v="0"/>
  </r>
  <r>
    <x v="5"/>
    <x v="2"/>
    <x v="9"/>
    <n v="6839"/>
    <n v="56"/>
    <x v="300"/>
    <x v="0"/>
  </r>
  <r>
    <x v="5"/>
    <x v="2"/>
    <x v="9"/>
    <n v="7224.39"/>
    <n v="55"/>
    <x v="301"/>
    <x v="0"/>
  </r>
  <r>
    <x v="5"/>
    <x v="2"/>
    <x v="9"/>
    <n v="7437.55"/>
    <n v="54"/>
    <x v="302"/>
    <x v="0"/>
  </r>
  <r>
    <x v="5"/>
    <x v="2"/>
    <x v="21"/>
    <n v="9625"/>
    <n v="78"/>
    <x v="69"/>
    <x v="0"/>
  </r>
  <r>
    <x v="5"/>
    <x v="2"/>
    <x v="21"/>
    <n v="10669.09"/>
    <n v="85"/>
    <x v="70"/>
    <x v="0"/>
  </r>
  <r>
    <x v="5"/>
    <x v="2"/>
    <x v="21"/>
    <n v="10969"/>
    <n v="83"/>
    <x v="71"/>
    <x v="0"/>
  </r>
  <r>
    <x v="5"/>
    <x v="2"/>
    <x v="14"/>
    <n v="1190"/>
    <n v="256"/>
    <x v="39"/>
    <x v="0"/>
  </r>
  <r>
    <x v="5"/>
    <x v="2"/>
    <x v="14"/>
    <n v="1215.3"/>
    <n v="271"/>
    <x v="40"/>
    <x v="0"/>
  </r>
  <r>
    <x v="5"/>
    <x v="2"/>
    <x v="14"/>
    <n v="1412.6"/>
    <n v="278"/>
    <x v="41"/>
    <x v="0"/>
  </r>
  <r>
    <x v="5"/>
    <x v="2"/>
    <x v="11"/>
    <n v="16569"/>
    <n v="99"/>
    <x v="366"/>
    <x v="0"/>
  </r>
  <r>
    <x v="5"/>
    <x v="2"/>
    <x v="11"/>
    <n v="16717.259999999998"/>
    <n v="102"/>
    <x v="367"/>
    <x v="0"/>
  </r>
  <r>
    <x v="5"/>
    <x v="2"/>
    <x v="11"/>
    <n v="17903.7"/>
    <n v="107"/>
    <x v="368"/>
    <x v="0"/>
  </r>
  <r>
    <x v="5"/>
    <x v="2"/>
    <x v="6"/>
    <n v="22050"/>
    <n v="208"/>
    <x v="312"/>
    <x v="0"/>
  </r>
  <r>
    <x v="5"/>
    <x v="2"/>
    <x v="6"/>
    <n v="23251.68"/>
    <n v="210"/>
    <x v="313"/>
    <x v="0"/>
  </r>
  <r>
    <x v="5"/>
    <x v="2"/>
    <x v="6"/>
    <n v="26170.95"/>
    <n v="224"/>
    <x v="314"/>
    <x v="0"/>
  </r>
  <r>
    <x v="5"/>
    <x v="2"/>
    <x v="12"/>
    <n v="8043"/>
    <n v="18"/>
    <x v="240"/>
    <x v="0"/>
  </r>
  <r>
    <x v="5"/>
    <x v="2"/>
    <x v="12"/>
    <n v="8062"/>
    <n v="20"/>
    <x v="241"/>
    <x v="0"/>
  </r>
  <r>
    <x v="5"/>
    <x v="2"/>
    <x v="12"/>
    <n v="8503.93"/>
    <n v="19"/>
    <x v="242"/>
    <x v="0"/>
  </r>
  <r>
    <x v="5"/>
    <x v="2"/>
    <x v="15"/>
    <n v="10906"/>
    <n v="94"/>
    <x v="369"/>
    <x v="0"/>
  </r>
  <r>
    <x v="5"/>
    <x v="2"/>
    <x v="15"/>
    <n v="11010.43"/>
    <n v="103"/>
    <x v="370"/>
    <x v="0"/>
  </r>
  <r>
    <x v="5"/>
    <x v="2"/>
    <x v="15"/>
    <n v="12562.81"/>
    <n v="101"/>
    <x v="371"/>
    <x v="0"/>
  </r>
  <r>
    <x v="5"/>
    <x v="3"/>
    <x v="8"/>
    <n v="5705"/>
    <n v="350"/>
    <x v="153"/>
    <x v="0"/>
  </r>
  <r>
    <x v="5"/>
    <x v="3"/>
    <x v="8"/>
    <n v="5813.44"/>
    <n v="356"/>
    <x v="154"/>
    <x v="0"/>
  </r>
  <r>
    <x v="5"/>
    <x v="3"/>
    <x v="8"/>
    <n v="6651.11"/>
    <n v="377"/>
    <x v="155"/>
    <x v="0"/>
  </r>
  <r>
    <x v="5"/>
    <x v="3"/>
    <x v="9"/>
    <n v="7588"/>
    <n v="42"/>
    <x v="108"/>
    <x v="0"/>
  </r>
  <r>
    <x v="5"/>
    <x v="3"/>
    <x v="9"/>
    <n v="8184.37"/>
    <n v="43"/>
    <x v="109"/>
    <x v="0"/>
  </r>
  <r>
    <x v="5"/>
    <x v="3"/>
    <x v="9"/>
    <n v="8546.7199999999993"/>
    <n v="41"/>
    <x v="110"/>
    <x v="0"/>
  </r>
  <r>
    <x v="5"/>
    <x v="3"/>
    <x v="4"/>
    <n v="8302"/>
    <n v="131"/>
    <x v="39"/>
    <x v="0"/>
  </r>
  <r>
    <x v="5"/>
    <x v="3"/>
    <x v="4"/>
    <n v="9195.5300000000007"/>
    <n v="127"/>
    <x v="40"/>
    <x v="0"/>
  </r>
  <r>
    <x v="5"/>
    <x v="3"/>
    <x v="4"/>
    <n v="10009.51"/>
    <n v="144"/>
    <x v="41"/>
    <x v="0"/>
  </r>
  <r>
    <x v="5"/>
    <x v="3"/>
    <x v="10"/>
    <n v="490"/>
    <n v="49"/>
    <x v="339"/>
    <x v="0"/>
  </r>
  <r>
    <x v="5"/>
    <x v="3"/>
    <x v="10"/>
    <n v="543.20000000000005"/>
    <n v="54"/>
    <x v="340"/>
    <x v="0"/>
  </r>
  <r>
    <x v="5"/>
    <x v="3"/>
    <x v="10"/>
    <n v="564.14"/>
    <n v="50"/>
    <x v="341"/>
    <x v="0"/>
  </r>
  <r>
    <x v="5"/>
    <x v="3"/>
    <x v="18"/>
    <n v="4389"/>
    <n v="126"/>
    <x v="372"/>
    <x v="0"/>
  </r>
  <r>
    <x v="5"/>
    <x v="3"/>
    <x v="18"/>
    <n v="4474.5200000000004"/>
    <n v="120"/>
    <x v="373"/>
    <x v="0"/>
  </r>
  <r>
    <x v="5"/>
    <x v="3"/>
    <x v="18"/>
    <n v="5306.48"/>
    <n v="128"/>
    <x v="374"/>
    <x v="0"/>
  </r>
  <r>
    <x v="5"/>
    <x v="3"/>
    <x v="16"/>
    <n v="9058"/>
    <n v="229"/>
    <x v="60"/>
    <x v="0"/>
  </r>
  <r>
    <x v="5"/>
    <x v="3"/>
    <x v="16"/>
    <n v="9327.52"/>
    <n v="232"/>
    <x v="61"/>
    <x v="0"/>
  </r>
  <r>
    <x v="5"/>
    <x v="3"/>
    <x v="16"/>
    <n v="9471.7199999999993"/>
    <n v="248"/>
    <x v="62"/>
    <x v="0"/>
  </r>
  <r>
    <x v="5"/>
    <x v="3"/>
    <x v="11"/>
    <n v="7623"/>
    <n v="85"/>
    <x v="105"/>
    <x v="0"/>
  </r>
  <r>
    <x v="5"/>
    <x v="3"/>
    <x v="11"/>
    <n v="8047.16"/>
    <n v="86"/>
    <x v="106"/>
    <x v="0"/>
  </r>
  <r>
    <x v="5"/>
    <x v="3"/>
    <x v="11"/>
    <n v="8134.67"/>
    <n v="83"/>
    <x v="107"/>
    <x v="0"/>
  </r>
  <r>
    <x v="5"/>
    <x v="3"/>
    <x v="6"/>
    <n v="889"/>
    <n v="273"/>
    <x v="78"/>
    <x v="0"/>
  </r>
  <r>
    <x v="5"/>
    <x v="3"/>
    <x v="6"/>
    <n v="1024.77"/>
    <n v="260"/>
    <x v="79"/>
    <x v="0"/>
  </r>
  <r>
    <x v="5"/>
    <x v="3"/>
    <x v="6"/>
    <n v="1036.05"/>
    <n v="291"/>
    <x v="80"/>
    <x v="0"/>
  </r>
  <r>
    <x v="5"/>
    <x v="3"/>
    <x v="15"/>
    <n v="3556"/>
    <n v="18"/>
    <x v="45"/>
    <x v="0"/>
  </r>
  <r>
    <x v="5"/>
    <x v="3"/>
    <x v="15"/>
    <n v="4044.24"/>
    <n v="18"/>
    <x v="46"/>
    <x v="0"/>
  </r>
  <r>
    <x v="5"/>
    <x v="3"/>
    <x v="15"/>
    <n v="3873.98"/>
    <n v="19"/>
    <x v="47"/>
    <x v="0"/>
  </r>
  <r>
    <x v="5"/>
    <x v="4"/>
    <x v="1"/>
    <n v="14924"/>
    <n v="12"/>
    <x v="12"/>
    <x v="0"/>
  </r>
  <r>
    <x v="5"/>
    <x v="4"/>
    <x v="1"/>
    <n v="15944.86"/>
    <n v="11"/>
    <x v="13"/>
    <x v="0"/>
  </r>
  <r>
    <x v="5"/>
    <x v="4"/>
    <x v="1"/>
    <n v="17237.669999999998"/>
    <n v="13"/>
    <x v="14"/>
    <x v="0"/>
  </r>
  <r>
    <x v="5"/>
    <x v="4"/>
    <x v="9"/>
    <n v="2926"/>
    <n v="300"/>
    <x v="0"/>
    <x v="0"/>
  </r>
  <r>
    <x v="5"/>
    <x v="4"/>
    <x v="9"/>
    <n v="3032.3"/>
    <n v="313"/>
    <x v="1"/>
    <x v="0"/>
  </r>
  <r>
    <x v="5"/>
    <x v="4"/>
    <x v="9"/>
    <n v="3063.08"/>
    <n v="301"/>
    <x v="2"/>
    <x v="0"/>
  </r>
  <r>
    <x v="5"/>
    <x v="4"/>
    <x v="21"/>
    <n v="1687"/>
    <n v="236"/>
    <x v="90"/>
    <x v="0"/>
  </r>
  <r>
    <x v="5"/>
    <x v="4"/>
    <x v="21"/>
    <n v="1933.56"/>
    <n v="239"/>
    <x v="91"/>
    <x v="0"/>
  </r>
  <r>
    <x v="5"/>
    <x v="4"/>
    <x v="21"/>
    <n v="2012.27"/>
    <n v="259"/>
    <x v="92"/>
    <x v="0"/>
  </r>
  <r>
    <x v="5"/>
    <x v="4"/>
    <x v="5"/>
    <n v="4221"/>
    <n v="395"/>
    <x v="57"/>
    <x v="0"/>
  </r>
  <r>
    <x v="5"/>
    <x v="4"/>
    <x v="5"/>
    <n v="4854.12"/>
    <n v="411"/>
    <x v="58"/>
    <x v="0"/>
  </r>
  <r>
    <x v="5"/>
    <x v="4"/>
    <x v="5"/>
    <n v="4761.38"/>
    <n v="406"/>
    <x v="59"/>
    <x v="0"/>
  </r>
  <r>
    <x v="5"/>
    <x v="4"/>
    <x v="16"/>
    <n v="2688"/>
    <n v="209"/>
    <x v="21"/>
    <x v="0"/>
  </r>
  <r>
    <x v="5"/>
    <x v="4"/>
    <x v="16"/>
    <n v="3088.98"/>
    <n v="226"/>
    <x v="22"/>
    <x v="0"/>
  </r>
  <r>
    <x v="5"/>
    <x v="4"/>
    <x v="16"/>
    <n v="2984.4"/>
    <n v="214"/>
    <x v="23"/>
    <x v="0"/>
  </r>
  <r>
    <x v="5"/>
    <x v="4"/>
    <x v="14"/>
    <n v="14238"/>
    <n v="54"/>
    <x v="375"/>
    <x v="0"/>
  </r>
  <r>
    <x v="5"/>
    <x v="4"/>
    <x v="14"/>
    <n v="14953.83"/>
    <n v="53"/>
    <x v="376"/>
    <x v="0"/>
  </r>
  <r>
    <x v="5"/>
    <x v="4"/>
    <x v="14"/>
    <n v="15365.78"/>
    <n v="57"/>
    <x v="377"/>
    <x v="0"/>
  </r>
  <r>
    <x v="5"/>
    <x v="4"/>
    <x v="6"/>
    <n v="2156"/>
    <n v="260"/>
    <x v="231"/>
    <x v="0"/>
  </r>
  <r>
    <x v="5"/>
    <x v="4"/>
    <x v="6"/>
    <n v="2362.0100000000002"/>
    <n v="272"/>
    <x v="232"/>
    <x v="0"/>
  </r>
  <r>
    <x v="5"/>
    <x v="4"/>
    <x v="6"/>
    <n v="2348.1999999999998"/>
    <n v="266"/>
    <x v="233"/>
    <x v="0"/>
  </r>
  <r>
    <x v="5"/>
    <x v="4"/>
    <x v="12"/>
    <n v="5663"/>
    <n v="110"/>
    <x v="306"/>
    <x v="0"/>
  </r>
  <r>
    <x v="5"/>
    <x v="4"/>
    <x v="12"/>
    <n v="5828.22"/>
    <n v="121"/>
    <x v="307"/>
    <x v="0"/>
  </r>
  <r>
    <x v="5"/>
    <x v="4"/>
    <x v="12"/>
    <n v="6503.75"/>
    <n v="116"/>
    <x v="308"/>
    <x v="0"/>
  </r>
  <r>
    <x v="5"/>
    <x v="4"/>
    <x v="13"/>
    <n v="3269"/>
    <n v="226"/>
    <x v="27"/>
    <x v="0"/>
  </r>
  <r>
    <x v="5"/>
    <x v="4"/>
    <x v="13"/>
    <n v="3730.79"/>
    <n v="237"/>
    <x v="28"/>
    <x v="0"/>
  </r>
  <r>
    <x v="5"/>
    <x v="4"/>
    <x v="13"/>
    <n v="3814.56"/>
    <n v="220"/>
    <x v="29"/>
    <x v="0"/>
  </r>
  <r>
    <x v="5"/>
    <x v="5"/>
    <x v="7"/>
    <n v="4571"/>
    <n v="122"/>
    <x v="24"/>
    <x v="0"/>
  </r>
  <r>
    <x v="5"/>
    <x v="5"/>
    <x v="7"/>
    <n v="5054.42"/>
    <n v="127"/>
    <x v="25"/>
    <x v="0"/>
  </r>
  <r>
    <x v="5"/>
    <x v="5"/>
    <x v="7"/>
    <n v="4778.3599999999997"/>
    <n v="124"/>
    <x v="26"/>
    <x v="0"/>
  </r>
  <r>
    <x v="5"/>
    <x v="5"/>
    <x v="21"/>
    <n v="14525"/>
    <n v="92"/>
    <x v="36"/>
    <x v="0"/>
  </r>
  <r>
    <x v="5"/>
    <x v="5"/>
    <x v="21"/>
    <n v="16240.71"/>
    <n v="93"/>
    <x v="37"/>
    <x v="0"/>
  </r>
  <r>
    <x v="5"/>
    <x v="5"/>
    <x v="21"/>
    <n v="15629.82"/>
    <n v="89"/>
    <x v="38"/>
    <x v="0"/>
  </r>
  <r>
    <x v="5"/>
    <x v="5"/>
    <x v="18"/>
    <n v="2408"/>
    <n v="157"/>
    <x v="33"/>
    <x v="0"/>
  </r>
  <r>
    <x v="5"/>
    <x v="5"/>
    <x v="18"/>
    <n v="2444.25"/>
    <n v="155"/>
    <x v="34"/>
    <x v="0"/>
  </r>
  <r>
    <x v="5"/>
    <x v="5"/>
    <x v="18"/>
    <n v="2770.47"/>
    <n v="159"/>
    <x v="35"/>
    <x v="0"/>
  </r>
  <r>
    <x v="5"/>
    <x v="5"/>
    <x v="14"/>
    <n v="1743"/>
    <n v="69"/>
    <x v="345"/>
    <x v="0"/>
  </r>
  <r>
    <x v="5"/>
    <x v="5"/>
    <x v="14"/>
    <n v="1835.22"/>
    <n v="73"/>
    <x v="346"/>
    <x v="0"/>
  </r>
  <r>
    <x v="5"/>
    <x v="5"/>
    <x v="14"/>
    <n v="1860.29"/>
    <n v="71"/>
    <x v="347"/>
    <x v="0"/>
  </r>
  <r>
    <x v="5"/>
    <x v="5"/>
    <x v="11"/>
    <n v="7721"/>
    <n v="14"/>
    <x v="261"/>
    <x v="0"/>
  </r>
  <r>
    <x v="5"/>
    <x v="5"/>
    <x v="11"/>
    <n v="7874.15"/>
    <n v="13"/>
    <x v="262"/>
    <x v="0"/>
  </r>
  <r>
    <x v="5"/>
    <x v="5"/>
    <x v="11"/>
    <n v="8754.31"/>
    <n v="14"/>
    <x v="263"/>
    <x v="0"/>
  </r>
  <r>
    <x v="5"/>
    <x v="5"/>
    <x v="13"/>
    <n v="5271"/>
    <n v="341"/>
    <x v="96"/>
    <x v="0"/>
  </r>
  <r>
    <x v="5"/>
    <x v="5"/>
    <x v="13"/>
    <n v="6068.19"/>
    <n v="349"/>
    <x v="97"/>
    <x v="0"/>
  </r>
  <r>
    <x v="5"/>
    <x v="5"/>
    <x v="13"/>
    <n v="6321.35"/>
    <n v="325"/>
    <x v="98"/>
    <x v="0"/>
  </r>
  <r>
    <x v="6"/>
    <x v="0"/>
    <x v="0"/>
    <n v="504"/>
    <n v="232"/>
    <x v="378"/>
    <x v="0"/>
  </r>
  <r>
    <x v="6"/>
    <x v="0"/>
    <x v="0"/>
    <n v="547.85"/>
    <n v="221"/>
    <x v="379"/>
    <x v="0"/>
  </r>
  <r>
    <x v="6"/>
    <x v="0"/>
    <x v="0"/>
    <n v="603.97"/>
    <n v="239"/>
    <x v="380"/>
    <x v="0"/>
  </r>
  <r>
    <x v="6"/>
    <x v="0"/>
    <x v="17"/>
    <n v="4676"/>
    <n v="84"/>
    <x v="117"/>
    <x v="0"/>
  </r>
  <r>
    <x v="6"/>
    <x v="0"/>
    <x v="17"/>
    <n v="5363.69"/>
    <n v="87"/>
    <x v="118"/>
    <x v="0"/>
  </r>
  <r>
    <x v="6"/>
    <x v="0"/>
    <x v="17"/>
    <n v="5196.97"/>
    <n v="87"/>
    <x v="119"/>
    <x v="0"/>
  </r>
  <r>
    <x v="6"/>
    <x v="0"/>
    <x v="8"/>
    <n v="63"/>
    <n v="105"/>
    <x v="30"/>
    <x v="1"/>
  </r>
  <r>
    <x v="6"/>
    <x v="0"/>
    <x v="8"/>
    <n v="63.71"/>
    <n v="109"/>
    <x v="31"/>
    <x v="1"/>
  </r>
  <r>
    <x v="6"/>
    <x v="0"/>
    <x v="8"/>
    <n v="71.989999999999995"/>
    <n v="101"/>
    <x v="32"/>
    <x v="1"/>
  </r>
  <r>
    <x v="6"/>
    <x v="0"/>
    <x v="2"/>
    <n v="2912"/>
    <n v="75"/>
    <x v="381"/>
    <x v="0"/>
  </r>
  <r>
    <x v="6"/>
    <x v="0"/>
    <x v="2"/>
    <n v="3019.09"/>
    <n v="78"/>
    <x v="382"/>
    <x v="0"/>
  </r>
  <r>
    <x v="6"/>
    <x v="0"/>
    <x v="2"/>
    <n v="3136.53"/>
    <n v="74"/>
    <x v="383"/>
    <x v="0"/>
  </r>
  <r>
    <x v="6"/>
    <x v="0"/>
    <x v="9"/>
    <n v="9114"/>
    <n v="140"/>
    <x v="45"/>
    <x v="0"/>
  </r>
  <r>
    <x v="6"/>
    <x v="0"/>
    <x v="9"/>
    <n v="10281.51"/>
    <n v="136"/>
    <x v="46"/>
    <x v="0"/>
  </r>
  <r>
    <x v="6"/>
    <x v="0"/>
    <x v="9"/>
    <n v="10219.39"/>
    <n v="139"/>
    <x v="47"/>
    <x v="0"/>
  </r>
  <r>
    <x v="6"/>
    <x v="0"/>
    <x v="10"/>
    <n v="5796"/>
    <n v="55"/>
    <x v="384"/>
    <x v="0"/>
  </r>
  <r>
    <x v="6"/>
    <x v="0"/>
    <x v="10"/>
    <n v="6549.62"/>
    <n v="53"/>
    <x v="385"/>
    <x v="0"/>
  </r>
  <r>
    <x v="6"/>
    <x v="0"/>
    <x v="10"/>
    <n v="6974.95"/>
    <n v="58"/>
    <x v="386"/>
    <x v="0"/>
  </r>
  <r>
    <x v="6"/>
    <x v="0"/>
    <x v="18"/>
    <n v="6979"/>
    <n v="18"/>
    <x v="45"/>
    <x v="0"/>
  </r>
  <r>
    <x v="6"/>
    <x v="0"/>
    <x v="18"/>
    <n v="7703.62"/>
    <n v="20"/>
    <x v="46"/>
    <x v="0"/>
  </r>
  <r>
    <x v="6"/>
    <x v="0"/>
    <x v="18"/>
    <n v="7467.12"/>
    <n v="18"/>
    <x v="47"/>
    <x v="0"/>
  </r>
  <r>
    <x v="6"/>
    <x v="0"/>
    <x v="14"/>
    <n v="854"/>
    <n v="136"/>
    <x v="303"/>
    <x v="0"/>
  </r>
  <r>
    <x v="6"/>
    <x v="0"/>
    <x v="14"/>
    <n v="909.93"/>
    <n v="132"/>
    <x v="304"/>
    <x v="0"/>
  </r>
  <r>
    <x v="6"/>
    <x v="0"/>
    <x v="14"/>
    <n v="917.35"/>
    <n v="140"/>
    <x v="305"/>
    <x v="0"/>
  </r>
  <r>
    <x v="6"/>
    <x v="0"/>
    <x v="11"/>
    <n v="3472"/>
    <n v="311"/>
    <x v="12"/>
    <x v="0"/>
  </r>
  <r>
    <x v="6"/>
    <x v="0"/>
    <x v="11"/>
    <n v="4008.93"/>
    <n v="301"/>
    <x v="13"/>
    <x v="0"/>
  </r>
  <r>
    <x v="6"/>
    <x v="0"/>
    <x v="11"/>
    <n v="3717.35"/>
    <n v="322"/>
    <x v="14"/>
    <x v="0"/>
  </r>
  <r>
    <x v="6"/>
    <x v="1"/>
    <x v="7"/>
    <n v="2303"/>
    <n v="7"/>
    <x v="48"/>
    <x v="0"/>
  </r>
  <r>
    <x v="6"/>
    <x v="1"/>
    <x v="7"/>
    <n v="2413.87"/>
    <n v="7"/>
    <x v="49"/>
    <x v="0"/>
  </r>
  <r>
    <x v="6"/>
    <x v="1"/>
    <x v="7"/>
    <n v="2504.9"/>
    <n v="7"/>
    <x v="50"/>
    <x v="0"/>
  </r>
  <r>
    <x v="6"/>
    <x v="1"/>
    <x v="17"/>
    <n v="12586"/>
    <n v="7"/>
    <x v="180"/>
    <x v="0"/>
  </r>
  <r>
    <x v="6"/>
    <x v="1"/>
    <x v="17"/>
    <n v="13232.74"/>
    <n v="7"/>
    <x v="181"/>
    <x v="0"/>
  </r>
  <r>
    <x v="6"/>
    <x v="1"/>
    <x v="17"/>
    <n v="14990.79"/>
    <n v="7"/>
    <x v="182"/>
    <x v="0"/>
  </r>
  <r>
    <x v="6"/>
    <x v="1"/>
    <x v="2"/>
    <n v="4865"/>
    <n v="70"/>
    <x v="246"/>
    <x v="0"/>
  </r>
  <r>
    <x v="6"/>
    <x v="1"/>
    <x v="2"/>
    <n v="5148.7"/>
    <n v="76"/>
    <x v="247"/>
    <x v="0"/>
  </r>
  <r>
    <x v="6"/>
    <x v="1"/>
    <x v="2"/>
    <n v="5879.1"/>
    <n v="75"/>
    <x v="248"/>
    <x v="0"/>
  </r>
  <r>
    <x v="6"/>
    <x v="1"/>
    <x v="21"/>
    <n v="5859"/>
    <n v="7"/>
    <x v="144"/>
    <x v="0"/>
  </r>
  <r>
    <x v="6"/>
    <x v="1"/>
    <x v="21"/>
    <n v="5895.88"/>
    <n v="7"/>
    <x v="145"/>
    <x v="0"/>
  </r>
  <r>
    <x v="6"/>
    <x v="1"/>
    <x v="21"/>
    <n v="6997.57"/>
    <n v="7"/>
    <x v="146"/>
    <x v="0"/>
  </r>
  <r>
    <x v="6"/>
    <x v="1"/>
    <x v="10"/>
    <n v="721"/>
    <n v="203"/>
    <x v="228"/>
    <x v="0"/>
  </r>
  <r>
    <x v="6"/>
    <x v="1"/>
    <x v="10"/>
    <n v="740.07"/>
    <n v="205"/>
    <x v="229"/>
    <x v="0"/>
  </r>
  <r>
    <x v="6"/>
    <x v="1"/>
    <x v="10"/>
    <n v="857.34"/>
    <n v="197"/>
    <x v="230"/>
    <x v="0"/>
  </r>
  <r>
    <x v="6"/>
    <x v="1"/>
    <x v="19"/>
    <n v="4193"/>
    <n v="195"/>
    <x v="339"/>
    <x v="0"/>
  </r>
  <r>
    <x v="6"/>
    <x v="1"/>
    <x v="19"/>
    <n v="4382.07"/>
    <n v="210"/>
    <x v="340"/>
    <x v="0"/>
  </r>
  <r>
    <x v="6"/>
    <x v="1"/>
    <x v="19"/>
    <n v="4712.55"/>
    <n v="211"/>
    <x v="341"/>
    <x v="0"/>
  </r>
  <r>
    <x v="6"/>
    <x v="1"/>
    <x v="11"/>
    <n v="791"/>
    <n v="22"/>
    <x v="297"/>
    <x v="0"/>
  </r>
  <r>
    <x v="6"/>
    <x v="1"/>
    <x v="11"/>
    <n v="897.3"/>
    <n v="21"/>
    <x v="298"/>
    <x v="0"/>
  </r>
  <r>
    <x v="6"/>
    <x v="1"/>
    <x v="11"/>
    <n v="897.13"/>
    <n v="24"/>
    <x v="299"/>
    <x v="0"/>
  </r>
  <r>
    <x v="6"/>
    <x v="1"/>
    <x v="6"/>
    <n v="4935"/>
    <n v="63"/>
    <x v="243"/>
    <x v="0"/>
  </r>
  <r>
    <x v="6"/>
    <x v="1"/>
    <x v="6"/>
    <n v="5646.99"/>
    <n v="64"/>
    <x v="244"/>
    <x v="0"/>
  </r>
  <r>
    <x v="6"/>
    <x v="1"/>
    <x v="6"/>
    <n v="5605.82"/>
    <n v="64"/>
    <x v="245"/>
    <x v="0"/>
  </r>
  <r>
    <x v="6"/>
    <x v="1"/>
    <x v="12"/>
    <n v="2660"/>
    <n v="12"/>
    <x v="309"/>
    <x v="0"/>
  </r>
  <r>
    <x v="6"/>
    <x v="1"/>
    <x v="12"/>
    <n v="3047.18"/>
    <n v="12"/>
    <x v="310"/>
    <x v="0"/>
  </r>
  <r>
    <x v="6"/>
    <x v="1"/>
    <x v="12"/>
    <n v="2901.91"/>
    <n v="12"/>
    <x v="311"/>
    <x v="0"/>
  </r>
  <r>
    <x v="6"/>
    <x v="1"/>
    <x v="15"/>
    <n v="854"/>
    <n v="118"/>
    <x v="288"/>
    <x v="0"/>
  </r>
  <r>
    <x v="6"/>
    <x v="1"/>
    <x v="15"/>
    <n v="933.45"/>
    <n v="122"/>
    <x v="289"/>
    <x v="0"/>
  </r>
  <r>
    <x v="6"/>
    <x v="1"/>
    <x v="15"/>
    <n v="911.46"/>
    <n v="126"/>
    <x v="290"/>
    <x v="0"/>
  </r>
  <r>
    <x v="6"/>
    <x v="2"/>
    <x v="7"/>
    <n v="2282"/>
    <n v="44"/>
    <x v="186"/>
    <x v="0"/>
  </r>
  <r>
    <x v="6"/>
    <x v="2"/>
    <x v="7"/>
    <n v="2393.79"/>
    <n v="48"/>
    <x v="187"/>
    <x v="0"/>
  </r>
  <r>
    <x v="6"/>
    <x v="2"/>
    <x v="7"/>
    <n v="2453.44"/>
    <n v="43"/>
    <x v="188"/>
    <x v="0"/>
  </r>
  <r>
    <x v="6"/>
    <x v="2"/>
    <x v="1"/>
    <n v="273"/>
    <n v="402"/>
    <x v="60"/>
    <x v="0"/>
  </r>
  <r>
    <x v="6"/>
    <x v="2"/>
    <x v="1"/>
    <n v="298.33999999999997"/>
    <n v="399"/>
    <x v="61"/>
    <x v="0"/>
  </r>
  <r>
    <x v="6"/>
    <x v="2"/>
    <x v="1"/>
    <n v="308.24"/>
    <n v="402"/>
    <x v="62"/>
    <x v="0"/>
  </r>
  <r>
    <x v="6"/>
    <x v="2"/>
    <x v="19"/>
    <n v="5243"/>
    <n v="176"/>
    <x v="180"/>
    <x v="0"/>
  </r>
  <r>
    <x v="6"/>
    <x v="2"/>
    <x v="19"/>
    <n v="5806.11"/>
    <n v="190"/>
    <x v="181"/>
    <x v="0"/>
  </r>
  <r>
    <x v="6"/>
    <x v="2"/>
    <x v="19"/>
    <n v="5693.6"/>
    <n v="177"/>
    <x v="182"/>
    <x v="0"/>
  </r>
  <r>
    <x v="6"/>
    <x v="2"/>
    <x v="5"/>
    <n v="1547"/>
    <n v="170"/>
    <x v="93"/>
    <x v="0"/>
  </r>
  <r>
    <x v="6"/>
    <x v="2"/>
    <x v="5"/>
    <n v="1683.88"/>
    <n v="169"/>
    <x v="94"/>
    <x v="0"/>
  </r>
  <r>
    <x v="6"/>
    <x v="2"/>
    <x v="5"/>
    <n v="1844.54"/>
    <n v="185"/>
    <x v="95"/>
    <x v="0"/>
  </r>
  <r>
    <x v="6"/>
    <x v="2"/>
    <x v="18"/>
    <n v="3437"/>
    <n v="201"/>
    <x v="69"/>
    <x v="0"/>
  </r>
  <r>
    <x v="6"/>
    <x v="2"/>
    <x v="18"/>
    <n v="3902.04"/>
    <n v="214"/>
    <x v="70"/>
    <x v="0"/>
  </r>
  <r>
    <x v="6"/>
    <x v="2"/>
    <x v="18"/>
    <n v="3658.27"/>
    <n v="210"/>
    <x v="71"/>
    <x v="0"/>
  </r>
  <r>
    <x v="6"/>
    <x v="2"/>
    <x v="16"/>
    <n v="8155"/>
    <n v="96"/>
    <x v="321"/>
    <x v="0"/>
  </r>
  <r>
    <x v="6"/>
    <x v="2"/>
    <x v="16"/>
    <n v="8447.48"/>
    <n v="96"/>
    <x v="322"/>
    <x v="0"/>
  </r>
  <r>
    <x v="6"/>
    <x v="2"/>
    <x v="16"/>
    <n v="9813.42"/>
    <n v="100"/>
    <x v="323"/>
    <x v="0"/>
  </r>
  <r>
    <x v="6"/>
    <x v="2"/>
    <x v="12"/>
    <n v="19327"/>
    <n v="135"/>
    <x v="159"/>
    <x v="0"/>
  </r>
  <r>
    <x v="6"/>
    <x v="2"/>
    <x v="12"/>
    <n v="19283.64"/>
    <n v="139"/>
    <x v="160"/>
    <x v="0"/>
  </r>
  <r>
    <x v="6"/>
    <x v="2"/>
    <x v="12"/>
    <n v="22717.09"/>
    <n v="143"/>
    <x v="161"/>
    <x v="0"/>
  </r>
  <r>
    <x v="6"/>
    <x v="2"/>
    <x v="15"/>
    <n v="161"/>
    <n v="134"/>
    <x v="81"/>
    <x v="0"/>
  </r>
  <r>
    <x v="6"/>
    <x v="2"/>
    <x v="15"/>
    <n v="167.33"/>
    <n v="143"/>
    <x v="82"/>
    <x v="0"/>
  </r>
  <r>
    <x v="6"/>
    <x v="2"/>
    <x v="15"/>
    <n v="189.34"/>
    <n v="140"/>
    <x v="83"/>
    <x v="0"/>
  </r>
  <r>
    <x v="6"/>
    <x v="2"/>
    <x v="13"/>
    <n v="7154"/>
    <n v="342"/>
    <x v="123"/>
    <x v="0"/>
  </r>
  <r>
    <x v="6"/>
    <x v="2"/>
    <x v="13"/>
    <n v="7887.15"/>
    <n v="335"/>
    <x v="124"/>
    <x v="0"/>
  </r>
  <r>
    <x v="6"/>
    <x v="2"/>
    <x v="13"/>
    <n v="7666.62"/>
    <n v="347"/>
    <x v="125"/>
    <x v="0"/>
  </r>
  <r>
    <x v="6"/>
    <x v="3"/>
    <x v="0"/>
    <n v="9765"/>
    <n v="85"/>
    <x v="312"/>
    <x v="0"/>
  </r>
  <r>
    <x v="6"/>
    <x v="3"/>
    <x v="0"/>
    <n v="10791.46"/>
    <n v="88"/>
    <x v="313"/>
    <x v="0"/>
  </r>
  <r>
    <x v="6"/>
    <x v="3"/>
    <x v="0"/>
    <n v="11226.14"/>
    <n v="84"/>
    <x v="314"/>
    <x v="0"/>
  </r>
  <r>
    <x v="6"/>
    <x v="3"/>
    <x v="1"/>
    <n v="5404"/>
    <n v="187"/>
    <x v="99"/>
    <x v="0"/>
  </r>
  <r>
    <x v="6"/>
    <x v="3"/>
    <x v="1"/>
    <n v="5936.81"/>
    <n v="180"/>
    <x v="100"/>
    <x v="0"/>
  </r>
  <r>
    <x v="6"/>
    <x v="3"/>
    <x v="1"/>
    <n v="5798.43"/>
    <n v="206"/>
    <x v="101"/>
    <x v="0"/>
  </r>
  <r>
    <x v="6"/>
    <x v="3"/>
    <x v="8"/>
    <n v="7959"/>
    <n v="30"/>
    <x v="69"/>
    <x v="0"/>
  </r>
  <r>
    <x v="6"/>
    <x v="3"/>
    <x v="8"/>
    <n v="7944.07"/>
    <n v="33"/>
    <x v="70"/>
    <x v="0"/>
  </r>
  <r>
    <x v="6"/>
    <x v="3"/>
    <x v="8"/>
    <n v="8416.7999999999993"/>
    <n v="29"/>
    <x v="71"/>
    <x v="0"/>
  </r>
  <r>
    <x v="6"/>
    <x v="3"/>
    <x v="16"/>
    <n v="3220"/>
    <n v="265"/>
    <x v="207"/>
    <x v="0"/>
  </r>
  <r>
    <x v="6"/>
    <x v="3"/>
    <x v="16"/>
    <n v="3691.63"/>
    <n v="284"/>
    <x v="208"/>
    <x v="0"/>
  </r>
  <r>
    <x v="6"/>
    <x v="3"/>
    <x v="16"/>
    <n v="3703.51"/>
    <n v="260"/>
    <x v="209"/>
    <x v="0"/>
  </r>
  <r>
    <x v="6"/>
    <x v="3"/>
    <x v="6"/>
    <n v="1533"/>
    <n v="434"/>
    <x v="387"/>
    <x v="0"/>
  </r>
  <r>
    <x v="6"/>
    <x v="3"/>
    <x v="6"/>
    <n v="1637.72"/>
    <n v="454"/>
    <x v="388"/>
    <x v="0"/>
  </r>
  <r>
    <x v="6"/>
    <x v="3"/>
    <x v="6"/>
    <n v="1684.28"/>
    <n v="419"/>
    <x v="389"/>
    <x v="0"/>
  </r>
  <r>
    <x v="6"/>
    <x v="3"/>
    <x v="15"/>
    <n v="4074"/>
    <n v="469"/>
    <x v="315"/>
    <x v="0"/>
  </r>
  <r>
    <x v="6"/>
    <x v="3"/>
    <x v="15"/>
    <n v="4153.59"/>
    <n v="513"/>
    <x v="316"/>
    <x v="0"/>
  </r>
  <r>
    <x v="6"/>
    <x v="3"/>
    <x v="15"/>
    <n v="4651.03"/>
    <n v="494"/>
    <x v="317"/>
    <x v="0"/>
  </r>
  <r>
    <x v="6"/>
    <x v="4"/>
    <x v="0"/>
    <n v="3374"/>
    <n v="142"/>
    <x v="366"/>
    <x v="0"/>
  </r>
  <r>
    <x v="6"/>
    <x v="4"/>
    <x v="0"/>
    <n v="3442.99"/>
    <n v="142"/>
    <x v="367"/>
    <x v="0"/>
  </r>
  <r>
    <x v="6"/>
    <x v="4"/>
    <x v="0"/>
    <n v="3572.26"/>
    <n v="156"/>
    <x v="368"/>
    <x v="0"/>
  </r>
  <r>
    <x v="6"/>
    <x v="4"/>
    <x v="1"/>
    <n v="1085"/>
    <n v="172"/>
    <x v="390"/>
    <x v="0"/>
  </r>
  <r>
    <x v="6"/>
    <x v="4"/>
    <x v="1"/>
    <n v="1131.25"/>
    <n v="175"/>
    <x v="391"/>
    <x v="0"/>
  </r>
  <r>
    <x v="6"/>
    <x v="4"/>
    <x v="1"/>
    <n v="1206.95"/>
    <n v="174"/>
    <x v="392"/>
    <x v="0"/>
  </r>
  <r>
    <x v="6"/>
    <x v="4"/>
    <x v="4"/>
    <n v="455"/>
    <n v="174"/>
    <x v="303"/>
    <x v="0"/>
  </r>
  <r>
    <x v="6"/>
    <x v="4"/>
    <x v="4"/>
    <n v="460.98"/>
    <n v="182"/>
    <x v="304"/>
    <x v="0"/>
  </r>
  <r>
    <x v="6"/>
    <x v="4"/>
    <x v="4"/>
    <n v="494.27"/>
    <n v="186"/>
    <x v="305"/>
    <x v="0"/>
  </r>
  <r>
    <x v="6"/>
    <x v="4"/>
    <x v="19"/>
    <n v="10927"/>
    <n v="136"/>
    <x v="393"/>
    <x v="0"/>
  </r>
  <r>
    <x v="6"/>
    <x v="4"/>
    <x v="19"/>
    <n v="11688.75"/>
    <n v="136"/>
    <x v="394"/>
    <x v="0"/>
  </r>
  <r>
    <x v="6"/>
    <x v="4"/>
    <x v="19"/>
    <n v="12197.19"/>
    <n v="135"/>
    <x v="395"/>
    <x v="0"/>
  </r>
  <r>
    <x v="6"/>
    <x v="4"/>
    <x v="5"/>
    <n v="1666"/>
    <n v="106"/>
    <x v="396"/>
    <x v="0"/>
  </r>
  <r>
    <x v="6"/>
    <x v="4"/>
    <x v="5"/>
    <n v="1710.48"/>
    <n v="108"/>
    <x v="397"/>
    <x v="0"/>
  </r>
  <r>
    <x v="6"/>
    <x v="4"/>
    <x v="5"/>
    <n v="1969.62"/>
    <n v="114"/>
    <x v="398"/>
    <x v="0"/>
  </r>
  <r>
    <x v="6"/>
    <x v="4"/>
    <x v="6"/>
    <n v="15008"/>
    <n v="165"/>
    <x v="399"/>
    <x v="0"/>
  </r>
  <r>
    <x v="6"/>
    <x v="4"/>
    <x v="6"/>
    <n v="15653.44"/>
    <n v="175"/>
    <x v="400"/>
    <x v="0"/>
  </r>
  <r>
    <x v="6"/>
    <x v="4"/>
    <x v="6"/>
    <n v="16460.650000000001"/>
    <n v="171"/>
    <x v="401"/>
    <x v="0"/>
  </r>
  <r>
    <x v="6"/>
    <x v="4"/>
    <x v="13"/>
    <n v="1540"/>
    <n v="73"/>
    <x v="402"/>
    <x v="0"/>
  </r>
  <r>
    <x v="6"/>
    <x v="4"/>
    <x v="13"/>
    <n v="1775.18"/>
    <n v="73"/>
    <x v="403"/>
    <x v="0"/>
  </r>
  <r>
    <x v="6"/>
    <x v="4"/>
    <x v="13"/>
    <n v="1634.54"/>
    <n v="70"/>
    <x v="404"/>
    <x v="0"/>
  </r>
  <r>
    <x v="6"/>
    <x v="5"/>
    <x v="8"/>
    <n v="14147"/>
    <n v="235"/>
    <x v="282"/>
    <x v="0"/>
  </r>
  <r>
    <x v="6"/>
    <x v="5"/>
    <x v="8"/>
    <n v="15728.81"/>
    <n v="256"/>
    <x v="283"/>
    <x v="0"/>
  </r>
  <r>
    <x v="6"/>
    <x v="5"/>
    <x v="8"/>
    <n v="14885.97"/>
    <n v="248"/>
    <x v="284"/>
    <x v="0"/>
  </r>
  <r>
    <x v="6"/>
    <x v="5"/>
    <x v="4"/>
    <n v="5187"/>
    <n v="142"/>
    <x v="396"/>
    <x v="0"/>
  </r>
  <r>
    <x v="6"/>
    <x v="5"/>
    <x v="4"/>
    <n v="5378.09"/>
    <n v="142"/>
    <x v="397"/>
    <x v="0"/>
  </r>
  <r>
    <x v="6"/>
    <x v="5"/>
    <x v="4"/>
    <n v="6170.75"/>
    <n v="149"/>
    <x v="398"/>
    <x v="0"/>
  </r>
  <r>
    <x v="6"/>
    <x v="5"/>
    <x v="16"/>
    <n v="4802"/>
    <n v="296"/>
    <x v="84"/>
    <x v="0"/>
  </r>
  <r>
    <x v="6"/>
    <x v="5"/>
    <x v="16"/>
    <n v="5188.8900000000003"/>
    <n v="293"/>
    <x v="85"/>
    <x v="0"/>
  </r>
  <r>
    <x v="6"/>
    <x v="5"/>
    <x v="16"/>
    <n v="5679.57"/>
    <n v="285"/>
    <x v="86"/>
    <x v="0"/>
  </r>
  <r>
    <x v="6"/>
    <x v="5"/>
    <x v="20"/>
    <n v="2996"/>
    <n v="139"/>
    <x v="387"/>
    <x v="0"/>
  </r>
  <r>
    <x v="6"/>
    <x v="5"/>
    <x v="20"/>
    <n v="3086.89"/>
    <n v="153"/>
    <x v="388"/>
    <x v="0"/>
  </r>
  <r>
    <x v="6"/>
    <x v="5"/>
    <x v="20"/>
    <n v="3151.23"/>
    <n v="144"/>
    <x v="389"/>
    <x v="0"/>
  </r>
  <r>
    <x v="6"/>
    <x v="5"/>
    <x v="15"/>
    <n v="1603"/>
    <n v="264"/>
    <x v="306"/>
    <x v="0"/>
  </r>
  <r>
    <x v="6"/>
    <x v="5"/>
    <x v="15"/>
    <n v="1788.1"/>
    <n v="271"/>
    <x v="307"/>
    <x v="0"/>
  </r>
  <r>
    <x v="6"/>
    <x v="5"/>
    <x v="15"/>
    <n v="1679.89"/>
    <n v="287"/>
    <x v="308"/>
    <x v="0"/>
  </r>
  <r>
    <x v="7"/>
    <x v="0"/>
    <x v="0"/>
    <n v="7287"/>
    <n v="12"/>
    <x v="405"/>
    <x v="0"/>
  </r>
  <r>
    <x v="7"/>
    <x v="0"/>
    <x v="0"/>
    <n v="7374.26"/>
    <n v="12"/>
    <x v="406"/>
    <x v="0"/>
  </r>
  <r>
    <x v="7"/>
    <x v="0"/>
    <x v="0"/>
    <n v="7618.91"/>
    <n v="12"/>
    <x v="407"/>
    <x v="0"/>
  </r>
  <r>
    <x v="7"/>
    <x v="0"/>
    <x v="7"/>
    <n v="5859"/>
    <n v="108"/>
    <x v="396"/>
    <x v="0"/>
  </r>
  <r>
    <x v="7"/>
    <x v="0"/>
    <x v="7"/>
    <n v="6087.53"/>
    <n v="113"/>
    <x v="397"/>
    <x v="0"/>
  </r>
  <r>
    <x v="7"/>
    <x v="0"/>
    <x v="7"/>
    <n v="6166.8"/>
    <n v="114"/>
    <x v="398"/>
    <x v="0"/>
  </r>
  <r>
    <x v="7"/>
    <x v="0"/>
    <x v="1"/>
    <n v="6881"/>
    <n v="420"/>
    <x v="69"/>
    <x v="0"/>
  </r>
  <r>
    <x v="7"/>
    <x v="0"/>
    <x v="1"/>
    <n v="7807.02"/>
    <n v="419"/>
    <x v="70"/>
    <x v="0"/>
  </r>
  <r>
    <x v="7"/>
    <x v="0"/>
    <x v="1"/>
    <n v="8278.86"/>
    <n v="453"/>
    <x v="71"/>
    <x v="0"/>
  </r>
  <r>
    <x v="7"/>
    <x v="0"/>
    <x v="17"/>
    <n v="2758"/>
    <n v="18"/>
    <x v="48"/>
    <x v="0"/>
  </r>
  <r>
    <x v="7"/>
    <x v="0"/>
    <x v="17"/>
    <n v="3017.66"/>
    <n v="19"/>
    <x v="49"/>
    <x v="0"/>
  </r>
  <r>
    <x v="7"/>
    <x v="0"/>
    <x v="17"/>
    <n v="3020.67"/>
    <n v="19"/>
    <x v="50"/>
    <x v="0"/>
  </r>
  <r>
    <x v="7"/>
    <x v="0"/>
    <x v="3"/>
    <n v="13846"/>
    <n v="421"/>
    <x v="213"/>
    <x v="0"/>
  </r>
  <r>
    <x v="7"/>
    <x v="0"/>
    <x v="3"/>
    <n v="15870.43"/>
    <n v="449"/>
    <x v="214"/>
    <x v="0"/>
  </r>
  <r>
    <x v="7"/>
    <x v="0"/>
    <x v="3"/>
    <n v="16435.38"/>
    <n v="425"/>
    <x v="215"/>
    <x v="0"/>
  </r>
  <r>
    <x v="7"/>
    <x v="0"/>
    <x v="4"/>
    <n v="7091"/>
    <n v="194"/>
    <x v="381"/>
    <x v="0"/>
  </r>
  <r>
    <x v="7"/>
    <x v="0"/>
    <x v="4"/>
    <n v="7722.58"/>
    <n v="188"/>
    <x v="382"/>
    <x v="0"/>
  </r>
  <r>
    <x v="7"/>
    <x v="0"/>
    <x v="4"/>
    <n v="7497.22"/>
    <n v="184"/>
    <x v="383"/>
    <x v="0"/>
  </r>
  <r>
    <x v="7"/>
    <x v="0"/>
    <x v="18"/>
    <n v="10038"/>
    <n v="286"/>
    <x v="225"/>
    <x v="0"/>
  </r>
  <r>
    <x v="7"/>
    <x v="0"/>
    <x v="18"/>
    <n v="11389.29"/>
    <n v="282"/>
    <x v="226"/>
    <x v="0"/>
  </r>
  <r>
    <x v="7"/>
    <x v="0"/>
    <x v="18"/>
    <n v="11326.55"/>
    <n v="296"/>
    <x v="227"/>
    <x v="0"/>
  </r>
  <r>
    <x v="7"/>
    <x v="0"/>
    <x v="11"/>
    <n v="5775"/>
    <n v="41"/>
    <x v="216"/>
    <x v="0"/>
  </r>
  <r>
    <x v="7"/>
    <x v="0"/>
    <x v="11"/>
    <n v="6655.62"/>
    <n v="39"/>
    <x v="217"/>
    <x v="0"/>
  </r>
  <r>
    <x v="7"/>
    <x v="0"/>
    <x v="11"/>
    <n v="6885.01"/>
    <n v="40"/>
    <x v="218"/>
    <x v="0"/>
  </r>
  <r>
    <x v="7"/>
    <x v="0"/>
    <x v="20"/>
    <n v="5740"/>
    <n v="31"/>
    <x v="354"/>
    <x v="0"/>
  </r>
  <r>
    <x v="7"/>
    <x v="0"/>
    <x v="20"/>
    <n v="5997.71"/>
    <n v="31"/>
    <x v="355"/>
    <x v="0"/>
  </r>
  <r>
    <x v="7"/>
    <x v="0"/>
    <x v="20"/>
    <n v="6265.59"/>
    <n v="31"/>
    <x v="356"/>
    <x v="0"/>
  </r>
  <r>
    <x v="7"/>
    <x v="1"/>
    <x v="1"/>
    <n v="10885"/>
    <n v="90"/>
    <x v="309"/>
    <x v="0"/>
  </r>
  <r>
    <x v="7"/>
    <x v="1"/>
    <x v="1"/>
    <n v="11334.77"/>
    <n v="89"/>
    <x v="310"/>
    <x v="0"/>
  </r>
  <r>
    <x v="7"/>
    <x v="1"/>
    <x v="1"/>
    <n v="11719.06"/>
    <n v="87"/>
    <x v="311"/>
    <x v="0"/>
  </r>
  <r>
    <x v="7"/>
    <x v="1"/>
    <x v="21"/>
    <n v="10479"/>
    <n v="118"/>
    <x v="162"/>
    <x v="0"/>
  </r>
  <r>
    <x v="7"/>
    <x v="1"/>
    <x v="21"/>
    <n v="10707.82"/>
    <n v="124"/>
    <x v="163"/>
    <x v="0"/>
  </r>
  <r>
    <x v="7"/>
    <x v="1"/>
    <x v="21"/>
    <n v="11691.86"/>
    <n v="128"/>
    <x v="164"/>
    <x v="0"/>
  </r>
  <r>
    <x v="7"/>
    <x v="1"/>
    <x v="4"/>
    <n v="2702"/>
    <n v="24"/>
    <x v="315"/>
    <x v="0"/>
  </r>
  <r>
    <x v="7"/>
    <x v="1"/>
    <x v="4"/>
    <n v="2924.46"/>
    <n v="25"/>
    <x v="316"/>
    <x v="0"/>
  </r>
  <r>
    <x v="7"/>
    <x v="1"/>
    <x v="4"/>
    <n v="3010.07"/>
    <n v="24"/>
    <x v="317"/>
    <x v="0"/>
  </r>
  <r>
    <x v="7"/>
    <x v="1"/>
    <x v="10"/>
    <n v="455"/>
    <n v="45"/>
    <x v="387"/>
    <x v="0"/>
  </r>
  <r>
    <x v="7"/>
    <x v="1"/>
    <x v="10"/>
    <n v="483.04"/>
    <n v="45"/>
    <x v="388"/>
    <x v="0"/>
  </r>
  <r>
    <x v="7"/>
    <x v="1"/>
    <x v="10"/>
    <n v="492.21"/>
    <n v="45"/>
    <x v="389"/>
    <x v="0"/>
  </r>
  <r>
    <x v="7"/>
    <x v="1"/>
    <x v="16"/>
    <n v="1694"/>
    <n v="289"/>
    <x v="21"/>
    <x v="0"/>
  </r>
  <r>
    <x v="7"/>
    <x v="1"/>
    <x v="16"/>
    <n v="1943.7"/>
    <n v="297"/>
    <x v="22"/>
    <x v="0"/>
  </r>
  <r>
    <x v="7"/>
    <x v="1"/>
    <x v="16"/>
    <n v="1914.65"/>
    <n v="304"/>
    <x v="23"/>
    <x v="0"/>
  </r>
  <r>
    <x v="7"/>
    <x v="1"/>
    <x v="11"/>
    <n v="8491"/>
    <n v="75"/>
    <x v="147"/>
    <x v="0"/>
  </r>
  <r>
    <x v="7"/>
    <x v="1"/>
    <x v="11"/>
    <n v="8831.89"/>
    <n v="79"/>
    <x v="148"/>
    <x v="0"/>
  </r>
  <r>
    <x v="7"/>
    <x v="1"/>
    <x v="11"/>
    <n v="9251.3700000000008"/>
    <n v="79"/>
    <x v="149"/>
    <x v="0"/>
  </r>
  <r>
    <x v="7"/>
    <x v="1"/>
    <x v="12"/>
    <n v="1750"/>
    <n v="479"/>
    <x v="318"/>
    <x v="0"/>
  </r>
  <r>
    <x v="7"/>
    <x v="1"/>
    <x v="12"/>
    <n v="1887.19"/>
    <n v="488"/>
    <x v="319"/>
    <x v="0"/>
  </r>
  <r>
    <x v="7"/>
    <x v="1"/>
    <x v="12"/>
    <n v="2055.4"/>
    <n v="485"/>
    <x v="320"/>
    <x v="0"/>
  </r>
  <r>
    <x v="7"/>
    <x v="1"/>
    <x v="15"/>
    <n v="2527"/>
    <n v="216"/>
    <x v="252"/>
    <x v="0"/>
  </r>
  <r>
    <x v="7"/>
    <x v="1"/>
    <x v="15"/>
    <n v="2634.13"/>
    <n v="234"/>
    <x v="253"/>
    <x v="0"/>
  </r>
  <r>
    <x v="7"/>
    <x v="1"/>
    <x v="15"/>
    <n v="2711.58"/>
    <n v="216"/>
    <x v="254"/>
    <x v="0"/>
  </r>
  <r>
    <x v="7"/>
    <x v="2"/>
    <x v="1"/>
    <n v="4515"/>
    <n v="22"/>
    <x v="108"/>
    <x v="0"/>
  </r>
  <r>
    <x v="7"/>
    <x v="2"/>
    <x v="1"/>
    <n v="4562.97"/>
    <n v="21"/>
    <x v="109"/>
    <x v="0"/>
  </r>
  <r>
    <x v="7"/>
    <x v="2"/>
    <x v="1"/>
    <n v="4886.1499999999996"/>
    <n v="23"/>
    <x v="110"/>
    <x v="0"/>
  </r>
  <r>
    <x v="7"/>
    <x v="2"/>
    <x v="17"/>
    <n v="6888"/>
    <n v="311"/>
    <x v="153"/>
    <x v="0"/>
  </r>
  <r>
    <x v="7"/>
    <x v="2"/>
    <x v="17"/>
    <n v="7369.69"/>
    <n v="325"/>
    <x v="154"/>
    <x v="0"/>
  </r>
  <r>
    <x v="7"/>
    <x v="2"/>
    <x v="17"/>
    <n v="8328.7999999999993"/>
    <n v="327"/>
    <x v="155"/>
    <x v="0"/>
  </r>
  <r>
    <x v="7"/>
    <x v="2"/>
    <x v="19"/>
    <n v="952"/>
    <n v="24"/>
    <x v="114"/>
    <x v="0"/>
  </r>
  <r>
    <x v="7"/>
    <x v="2"/>
    <x v="19"/>
    <n v="1071.31"/>
    <n v="23"/>
    <x v="115"/>
    <x v="0"/>
  </r>
  <r>
    <x v="7"/>
    <x v="2"/>
    <x v="19"/>
    <n v="1126.8699999999999"/>
    <n v="23"/>
    <x v="116"/>
    <x v="0"/>
  </r>
  <r>
    <x v="7"/>
    <x v="2"/>
    <x v="18"/>
    <n v="1526"/>
    <n v="96"/>
    <x v="234"/>
    <x v="0"/>
  </r>
  <r>
    <x v="7"/>
    <x v="2"/>
    <x v="18"/>
    <n v="1712.72"/>
    <n v="93"/>
    <x v="235"/>
    <x v="0"/>
  </r>
  <r>
    <x v="7"/>
    <x v="2"/>
    <x v="18"/>
    <n v="1624.06"/>
    <n v="96"/>
    <x v="236"/>
    <x v="0"/>
  </r>
  <r>
    <x v="7"/>
    <x v="2"/>
    <x v="16"/>
    <n v="13573"/>
    <n v="138"/>
    <x v="408"/>
    <x v="0"/>
  </r>
  <r>
    <x v="7"/>
    <x v="2"/>
    <x v="16"/>
    <n v="14691.77"/>
    <n v="143"/>
    <x v="409"/>
    <x v="0"/>
  </r>
  <r>
    <x v="7"/>
    <x v="2"/>
    <x v="16"/>
    <n v="15201.56"/>
    <n v="142"/>
    <x v="410"/>
    <x v="0"/>
  </r>
  <r>
    <x v="7"/>
    <x v="2"/>
    <x v="14"/>
    <n v="784"/>
    <n v="129"/>
    <x v="411"/>
    <x v="0"/>
  </r>
  <r>
    <x v="7"/>
    <x v="2"/>
    <x v="14"/>
    <n v="873.26"/>
    <n v="140"/>
    <x v="412"/>
    <x v="0"/>
  </r>
  <r>
    <x v="7"/>
    <x v="2"/>
    <x v="14"/>
    <n v="852.29"/>
    <n v="123"/>
    <x v="413"/>
    <x v="0"/>
  </r>
  <r>
    <x v="7"/>
    <x v="2"/>
    <x v="11"/>
    <n v="8428"/>
    <n v="216"/>
    <x v="312"/>
    <x v="0"/>
  </r>
  <r>
    <x v="7"/>
    <x v="2"/>
    <x v="11"/>
    <n v="8693.31"/>
    <n v="209"/>
    <x v="313"/>
    <x v="0"/>
  </r>
  <r>
    <x v="7"/>
    <x v="2"/>
    <x v="11"/>
    <n v="9744.5"/>
    <n v="225"/>
    <x v="314"/>
    <x v="0"/>
  </r>
  <r>
    <x v="7"/>
    <x v="2"/>
    <x v="12"/>
    <n v="2975"/>
    <n v="9"/>
    <x v="180"/>
    <x v="0"/>
  </r>
  <r>
    <x v="7"/>
    <x v="2"/>
    <x v="12"/>
    <n v="3343.85"/>
    <n v="10"/>
    <x v="181"/>
    <x v="0"/>
  </r>
  <r>
    <x v="7"/>
    <x v="2"/>
    <x v="12"/>
    <n v="3429.85"/>
    <n v="9"/>
    <x v="182"/>
    <x v="0"/>
  </r>
  <r>
    <x v="7"/>
    <x v="3"/>
    <x v="4"/>
    <n v="4109"/>
    <n v="197"/>
    <x v="213"/>
    <x v="0"/>
  </r>
  <r>
    <x v="7"/>
    <x v="3"/>
    <x v="4"/>
    <n v="4437.46"/>
    <n v="196"/>
    <x v="214"/>
    <x v="0"/>
  </r>
  <r>
    <x v="7"/>
    <x v="3"/>
    <x v="4"/>
    <n v="4324.4799999999996"/>
    <n v="202"/>
    <x v="215"/>
    <x v="0"/>
  </r>
  <r>
    <x v="7"/>
    <x v="3"/>
    <x v="5"/>
    <n v="5061"/>
    <n v="301"/>
    <x v="300"/>
    <x v="0"/>
  </r>
  <r>
    <x v="7"/>
    <x v="3"/>
    <x v="5"/>
    <n v="5773.51"/>
    <n v="325"/>
    <x v="301"/>
    <x v="0"/>
  </r>
  <r>
    <x v="7"/>
    <x v="3"/>
    <x v="5"/>
    <n v="5932.84"/>
    <n v="303"/>
    <x v="302"/>
    <x v="0"/>
  </r>
  <r>
    <x v="7"/>
    <x v="3"/>
    <x v="16"/>
    <n v="6454"/>
    <n v="417"/>
    <x v="69"/>
    <x v="0"/>
  </r>
  <r>
    <x v="7"/>
    <x v="3"/>
    <x v="16"/>
    <n v="6668.93"/>
    <n v="419"/>
    <x v="70"/>
    <x v="0"/>
  </r>
  <r>
    <x v="7"/>
    <x v="3"/>
    <x v="16"/>
    <n v="7121.02"/>
    <n v="433"/>
    <x v="71"/>
    <x v="0"/>
  </r>
  <r>
    <x v="7"/>
    <x v="3"/>
    <x v="14"/>
    <n v="4571"/>
    <n v="140"/>
    <x v="360"/>
    <x v="0"/>
  </r>
  <r>
    <x v="7"/>
    <x v="3"/>
    <x v="14"/>
    <n v="4944.46"/>
    <n v="144"/>
    <x v="361"/>
    <x v="0"/>
  </r>
  <r>
    <x v="7"/>
    <x v="3"/>
    <x v="14"/>
    <n v="5245.53"/>
    <n v="144"/>
    <x v="362"/>
    <x v="0"/>
  </r>
  <r>
    <x v="7"/>
    <x v="3"/>
    <x v="11"/>
    <n v="371"/>
    <n v="229"/>
    <x v="36"/>
    <x v="0"/>
  </r>
  <r>
    <x v="7"/>
    <x v="3"/>
    <x v="11"/>
    <n v="420.3"/>
    <n v="224"/>
    <x v="37"/>
    <x v="0"/>
  </r>
  <r>
    <x v="7"/>
    <x v="3"/>
    <x v="11"/>
    <n v="427.36"/>
    <n v="249"/>
    <x v="38"/>
    <x v="0"/>
  </r>
  <r>
    <x v="7"/>
    <x v="3"/>
    <x v="13"/>
    <n v="9492"/>
    <n v="151"/>
    <x v="186"/>
    <x v="0"/>
  </r>
  <r>
    <x v="7"/>
    <x v="3"/>
    <x v="13"/>
    <n v="10604.89"/>
    <n v="165"/>
    <x v="187"/>
    <x v="0"/>
  </r>
  <r>
    <x v="7"/>
    <x v="3"/>
    <x v="13"/>
    <n v="10113.4"/>
    <n v="155"/>
    <x v="188"/>
    <x v="0"/>
  </r>
  <r>
    <x v="7"/>
    <x v="4"/>
    <x v="17"/>
    <n v="12187"/>
    <n v="27"/>
    <x v="57"/>
    <x v="0"/>
  </r>
  <r>
    <x v="7"/>
    <x v="4"/>
    <x v="17"/>
    <n v="13205.42"/>
    <n v="26"/>
    <x v="58"/>
    <x v="0"/>
  </r>
  <r>
    <x v="7"/>
    <x v="4"/>
    <x v="17"/>
    <n v="12841.79"/>
    <n v="26"/>
    <x v="59"/>
    <x v="0"/>
  </r>
  <r>
    <x v="7"/>
    <x v="4"/>
    <x v="3"/>
    <n v="2275"/>
    <n v="275"/>
    <x v="51"/>
    <x v="0"/>
  </r>
  <r>
    <x v="7"/>
    <x v="4"/>
    <x v="3"/>
    <n v="2276.94"/>
    <n v="296"/>
    <x v="52"/>
    <x v="0"/>
  </r>
  <r>
    <x v="7"/>
    <x v="4"/>
    <x v="3"/>
    <n v="2516.34"/>
    <n v="293"/>
    <x v="53"/>
    <x v="0"/>
  </r>
  <r>
    <x v="7"/>
    <x v="4"/>
    <x v="10"/>
    <n v="6188"/>
    <n v="270"/>
    <x v="246"/>
    <x v="0"/>
  </r>
  <r>
    <x v="7"/>
    <x v="4"/>
    <x v="10"/>
    <n v="6757.17"/>
    <n v="276"/>
    <x v="247"/>
    <x v="0"/>
  </r>
  <r>
    <x v="7"/>
    <x v="4"/>
    <x v="10"/>
    <n v="6702.11"/>
    <n v="285"/>
    <x v="248"/>
    <x v="0"/>
  </r>
  <r>
    <x v="7"/>
    <x v="4"/>
    <x v="18"/>
    <n v="10808"/>
    <n v="407"/>
    <x v="414"/>
    <x v="0"/>
  </r>
  <r>
    <x v="7"/>
    <x v="4"/>
    <x v="18"/>
    <n v="11698.98"/>
    <n v="436"/>
    <x v="415"/>
    <x v="0"/>
  </r>
  <r>
    <x v="7"/>
    <x v="4"/>
    <x v="18"/>
    <n v="11963.91"/>
    <n v="446"/>
    <x v="416"/>
    <x v="0"/>
  </r>
  <r>
    <x v="7"/>
    <x v="4"/>
    <x v="6"/>
    <n v="8925"/>
    <n v="158"/>
    <x v="396"/>
    <x v="0"/>
  </r>
  <r>
    <x v="7"/>
    <x v="4"/>
    <x v="6"/>
    <n v="10186.18"/>
    <n v="154"/>
    <x v="397"/>
    <x v="0"/>
  </r>
  <r>
    <x v="7"/>
    <x v="4"/>
    <x v="6"/>
    <n v="9771.8700000000008"/>
    <n v="158"/>
    <x v="398"/>
    <x v="0"/>
  </r>
  <r>
    <x v="7"/>
    <x v="4"/>
    <x v="12"/>
    <n v="546"/>
    <n v="142"/>
    <x v="168"/>
    <x v="0"/>
  </r>
  <r>
    <x v="7"/>
    <x v="4"/>
    <x v="12"/>
    <n v="563.76"/>
    <n v="151"/>
    <x v="169"/>
    <x v="0"/>
  </r>
  <r>
    <x v="7"/>
    <x v="4"/>
    <x v="12"/>
    <n v="653.1"/>
    <n v="136"/>
    <x v="170"/>
    <x v="0"/>
  </r>
  <r>
    <x v="7"/>
    <x v="4"/>
    <x v="13"/>
    <n v="7238"/>
    <n v="265"/>
    <x v="240"/>
    <x v="0"/>
  </r>
  <r>
    <x v="7"/>
    <x v="4"/>
    <x v="13"/>
    <n v="7870.09"/>
    <n v="274"/>
    <x v="241"/>
    <x v="0"/>
  </r>
  <r>
    <x v="7"/>
    <x v="4"/>
    <x v="13"/>
    <n v="8338.51"/>
    <n v="270"/>
    <x v="242"/>
    <x v="0"/>
  </r>
  <r>
    <x v="7"/>
    <x v="5"/>
    <x v="7"/>
    <n v="658"/>
    <n v="77"/>
    <x v="387"/>
    <x v="0"/>
  </r>
  <r>
    <x v="7"/>
    <x v="5"/>
    <x v="7"/>
    <n v="735.48"/>
    <n v="77"/>
    <x v="388"/>
    <x v="0"/>
  </r>
  <r>
    <x v="7"/>
    <x v="5"/>
    <x v="7"/>
    <n v="730.06"/>
    <n v="78"/>
    <x v="389"/>
    <x v="0"/>
  </r>
  <r>
    <x v="7"/>
    <x v="5"/>
    <x v="2"/>
    <n v="11718"/>
    <n v="84"/>
    <x v="108"/>
    <x v="0"/>
  </r>
  <r>
    <x v="7"/>
    <x v="5"/>
    <x v="2"/>
    <n v="11884.52"/>
    <n v="82"/>
    <x v="109"/>
    <x v="0"/>
  </r>
  <r>
    <x v="7"/>
    <x v="5"/>
    <x v="2"/>
    <n v="13786.87"/>
    <n v="85"/>
    <x v="110"/>
    <x v="0"/>
  </r>
  <r>
    <x v="7"/>
    <x v="5"/>
    <x v="3"/>
    <n v="17465"/>
    <n v="271"/>
    <x v="30"/>
    <x v="0"/>
  </r>
  <r>
    <x v="7"/>
    <x v="5"/>
    <x v="3"/>
    <n v="18494.72"/>
    <n v="298"/>
    <x v="31"/>
    <x v="0"/>
  </r>
  <r>
    <x v="7"/>
    <x v="5"/>
    <x v="3"/>
    <n v="18481.73"/>
    <n v="295"/>
    <x v="32"/>
    <x v="0"/>
  </r>
  <r>
    <x v="7"/>
    <x v="5"/>
    <x v="9"/>
    <n v="2317"/>
    <n v="464"/>
    <x v="306"/>
    <x v="0"/>
  </r>
  <r>
    <x v="7"/>
    <x v="5"/>
    <x v="9"/>
    <n v="2583.0300000000002"/>
    <n v="501"/>
    <x v="307"/>
    <x v="0"/>
  </r>
  <r>
    <x v="7"/>
    <x v="5"/>
    <x v="9"/>
    <n v="2757.16"/>
    <n v="463"/>
    <x v="308"/>
    <x v="0"/>
  </r>
  <r>
    <x v="7"/>
    <x v="5"/>
    <x v="4"/>
    <n v="2191"/>
    <n v="138"/>
    <x v="216"/>
    <x v="0"/>
  </r>
  <r>
    <x v="7"/>
    <x v="5"/>
    <x v="4"/>
    <n v="2369.87"/>
    <n v="139"/>
    <x v="217"/>
    <x v="0"/>
  </r>
  <r>
    <x v="7"/>
    <x v="5"/>
    <x v="4"/>
    <n v="2399.02"/>
    <n v="149"/>
    <x v="218"/>
    <x v="0"/>
  </r>
  <r>
    <x v="7"/>
    <x v="5"/>
    <x v="10"/>
    <n v="2044"/>
    <n v="90"/>
    <x v="204"/>
    <x v="0"/>
  </r>
  <r>
    <x v="7"/>
    <x v="5"/>
    <x v="10"/>
    <n v="2316.09"/>
    <n v="90"/>
    <x v="205"/>
    <x v="0"/>
  </r>
  <r>
    <x v="7"/>
    <x v="5"/>
    <x v="10"/>
    <n v="2447.37"/>
    <n v="98"/>
    <x v="206"/>
    <x v="0"/>
  </r>
  <r>
    <x v="7"/>
    <x v="5"/>
    <x v="19"/>
    <n v="1414"/>
    <n v="318"/>
    <x v="255"/>
    <x v="0"/>
  </r>
  <r>
    <x v="7"/>
    <x v="5"/>
    <x v="19"/>
    <n v="1630.95"/>
    <n v="321"/>
    <x v="256"/>
    <x v="0"/>
  </r>
  <r>
    <x v="7"/>
    <x v="5"/>
    <x v="19"/>
    <n v="1673.44"/>
    <n v="314"/>
    <x v="257"/>
    <x v="0"/>
  </r>
  <r>
    <x v="7"/>
    <x v="5"/>
    <x v="18"/>
    <n v="777"/>
    <n v="60"/>
    <x v="99"/>
    <x v="0"/>
  </r>
  <r>
    <x v="7"/>
    <x v="5"/>
    <x v="18"/>
    <n v="777.46"/>
    <n v="58"/>
    <x v="100"/>
    <x v="0"/>
  </r>
  <r>
    <x v="7"/>
    <x v="5"/>
    <x v="18"/>
    <n v="890.78"/>
    <n v="62"/>
    <x v="101"/>
    <x v="0"/>
  </r>
  <r>
    <x v="7"/>
    <x v="5"/>
    <x v="11"/>
    <n v="12656"/>
    <n v="126"/>
    <x v="417"/>
    <x v="0"/>
  </r>
  <r>
    <x v="7"/>
    <x v="5"/>
    <x v="11"/>
    <n v="14528.51"/>
    <n v="134"/>
    <x v="418"/>
    <x v="0"/>
  </r>
  <r>
    <x v="7"/>
    <x v="5"/>
    <x v="11"/>
    <n v="14731.55"/>
    <n v="132"/>
    <x v="419"/>
    <x v="0"/>
  </r>
  <r>
    <x v="7"/>
    <x v="5"/>
    <x v="20"/>
    <n v="6524"/>
    <n v="257"/>
    <x v="60"/>
    <x v="0"/>
  </r>
  <r>
    <x v="7"/>
    <x v="5"/>
    <x v="20"/>
    <n v="7449.7"/>
    <n v="264"/>
    <x v="61"/>
    <x v="0"/>
  </r>
  <r>
    <x v="7"/>
    <x v="5"/>
    <x v="20"/>
    <n v="7049.32"/>
    <n v="273"/>
    <x v="62"/>
    <x v="0"/>
  </r>
  <r>
    <x v="7"/>
    <x v="5"/>
    <x v="12"/>
    <n v="11781"/>
    <n v="91"/>
    <x v="99"/>
    <x v="0"/>
  </r>
  <r>
    <x v="7"/>
    <x v="5"/>
    <x v="12"/>
    <n v="11823.35"/>
    <n v="90"/>
    <x v="100"/>
    <x v="0"/>
  </r>
  <r>
    <x v="7"/>
    <x v="5"/>
    <x v="12"/>
    <n v="12755.99"/>
    <n v="99"/>
    <x v="101"/>
    <x v="0"/>
  </r>
  <r>
    <x v="8"/>
    <x v="0"/>
    <x v="0"/>
    <n v="3108"/>
    <n v="252"/>
    <x v="99"/>
    <x v="0"/>
  </r>
  <r>
    <x v="8"/>
    <x v="0"/>
    <x v="0"/>
    <n v="3359.18"/>
    <n v="256"/>
    <x v="100"/>
    <x v="0"/>
  </r>
  <r>
    <x v="8"/>
    <x v="0"/>
    <x v="0"/>
    <n v="3321.9"/>
    <n v="247"/>
    <x v="101"/>
    <x v="0"/>
  </r>
  <r>
    <x v="8"/>
    <x v="0"/>
    <x v="2"/>
    <n v="1456"/>
    <n v="91"/>
    <x v="285"/>
    <x v="0"/>
  </r>
  <r>
    <x v="8"/>
    <x v="0"/>
    <x v="2"/>
    <n v="1613.3"/>
    <n v="91"/>
    <x v="286"/>
    <x v="0"/>
  </r>
  <r>
    <x v="8"/>
    <x v="0"/>
    <x v="2"/>
    <n v="1754.11"/>
    <n v="95"/>
    <x v="287"/>
    <x v="0"/>
  </r>
  <r>
    <x v="8"/>
    <x v="0"/>
    <x v="3"/>
    <n v="3605"/>
    <n v="68"/>
    <x v="90"/>
    <x v="0"/>
  </r>
  <r>
    <x v="8"/>
    <x v="0"/>
    <x v="3"/>
    <n v="4022.64"/>
    <n v="71"/>
    <x v="91"/>
    <x v="0"/>
  </r>
  <r>
    <x v="8"/>
    <x v="0"/>
    <x v="3"/>
    <n v="3767.49"/>
    <n v="65"/>
    <x v="92"/>
    <x v="0"/>
  </r>
  <r>
    <x v="8"/>
    <x v="0"/>
    <x v="21"/>
    <n v="1645"/>
    <n v="284"/>
    <x v="282"/>
    <x v="0"/>
  </r>
  <r>
    <x v="8"/>
    <x v="0"/>
    <x v="21"/>
    <n v="1863.54"/>
    <n v="277"/>
    <x v="283"/>
    <x v="0"/>
  </r>
  <r>
    <x v="8"/>
    <x v="0"/>
    <x v="21"/>
    <n v="1751.26"/>
    <n v="293"/>
    <x v="284"/>
    <x v="0"/>
  </r>
  <r>
    <x v="8"/>
    <x v="0"/>
    <x v="4"/>
    <n v="91"/>
    <n v="135"/>
    <x v="126"/>
    <x v="1"/>
  </r>
  <r>
    <x v="8"/>
    <x v="0"/>
    <x v="4"/>
    <n v="94.19"/>
    <n v="145"/>
    <x v="127"/>
    <x v="1"/>
  </r>
  <r>
    <x v="8"/>
    <x v="0"/>
    <x v="4"/>
    <n v="105.06"/>
    <n v="140"/>
    <x v="128"/>
    <x v="1"/>
  </r>
  <r>
    <x v="8"/>
    <x v="0"/>
    <x v="10"/>
    <n v="6979"/>
    <n v="3"/>
    <x v="207"/>
    <x v="0"/>
  </r>
  <r>
    <x v="8"/>
    <x v="0"/>
    <x v="10"/>
    <n v="7770.55"/>
    <n v="3"/>
    <x v="208"/>
    <x v="0"/>
  </r>
  <r>
    <x v="8"/>
    <x v="0"/>
    <x v="10"/>
    <n v="7897.59"/>
    <n v="3"/>
    <x v="209"/>
    <x v="0"/>
  </r>
  <r>
    <x v="8"/>
    <x v="0"/>
    <x v="19"/>
    <n v="280"/>
    <n v="311"/>
    <x v="3"/>
    <x v="0"/>
  </r>
  <r>
    <x v="8"/>
    <x v="0"/>
    <x v="19"/>
    <n v="280.58999999999997"/>
    <n v="328"/>
    <x v="4"/>
    <x v="0"/>
  </r>
  <r>
    <x v="8"/>
    <x v="0"/>
    <x v="19"/>
    <n v="317.36"/>
    <n v="337"/>
    <x v="5"/>
    <x v="0"/>
  </r>
  <r>
    <x v="8"/>
    <x v="0"/>
    <x v="16"/>
    <n v="6790"/>
    <n v="25"/>
    <x v="309"/>
    <x v="0"/>
  </r>
  <r>
    <x v="8"/>
    <x v="0"/>
    <x v="16"/>
    <n v="7091.81"/>
    <n v="27"/>
    <x v="310"/>
    <x v="0"/>
  </r>
  <r>
    <x v="8"/>
    <x v="0"/>
    <x v="16"/>
    <n v="7571.51"/>
    <n v="26"/>
    <x v="311"/>
    <x v="0"/>
  </r>
  <r>
    <x v="8"/>
    <x v="0"/>
    <x v="15"/>
    <n v="8225"/>
    <n v="91"/>
    <x v="51"/>
    <x v="0"/>
  </r>
  <r>
    <x v="8"/>
    <x v="0"/>
    <x v="15"/>
    <n v="8840.59"/>
    <n v="92"/>
    <x v="52"/>
    <x v="0"/>
  </r>
  <r>
    <x v="8"/>
    <x v="0"/>
    <x v="15"/>
    <n v="9655.2999999999993"/>
    <n v="97"/>
    <x v="53"/>
    <x v="0"/>
  </r>
  <r>
    <x v="8"/>
    <x v="0"/>
    <x v="13"/>
    <n v="6055"/>
    <n v="93"/>
    <x v="186"/>
    <x v="0"/>
  </r>
  <r>
    <x v="8"/>
    <x v="0"/>
    <x v="13"/>
    <n v="6067.94"/>
    <n v="94"/>
    <x v="187"/>
    <x v="0"/>
  </r>
  <r>
    <x v="8"/>
    <x v="0"/>
    <x v="13"/>
    <n v="6969.38"/>
    <n v="102"/>
    <x v="188"/>
    <x v="0"/>
  </r>
  <r>
    <x v="8"/>
    <x v="1"/>
    <x v="8"/>
    <n v="252"/>
    <n v="237"/>
    <x v="51"/>
    <x v="0"/>
  </r>
  <r>
    <x v="8"/>
    <x v="1"/>
    <x v="8"/>
    <n v="268.3"/>
    <n v="239"/>
    <x v="52"/>
    <x v="0"/>
  </r>
  <r>
    <x v="8"/>
    <x v="1"/>
    <x v="8"/>
    <n v="302.18"/>
    <n v="233"/>
    <x v="53"/>
    <x v="0"/>
  </r>
  <r>
    <x v="8"/>
    <x v="1"/>
    <x v="5"/>
    <n v="11550"/>
    <n v="111"/>
    <x v="201"/>
    <x v="0"/>
  </r>
  <r>
    <x v="8"/>
    <x v="1"/>
    <x v="5"/>
    <n v="12048.56"/>
    <n v="113"/>
    <x v="202"/>
    <x v="0"/>
  </r>
  <r>
    <x v="8"/>
    <x v="1"/>
    <x v="5"/>
    <n v="13959.74"/>
    <n v="113"/>
    <x v="203"/>
    <x v="0"/>
  </r>
  <r>
    <x v="8"/>
    <x v="1"/>
    <x v="20"/>
    <n v="4347"/>
    <n v="238"/>
    <x v="240"/>
    <x v="0"/>
  </r>
  <r>
    <x v="8"/>
    <x v="1"/>
    <x v="20"/>
    <n v="4849.3"/>
    <n v="248"/>
    <x v="241"/>
    <x v="0"/>
  </r>
  <r>
    <x v="8"/>
    <x v="1"/>
    <x v="20"/>
    <n v="4722.3900000000003"/>
    <n v="258"/>
    <x v="242"/>
    <x v="0"/>
  </r>
  <r>
    <x v="8"/>
    <x v="2"/>
    <x v="10"/>
    <n v="2086"/>
    <n v="384"/>
    <x v="261"/>
    <x v="0"/>
  </r>
  <r>
    <x v="8"/>
    <x v="2"/>
    <x v="10"/>
    <n v="2345.9499999999998"/>
    <n v="406"/>
    <x v="262"/>
    <x v="0"/>
  </r>
  <r>
    <x v="8"/>
    <x v="2"/>
    <x v="10"/>
    <n v="2504.62"/>
    <n v="397"/>
    <x v="263"/>
    <x v="0"/>
  </r>
  <r>
    <x v="8"/>
    <x v="2"/>
    <x v="16"/>
    <n v="1260"/>
    <n v="239"/>
    <x v="189"/>
    <x v="0"/>
  </r>
  <r>
    <x v="8"/>
    <x v="2"/>
    <x v="16"/>
    <n v="1259.6099999999999"/>
    <n v="227"/>
    <x v="190"/>
    <x v="0"/>
  </r>
  <r>
    <x v="8"/>
    <x v="2"/>
    <x v="16"/>
    <n v="1375.22"/>
    <n v="231"/>
    <x v="191"/>
    <x v="0"/>
  </r>
  <r>
    <x v="8"/>
    <x v="2"/>
    <x v="6"/>
    <n v="9107"/>
    <n v="73"/>
    <x v="39"/>
    <x v="0"/>
  </r>
  <r>
    <x v="8"/>
    <x v="2"/>
    <x v="6"/>
    <n v="9805.11"/>
    <n v="76"/>
    <x v="40"/>
    <x v="0"/>
  </r>
  <r>
    <x v="8"/>
    <x v="2"/>
    <x v="6"/>
    <n v="10461.82"/>
    <n v="78"/>
    <x v="41"/>
    <x v="0"/>
  </r>
  <r>
    <x v="8"/>
    <x v="2"/>
    <x v="15"/>
    <n v="910"/>
    <n v="204"/>
    <x v="420"/>
    <x v="0"/>
  </r>
  <r>
    <x v="8"/>
    <x v="2"/>
    <x v="15"/>
    <n v="1001.99"/>
    <n v="217"/>
    <x v="421"/>
    <x v="0"/>
  </r>
  <r>
    <x v="8"/>
    <x v="2"/>
    <x v="15"/>
    <n v="1092.3599999999999"/>
    <n v="209"/>
    <x v="422"/>
    <x v="0"/>
  </r>
  <r>
    <x v="8"/>
    <x v="2"/>
    <x v="13"/>
    <n v="12327"/>
    <n v="330"/>
    <x v="423"/>
    <x v="0"/>
  </r>
  <r>
    <x v="8"/>
    <x v="2"/>
    <x v="13"/>
    <n v="12331.35"/>
    <n v="337"/>
    <x v="424"/>
    <x v="0"/>
  </r>
  <r>
    <x v="8"/>
    <x v="2"/>
    <x v="13"/>
    <n v="12998.67"/>
    <n v="317"/>
    <x v="425"/>
    <x v="0"/>
  </r>
  <r>
    <x v="8"/>
    <x v="3"/>
    <x v="17"/>
    <n v="10724"/>
    <n v="203"/>
    <x v="276"/>
    <x v="0"/>
  </r>
  <r>
    <x v="8"/>
    <x v="3"/>
    <x v="17"/>
    <n v="11749.75"/>
    <n v="213"/>
    <x v="277"/>
    <x v="0"/>
  </r>
  <r>
    <x v="8"/>
    <x v="3"/>
    <x v="17"/>
    <n v="12263.85"/>
    <n v="223"/>
    <x v="278"/>
    <x v="0"/>
  </r>
  <r>
    <x v="8"/>
    <x v="3"/>
    <x v="21"/>
    <n v="5733"/>
    <n v="348"/>
    <x v="36"/>
    <x v="0"/>
  </r>
  <r>
    <x v="8"/>
    <x v="3"/>
    <x v="21"/>
    <n v="5750.05"/>
    <n v="350"/>
    <x v="37"/>
    <x v="0"/>
  </r>
  <r>
    <x v="8"/>
    <x v="3"/>
    <x v="21"/>
    <n v="6524.65"/>
    <n v="369"/>
    <x v="38"/>
    <x v="0"/>
  </r>
  <r>
    <x v="8"/>
    <x v="3"/>
    <x v="14"/>
    <n v="2030"/>
    <n v="146"/>
    <x v="198"/>
    <x v="0"/>
  </r>
  <r>
    <x v="8"/>
    <x v="3"/>
    <x v="14"/>
    <n v="2283.39"/>
    <n v="155"/>
    <x v="199"/>
    <x v="0"/>
  </r>
  <r>
    <x v="8"/>
    <x v="3"/>
    <x v="14"/>
    <n v="2204.17"/>
    <n v="145"/>
    <x v="200"/>
    <x v="0"/>
  </r>
  <r>
    <x v="8"/>
    <x v="3"/>
    <x v="20"/>
    <n v="5845"/>
    <n v="91"/>
    <x v="111"/>
    <x v="0"/>
  </r>
  <r>
    <x v="8"/>
    <x v="3"/>
    <x v="20"/>
    <n v="6192.19"/>
    <n v="99"/>
    <x v="112"/>
    <x v="0"/>
  </r>
  <r>
    <x v="8"/>
    <x v="3"/>
    <x v="20"/>
    <n v="6291.74"/>
    <n v="88"/>
    <x v="113"/>
    <x v="0"/>
  </r>
  <r>
    <x v="8"/>
    <x v="3"/>
    <x v="13"/>
    <n v="7014"/>
    <n v="60"/>
    <x v="300"/>
    <x v="0"/>
  </r>
  <r>
    <x v="8"/>
    <x v="3"/>
    <x v="13"/>
    <n v="7923.1"/>
    <n v="62"/>
    <x v="301"/>
    <x v="0"/>
  </r>
  <r>
    <x v="8"/>
    <x v="3"/>
    <x v="13"/>
    <n v="8423.36"/>
    <n v="63"/>
    <x v="302"/>
    <x v="0"/>
  </r>
  <r>
    <x v="8"/>
    <x v="4"/>
    <x v="7"/>
    <n v="1267"/>
    <n v="216"/>
    <x v="81"/>
    <x v="0"/>
  </r>
  <r>
    <x v="8"/>
    <x v="4"/>
    <x v="7"/>
    <n v="1264.43"/>
    <n v="232"/>
    <x v="82"/>
    <x v="0"/>
  </r>
  <r>
    <x v="8"/>
    <x v="4"/>
    <x v="7"/>
    <n v="1515.42"/>
    <n v="230"/>
    <x v="83"/>
    <x v="0"/>
  </r>
  <r>
    <x v="8"/>
    <x v="4"/>
    <x v="17"/>
    <n v="9310"/>
    <n v="282"/>
    <x v="27"/>
    <x v="0"/>
  </r>
  <r>
    <x v="8"/>
    <x v="4"/>
    <x v="17"/>
    <n v="9865.0499999999993"/>
    <n v="273"/>
    <x v="28"/>
    <x v="0"/>
  </r>
  <r>
    <x v="8"/>
    <x v="4"/>
    <x v="17"/>
    <n v="10378.36"/>
    <n v="301"/>
    <x v="29"/>
    <x v="0"/>
  </r>
  <r>
    <x v="8"/>
    <x v="4"/>
    <x v="2"/>
    <n v="16114"/>
    <n v="96"/>
    <x v="261"/>
    <x v="0"/>
  </r>
  <r>
    <x v="8"/>
    <x v="4"/>
    <x v="2"/>
    <n v="16707.88"/>
    <n v="102"/>
    <x v="262"/>
    <x v="0"/>
  </r>
  <r>
    <x v="8"/>
    <x v="4"/>
    <x v="2"/>
    <n v="17104.04"/>
    <n v="103"/>
    <x v="263"/>
    <x v="0"/>
  </r>
  <r>
    <x v="8"/>
    <x v="4"/>
    <x v="9"/>
    <n v="5768"/>
    <n v="235"/>
    <x v="252"/>
    <x v="0"/>
  </r>
  <r>
    <x v="8"/>
    <x v="4"/>
    <x v="9"/>
    <n v="6180.45"/>
    <n v="230"/>
    <x v="253"/>
    <x v="0"/>
  </r>
  <r>
    <x v="8"/>
    <x v="4"/>
    <x v="9"/>
    <n v="6448.87"/>
    <n v="244"/>
    <x v="254"/>
    <x v="0"/>
  </r>
  <r>
    <x v="8"/>
    <x v="4"/>
    <x v="16"/>
    <n v="2443"/>
    <n v="216"/>
    <x v="426"/>
    <x v="0"/>
  </r>
  <r>
    <x v="8"/>
    <x v="4"/>
    <x v="16"/>
    <n v="2763.22"/>
    <n v="223"/>
    <x v="427"/>
    <x v="0"/>
  </r>
  <r>
    <x v="8"/>
    <x v="4"/>
    <x v="16"/>
    <n v="2837.65"/>
    <n v="212"/>
    <x v="428"/>
    <x v="0"/>
  </r>
  <r>
    <x v="8"/>
    <x v="5"/>
    <x v="1"/>
    <n v="10220"/>
    <n v="508"/>
    <x v="6"/>
    <x v="0"/>
  </r>
  <r>
    <x v="8"/>
    <x v="5"/>
    <x v="1"/>
    <n v="11644.92"/>
    <n v="536"/>
    <x v="7"/>
    <x v="0"/>
  </r>
  <r>
    <x v="8"/>
    <x v="5"/>
    <x v="1"/>
    <n v="11149.46"/>
    <n v="538"/>
    <x v="8"/>
    <x v="0"/>
  </r>
  <r>
    <x v="8"/>
    <x v="5"/>
    <x v="17"/>
    <n v="3822"/>
    <n v="320"/>
    <x v="9"/>
    <x v="0"/>
  </r>
  <r>
    <x v="8"/>
    <x v="5"/>
    <x v="17"/>
    <n v="4185"/>
    <n v="315"/>
    <x v="10"/>
    <x v="0"/>
  </r>
  <r>
    <x v="8"/>
    <x v="5"/>
    <x v="17"/>
    <n v="4134.93"/>
    <n v="307"/>
    <x v="11"/>
    <x v="0"/>
  </r>
  <r>
    <x v="8"/>
    <x v="5"/>
    <x v="9"/>
    <n v="16982"/>
    <n v="76"/>
    <x v="231"/>
    <x v="0"/>
  </r>
  <r>
    <x v="8"/>
    <x v="5"/>
    <x v="9"/>
    <n v="18687.87"/>
    <n v="80"/>
    <x v="232"/>
    <x v="0"/>
  </r>
  <r>
    <x v="8"/>
    <x v="5"/>
    <x v="9"/>
    <n v="18581.37"/>
    <n v="83"/>
    <x v="233"/>
    <x v="0"/>
  </r>
  <r>
    <x v="8"/>
    <x v="5"/>
    <x v="19"/>
    <n v="2898"/>
    <n v="276"/>
    <x v="381"/>
    <x v="0"/>
  </r>
  <r>
    <x v="8"/>
    <x v="5"/>
    <x v="19"/>
    <n v="3169.26"/>
    <n v="281"/>
    <x v="382"/>
    <x v="0"/>
  </r>
  <r>
    <x v="8"/>
    <x v="5"/>
    <x v="19"/>
    <n v="3315.64"/>
    <n v="268"/>
    <x v="383"/>
    <x v="0"/>
  </r>
  <r>
    <x v="8"/>
    <x v="5"/>
    <x v="5"/>
    <n v="273"/>
    <n v="210"/>
    <x v="252"/>
    <x v="0"/>
  </r>
  <r>
    <x v="8"/>
    <x v="5"/>
    <x v="5"/>
    <n v="299.70999999999998"/>
    <n v="207"/>
    <x v="253"/>
    <x v="0"/>
  </r>
  <r>
    <x v="8"/>
    <x v="5"/>
    <x v="5"/>
    <n v="320.11"/>
    <n v="201"/>
    <x v="254"/>
    <x v="0"/>
  </r>
  <r>
    <x v="8"/>
    <x v="5"/>
    <x v="16"/>
    <n v="5292"/>
    <n v="248"/>
    <x v="174"/>
    <x v="0"/>
  </r>
  <r>
    <x v="8"/>
    <x v="5"/>
    <x v="16"/>
    <n v="6101.12"/>
    <n v="261"/>
    <x v="175"/>
    <x v="0"/>
  </r>
  <r>
    <x v="8"/>
    <x v="5"/>
    <x v="16"/>
    <n v="5552.79"/>
    <n v="272"/>
    <x v="176"/>
    <x v="0"/>
  </r>
  <r>
    <x v="8"/>
    <x v="5"/>
    <x v="14"/>
    <n v="1379"/>
    <n v="107"/>
    <x v="63"/>
    <x v="0"/>
  </r>
  <r>
    <x v="8"/>
    <x v="5"/>
    <x v="14"/>
    <n v="1414.84"/>
    <n v="112"/>
    <x v="64"/>
    <x v="0"/>
  </r>
  <r>
    <x v="8"/>
    <x v="5"/>
    <x v="14"/>
    <n v="1452.94"/>
    <n v="112"/>
    <x v="65"/>
    <x v="0"/>
  </r>
  <r>
    <x v="8"/>
    <x v="5"/>
    <x v="20"/>
    <n v="3437"/>
    <n v="46"/>
    <x v="27"/>
    <x v="0"/>
  </r>
  <r>
    <x v="8"/>
    <x v="5"/>
    <x v="20"/>
    <n v="3590.55"/>
    <n v="47"/>
    <x v="28"/>
    <x v="0"/>
  </r>
  <r>
    <x v="8"/>
    <x v="5"/>
    <x v="20"/>
    <n v="3762.58"/>
    <n v="49"/>
    <x v="29"/>
    <x v="0"/>
  </r>
  <r>
    <x v="9"/>
    <x v="0"/>
    <x v="7"/>
    <n v="1372"/>
    <n v="105"/>
    <x v="144"/>
    <x v="0"/>
  </r>
  <r>
    <x v="9"/>
    <x v="0"/>
    <x v="7"/>
    <n v="1548.54"/>
    <n v="104"/>
    <x v="145"/>
    <x v="0"/>
  </r>
  <r>
    <x v="9"/>
    <x v="0"/>
    <x v="7"/>
    <n v="1624.86"/>
    <n v="103"/>
    <x v="146"/>
    <x v="0"/>
  </r>
  <r>
    <x v="9"/>
    <x v="0"/>
    <x v="2"/>
    <n v="910"/>
    <n v="117"/>
    <x v="372"/>
    <x v="0"/>
  </r>
  <r>
    <x v="9"/>
    <x v="0"/>
    <x v="2"/>
    <n v="1010.37"/>
    <n v="127"/>
    <x v="373"/>
    <x v="0"/>
  </r>
  <r>
    <x v="9"/>
    <x v="0"/>
    <x v="2"/>
    <n v="1084.26"/>
    <n v="120"/>
    <x v="374"/>
    <x v="0"/>
  </r>
  <r>
    <x v="9"/>
    <x v="0"/>
    <x v="9"/>
    <n v="8001"/>
    <n v="151"/>
    <x v="42"/>
    <x v="0"/>
  </r>
  <r>
    <x v="9"/>
    <x v="0"/>
    <x v="9"/>
    <n v="8724.4"/>
    <n v="147"/>
    <x v="43"/>
    <x v="0"/>
  </r>
  <r>
    <x v="9"/>
    <x v="0"/>
    <x v="9"/>
    <n v="9117.77"/>
    <n v="154"/>
    <x v="44"/>
    <x v="0"/>
  </r>
  <r>
    <x v="9"/>
    <x v="0"/>
    <x v="4"/>
    <n v="2807"/>
    <n v="139"/>
    <x v="267"/>
    <x v="0"/>
  </r>
  <r>
    <x v="9"/>
    <x v="0"/>
    <x v="4"/>
    <n v="2949.02"/>
    <n v="153"/>
    <x v="268"/>
    <x v="0"/>
  </r>
  <r>
    <x v="9"/>
    <x v="0"/>
    <x v="4"/>
    <n v="2960"/>
    <n v="141"/>
    <x v="269"/>
    <x v="0"/>
  </r>
  <r>
    <x v="9"/>
    <x v="0"/>
    <x v="10"/>
    <n v="7252"/>
    <n v="136"/>
    <x v="192"/>
    <x v="0"/>
  </r>
  <r>
    <x v="9"/>
    <x v="0"/>
    <x v="10"/>
    <n v="7628.59"/>
    <n v="146"/>
    <x v="193"/>
    <x v="0"/>
  </r>
  <r>
    <x v="9"/>
    <x v="0"/>
    <x v="10"/>
    <n v="8170.88"/>
    <n v="137"/>
    <x v="194"/>
    <x v="0"/>
  </r>
  <r>
    <x v="9"/>
    <x v="0"/>
    <x v="14"/>
    <n v="574"/>
    <n v="156"/>
    <x v="429"/>
    <x v="0"/>
  </r>
  <r>
    <x v="9"/>
    <x v="0"/>
    <x v="14"/>
    <n v="596.63"/>
    <n v="158"/>
    <x v="430"/>
    <x v="0"/>
  </r>
  <r>
    <x v="9"/>
    <x v="0"/>
    <x v="14"/>
    <n v="676.29"/>
    <n v="158"/>
    <x v="431"/>
    <x v="0"/>
  </r>
  <r>
    <x v="9"/>
    <x v="0"/>
    <x v="20"/>
    <n v="6524"/>
    <n v="303"/>
    <x v="15"/>
    <x v="0"/>
  </r>
  <r>
    <x v="9"/>
    <x v="0"/>
    <x v="20"/>
    <n v="6722.22"/>
    <n v="330"/>
    <x v="16"/>
    <x v="0"/>
  </r>
  <r>
    <x v="9"/>
    <x v="0"/>
    <x v="20"/>
    <n v="7696.46"/>
    <n v="313"/>
    <x v="17"/>
    <x v="0"/>
  </r>
  <r>
    <x v="9"/>
    <x v="0"/>
    <x v="12"/>
    <n v="5768"/>
    <n v="119"/>
    <x v="177"/>
    <x v="0"/>
  </r>
  <r>
    <x v="9"/>
    <x v="0"/>
    <x v="12"/>
    <n v="5884.09"/>
    <n v="117"/>
    <x v="178"/>
    <x v="0"/>
  </r>
  <r>
    <x v="9"/>
    <x v="0"/>
    <x v="12"/>
    <n v="6359.09"/>
    <n v="121"/>
    <x v="179"/>
    <x v="0"/>
  </r>
  <r>
    <x v="9"/>
    <x v="0"/>
    <x v="13"/>
    <n v="5523"/>
    <n v="87"/>
    <x v="24"/>
    <x v="0"/>
  </r>
  <r>
    <x v="9"/>
    <x v="0"/>
    <x v="13"/>
    <n v="5805.24"/>
    <n v="83"/>
    <x v="25"/>
    <x v="0"/>
  </r>
  <r>
    <x v="9"/>
    <x v="0"/>
    <x v="13"/>
    <n v="6267.19"/>
    <n v="83"/>
    <x v="26"/>
    <x v="0"/>
  </r>
  <r>
    <x v="9"/>
    <x v="1"/>
    <x v="2"/>
    <n v="9989"/>
    <n v="49"/>
    <x v="402"/>
    <x v="0"/>
  </r>
  <r>
    <x v="9"/>
    <x v="1"/>
    <x v="2"/>
    <n v="10265.969999999999"/>
    <n v="49"/>
    <x v="403"/>
    <x v="0"/>
  </r>
  <r>
    <x v="9"/>
    <x v="1"/>
    <x v="2"/>
    <n v="11705.99"/>
    <n v="47"/>
    <x v="404"/>
    <x v="0"/>
  </r>
  <r>
    <x v="9"/>
    <x v="1"/>
    <x v="3"/>
    <n v="1505"/>
    <n v="47"/>
    <x v="147"/>
    <x v="0"/>
  </r>
  <r>
    <x v="9"/>
    <x v="1"/>
    <x v="3"/>
    <n v="1540.55"/>
    <n v="47"/>
    <x v="148"/>
    <x v="0"/>
  </r>
  <r>
    <x v="9"/>
    <x v="1"/>
    <x v="3"/>
    <n v="1804.9"/>
    <n v="47"/>
    <x v="149"/>
    <x v="0"/>
  </r>
  <r>
    <x v="9"/>
    <x v="1"/>
    <x v="4"/>
    <n v="3549"/>
    <n v="82"/>
    <x v="369"/>
    <x v="0"/>
  </r>
  <r>
    <x v="9"/>
    <x v="1"/>
    <x v="4"/>
    <n v="3934.09"/>
    <n v="86"/>
    <x v="370"/>
    <x v="0"/>
  </r>
  <r>
    <x v="9"/>
    <x v="1"/>
    <x v="4"/>
    <n v="3716.17"/>
    <n v="89"/>
    <x v="371"/>
    <x v="0"/>
  </r>
  <r>
    <x v="9"/>
    <x v="1"/>
    <x v="19"/>
    <n v="5782"/>
    <n v="103"/>
    <x v="75"/>
    <x v="0"/>
  </r>
  <r>
    <x v="9"/>
    <x v="1"/>
    <x v="19"/>
    <n v="6633.23"/>
    <n v="103"/>
    <x v="76"/>
    <x v="0"/>
  </r>
  <r>
    <x v="9"/>
    <x v="1"/>
    <x v="19"/>
    <n v="6093.61"/>
    <n v="104"/>
    <x v="77"/>
    <x v="0"/>
  </r>
  <r>
    <x v="9"/>
    <x v="1"/>
    <x v="18"/>
    <n v="3052"/>
    <n v="116"/>
    <x v="111"/>
    <x v="0"/>
  </r>
  <r>
    <x v="9"/>
    <x v="1"/>
    <x v="18"/>
    <n v="3432.73"/>
    <n v="120"/>
    <x v="112"/>
    <x v="0"/>
  </r>
  <r>
    <x v="9"/>
    <x v="1"/>
    <x v="18"/>
    <n v="3523.33"/>
    <n v="114"/>
    <x v="113"/>
    <x v="0"/>
  </r>
  <r>
    <x v="9"/>
    <x v="1"/>
    <x v="15"/>
    <n v="11956"/>
    <n v="277"/>
    <x v="123"/>
    <x v="0"/>
  </r>
  <r>
    <x v="9"/>
    <x v="1"/>
    <x v="15"/>
    <n v="13173.56"/>
    <n v="301"/>
    <x v="124"/>
    <x v="0"/>
  </r>
  <r>
    <x v="9"/>
    <x v="1"/>
    <x v="15"/>
    <n v="13644"/>
    <n v="281"/>
    <x v="125"/>
    <x v="0"/>
  </r>
  <r>
    <x v="9"/>
    <x v="1"/>
    <x v="13"/>
    <n v="6587"/>
    <n v="4"/>
    <x v="306"/>
    <x v="0"/>
  </r>
  <r>
    <x v="9"/>
    <x v="1"/>
    <x v="13"/>
    <n v="6985.95"/>
    <n v="4"/>
    <x v="307"/>
    <x v="0"/>
  </r>
  <r>
    <x v="9"/>
    <x v="1"/>
    <x v="13"/>
    <n v="6987.59"/>
    <n v="4"/>
    <x v="308"/>
    <x v="0"/>
  </r>
  <r>
    <x v="9"/>
    <x v="2"/>
    <x v="10"/>
    <n v="3493"/>
    <n v="68"/>
    <x v="432"/>
    <x v="0"/>
  </r>
  <r>
    <x v="9"/>
    <x v="2"/>
    <x v="10"/>
    <n v="3687.44"/>
    <n v="73"/>
    <x v="433"/>
    <x v="0"/>
  </r>
  <r>
    <x v="9"/>
    <x v="2"/>
    <x v="10"/>
    <n v="3916.92"/>
    <n v="74"/>
    <x v="434"/>
    <x v="0"/>
  </r>
  <r>
    <x v="9"/>
    <x v="2"/>
    <x v="5"/>
    <n v="4935"/>
    <n v="73"/>
    <x v="99"/>
    <x v="0"/>
  </r>
  <r>
    <x v="9"/>
    <x v="2"/>
    <x v="5"/>
    <n v="5290.76"/>
    <n v="76"/>
    <x v="100"/>
    <x v="0"/>
  </r>
  <r>
    <x v="9"/>
    <x v="2"/>
    <x v="5"/>
    <n v="5932.12"/>
    <n v="79"/>
    <x v="101"/>
    <x v="0"/>
  </r>
  <r>
    <x v="9"/>
    <x v="2"/>
    <x v="6"/>
    <n v="4501"/>
    <n v="91"/>
    <x v="180"/>
    <x v="0"/>
  </r>
  <r>
    <x v="9"/>
    <x v="2"/>
    <x v="6"/>
    <n v="4666.18"/>
    <n v="100"/>
    <x v="181"/>
    <x v="0"/>
  </r>
  <r>
    <x v="9"/>
    <x v="2"/>
    <x v="6"/>
    <n v="5159.07"/>
    <n v="87"/>
    <x v="182"/>
    <x v="0"/>
  </r>
  <r>
    <x v="9"/>
    <x v="2"/>
    <x v="20"/>
    <n v="2583"/>
    <n v="159"/>
    <x v="297"/>
    <x v="0"/>
  </r>
  <r>
    <x v="9"/>
    <x v="2"/>
    <x v="20"/>
    <n v="2775.87"/>
    <n v="174"/>
    <x v="298"/>
    <x v="0"/>
  </r>
  <r>
    <x v="9"/>
    <x v="2"/>
    <x v="20"/>
    <n v="2843.9"/>
    <n v="158"/>
    <x v="299"/>
    <x v="0"/>
  </r>
  <r>
    <x v="9"/>
    <x v="2"/>
    <x v="13"/>
    <n v="1393"/>
    <n v="172"/>
    <x v="282"/>
    <x v="0"/>
  </r>
  <r>
    <x v="9"/>
    <x v="2"/>
    <x v="13"/>
    <n v="1484.67"/>
    <n v="180"/>
    <x v="283"/>
    <x v="0"/>
  </r>
  <r>
    <x v="9"/>
    <x v="2"/>
    <x v="13"/>
    <n v="1563.39"/>
    <n v="179"/>
    <x v="284"/>
    <x v="0"/>
  </r>
  <r>
    <x v="9"/>
    <x v="3"/>
    <x v="0"/>
    <n v="5670"/>
    <n v="64"/>
    <x v="378"/>
    <x v="0"/>
  </r>
  <r>
    <x v="9"/>
    <x v="3"/>
    <x v="0"/>
    <n v="5929.2"/>
    <n v="65"/>
    <x v="379"/>
    <x v="0"/>
  </r>
  <r>
    <x v="9"/>
    <x v="3"/>
    <x v="0"/>
    <n v="6723.42"/>
    <n v="67"/>
    <x v="380"/>
    <x v="0"/>
  </r>
  <r>
    <x v="9"/>
    <x v="3"/>
    <x v="8"/>
    <n v="5600"/>
    <n v="181"/>
    <x v="435"/>
    <x v="0"/>
  </r>
  <r>
    <x v="9"/>
    <x v="3"/>
    <x v="8"/>
    <n v="5833.8"/>
    <n v="196"/>
    <x v="436"/>
    <x v="0"/>
  </r>
  <r>
    <x v="9"/>
    <x v="3"/>
    <x v="8"/>
    <n v="6464.8"/>
    <n v="189"/>
    <x v="437"/>
    <x v="0"/>
  </r>
  <r>
    <x v="9"/>
    <x v="3"/>
    <x v="19"/>
    <n v="10976"/>
    <n v="121"/>
    <x v="339"/>
    <x v="0"/>
  </r>
  <r>
    <x v="9"/>
    <x v="3"/>
    <x v="19"/>
    <n v="11226.5"/>
    <n v="118"/>
    <x v="340"/>
    <x v="0"/>
  </r>
  <r>
    <x v="9"/>
    <x v="3"/>
    <x v="19"/>
    <n v="12314.13"/>
    <n v="129"/>
    <x v="341"/>
    <x v="0"/>
  </r>
  <r>
    <x v="9"/>
    <x v="3"/>
    <x v="5"/>
    <n v="8267"/>
    <n v="272"/>
    <x v="12"/>
    <x v="0"/>
  </r>
  <r>
    <x v="9"/>
    <x v="3"/>
    <x v="5"/>
    <n v="8495.7900000000009"/>
    <n v="268"/>
    <x v="13"/>
    <x v="0"/>
  </r>
  <r>
    <x v="9"/>
    <x v="3"/>
    <x v="5"/>
    <n v="8728.7999999999993"/>
    <n v="272"/>
    <x v="14"/>
    <x v="0"/>
  </r>
  <r>
    <x v="9"/>
    <x v="3"/>
    <x v="14"/>
    <n v="8204"/>
    <n v="307"/>
    <x v="54"/>
    <x v="0"/>
  </r>
  <r>
    <x v="9"/>
    <x v="3"/>
    <x v="14"/>
    <n v="9111.34"/>
    <n v="324"/>
    <x v="55"/>
    <x v="0"/>
  </r>
  <r>
    <x v="9"/>
    <x v="3"/>
    <x v="14"/>
    <n v="9866.2000000000007"/>
    <n v="306"/>
    <x v="56"/>
    <x v="0"/>
  </r>
  <r>
    <x v="9"/>
    <x v="3"/>
    <x v="20"/>
    <n v="1127"/>
    <n v="176"/>
    <x v="9"/>
    <x v="0"/>
  </r>
  <r>
    <x v="9"/>
    <x v="3"/>
    <x v="20"/>
    <n v="1161.31"/>
    <n v="181"/>
    <x v="10"/>
    <x v="0"/>
  </r>
  <r>
    <x v="9"/>
    <x v="3"/>
    <x v="20"/>
    <n v="1225.1199999999999"/>
    <n v="186"/>
    <x v="11"/>
    <x v="0"/>
  </r>
  <r>
    <x v="9"/>
    <x v="3"/>
    <x v="12"/>
    <n v="700"/>
    <n v="97"/>
    <x v="315"/>
    <x v="0"/>
  </r>
  <r>
    <x v="9"/>
    <x v="3"/>
    <x v="12"/>
    <n v="801.09"/>
    <n v="101"/>
    <x v="316"/>
    <x v="0"/>
  </r>
  <r>
    <x v="9"/>
    <x v="3"/>
    <x v="12"/>
    <n v="787.38"/>
    <n v="95"/>
    <x v="317"/>
    <x v="0"/>
  </r>
  <r>
    <x v="9"/>
    <x v="4"/>
    <x v="0"/>
    <n v="8197"/>
    <n v="69"/>
    <x v="417"/>
    <x v="0"/>
  </r>
  <r>
    <x v="9"/>
    <x v="4"/>
    <x v="0"/>
    <n v="8385.3799999999992"/>
    <n v="73"/>
    <x v="418"/>
    <x v="0"/>
  </r>
  <r>
    <x v="9"/>
    <x v="4"/>
    <x v="0"/>
    <n v="8937.3700000000008"/>
    <n v="66"/>
    <x v="419"/>
    <x v="0"/>
  </r>
  <r>
    <x v="9"/>
    <x v="4"/>
    <x v="7"/>
    <n v="840"/>
    <n v="81"/>
    <x v="432"/>
    <x v="0"/>
  </r>
  <r>
    <x v="9"/>
    <x v="4"/>
    <x v="7"/>
    <n v="949.18"/>
    <n v="83"/>
    <x v="433"/>
    <x v="0"/>
  </r>
  <r>
    <x v="9"/>
    <x v="4"/>
    <x v="7"/>
    <n v="942.02"/>
    <n v="84"/>
    <x v="434"/>
    <x v="0"/>
  </r>
  <r>
    <x v="9"/>
    <x v="4"/>
    <x v="1"/>
    <n v="12362"/>
    <n v="94"/>
    <x v="153"/>
    <x v="0"/>
  </r>
  <r>
    <x v="9"/>
    <x v="4"/>
    <x v="1"/>
    <n v="12764.94"/>
    <n v="100"/>
    <x v="154"/>
    <x v="0"/>
  </r>
  <r>
    <x v="9"/>
    <x v="4"/>
    <x v="1"/>
    <n v="13136.08"/>
    <n v="90"/>
    <x v="155"/>
    <x v="0"/>
  </r>
  <r>
    <x v="9"/>
    <x v="4"/>
    <x v="8"/>
    <n v="8029"/>
    <n v="175"/>
    <x v="141"/>
    <x v="0"/>
  </r>
  <r>
    <x v="9"/>
    <x v="4"/>
    <x v="8"/>
    <n v="8320.2900000000009"/>
    <n v="171"/>
    <x v="142"/>
    <x v="0"/>
  </r>
  <r>
    <x v="9"/>
    <x v="4"/>
    <x v="8"/>
    <n v="9186.69"/>
    <n v="173"/>
    <x v="143"/>
    <x v="0"/>
  </r>
  <r>
    <x v="9"/>
    <x v="4"/>
    <x v="2"/>
    <n v="5642"/>
    <n v="9"/>
    <x v="315"/>
    <x v="0"/>
  </r>
  <r>
    <x v="9"/>
    <x v="4"/>
    <x v="2"/>
    <n v="6046.4"/>
    <n v="10"/>
    <x v="316"/>
    <x v="0"/>
  </r>
  <r>
    <x v="9"/>
    <x v="4"/>
    <x v="2"/>
    <n v="6031.14"/>
    <n v="9"/>
    <x v="317"/>
    <x v="0"/>
  </r>
  <r>
    <x v="9"/>
    <x v="4"/>
    <x v="3"/>
    <n v="9023"/>
    <n v="409"/>
    <x v="54"/>
    <x v="0"/>
  </r>
  <r>
    <x v="9"/>
    <x v="4"/>
    <x v="3"/>
    <n v="9656.56"/>
    <n v="400"/>
    <x v="55"/>
    <x v="0"/>
  </r>
  <r>
    <x v="9"/>
    <x v="4"/>
    <x v="3"/>
    <n v="9969.65"/>
    <n v="449"/>
    <x v="56"/>
    <x v="0"/>
  </r>
  <r>
    <x v="9"/>
    <x v="4"/>
    <x v="4"/>
    <n v="5782"/>
    <n v="42"/>
    <x v="108"/>
    <x v="0"/>
  </r>
  <r>
    <x v="9"/>
    <x v="4"/>
    <x v="4"/>
    <n v="6157.17"/>
    <n v="43"/>
    <x v="109"/>
    <x v="0"/>
  </r>
  <r>
    <x v="9"/>
    <x v="4"/>
    <x v="4"/>
    <n v="6173.15"/>
    <n v="46"/>
    <x v="110"/>
    <x v="0"/>
  </r>
  <r>
    <x v="9"/>
    <x v="4"/>
    <x v="19"/>
    <n v="1232"/>
    <n v="86"/>
    <x v="438"/>
    <x v="0"/>
  </r>
  <r>
    <x v="9"/>
    <x v="4"/>
    <x v="19"/>
    <n v="1412.22"/>
    <n v="90"/>
    <x v="439"/>
    <x v="0"/>
  </r>
  <r>
    <x v="9"/>
    <x v="4"/>
    <x v="19"/>
    <n v="1448.1"/>
    <n v="92"/>
    <x v="440"/>
    <x v="0"/>
  </r>
  <r>
    <x v="9"/>
    <x v="4"/>
    <x v="18"/>
    <n v="1365"/>
    <n v="232"/>
    <x v="441"/>
    <x v="0"/>
  </r>
  <r>
    <x v="9"/>
    <x v="4"/>
    <x v="18"/>
    <n v="1406.91"/>
    <n v="231"/>
    <x v="442"/>
    <x v="0"/>
  </r>
  <r>
    <x v="9"/>
    <x v="4"/>
    <x v="18"/>
    <n v="1436.97"/>
    <n v="248"/>
    <x v="443"/>
    <x v="0"/>
  </r>
  <r>
    <x v="9"/>
    <x v="5"/>
    <x v="0"/>
    <n v="2296"/>
    <n v="59"/>
    <x v="282"/>
    <x v="0"/>
  </r>
  <r>
    <x v="9"/>
    <x v="5"/>
    <x v="0"/>
    <n v="2456.1"/>
    <n v="58"/>
    <x v="283"/>
    <x v="0"/>
  </r>
  <r>
    <x v="9"/>
    <x v="5"/>
    <x v="0"/>
    <n v="2651.48"/>
    <n v="60"/>
    <x v="284"/>
    <x v="0"/>
  </r>
  <r>
    <x v="9"/>
    <x v="5"/>
    <x v="7"/>
    <n v="7364"/>
    <n v="196"/>
    <x v="444"/>
    <x v="0"/>
  </r>
  <r>
    <x v="9"/>
    <x v="5"/>
    <x v="7"/>
    <n v="8078.15"/>
    <n v="189"/>
    <x v="445"/>
    <x v="0"/>
  </r>
  <r>
    <x v="9"/>
    <x v="5"/>
    <x v="7"/>
    <n v="8561.59"/>
    <n v="204"/>
    <x v="446"/>
    <x v="0"/>
  </r>
  <r>
    <x v="9"/>
    <x v="5"/>
    <x v="17"/>
    <n v="784"/>
    <n v="249"/>
    <x v="0"/>
    <x v="0"/>
  </r>
  <r>
    <x v="9"/>
    <x v="5"/>
    <x v="17"/>
    <n v="885.68"/>
    <n v="240"/>
    <x v="1"/>
    <x v="0"/>
  </r>
  <r>
    <x v="9"/>
    <x v="5"/>
    <x v="17"/>
    <n v="906.85"/>
    <n v="246"/>
    <x v="2"/>
    <x v="0"/>
  </r>
  <r>
    <x v="9"/>
    <x v="5"/>
    <x v="8"/>
    <n v="1848"/>
    <n v="227"/>
    <x v="444"/>
    <x v="0"/>
  </r>
  <r>
    <x v="9"/>
    <x v="5"/>
    <x v="8"/>
    <n v="2043.13"/>
    <n v="243"/>
    <x v="445"/>
    <x v="0"/>
  </r>
  <r>
    <x v="9"/>
    <x v="5"/>
    <x v="8"/>
    <n v="1969.06"/>
    <n v="235"/>
    <x v="446"/>
    <x v="0"/>
  </r>
  <r>
    <x v="9"/>
    <x v="5"/>
    <x v="21"/>
    <n v="12313"/>
    <n v="103"/>
    <x v="66"/>
    <x v="0"/>
  </r>
  <r>
    <x v="9"/>
    <x v="5"/>
    <x v="21"/>
    <n v="13018"/>
    <n v="103"/>
    <x v="67"/>
    <x v="0"/>
  </r>
  <r>
    <x v="9"/>
    <x v="5"/>
    <x v="21"/>
    <n v="14154.35"/>
    <n v="105"/>
    <x v="68"/>
    <x v="0"/>
  </r>
  <r>
    <x v="9"/>
    <x v="5"/>
    <x v="19"/>
    <n v="2821"/>
    <n v="112"/>
    <x v="156"/>
    <x v="0"/>
  </r>
  <r>
    <x v="9"/>
    <x v="5"/>
    <x v="19"/>
    <n v="3099.14"/>
    <n v="115"/>
    <x v="157"/>
    <x v="0"/>
  </r>
  <r>
    <x v="9"/>
    <x v="5"/>
    <x v="19"/>
    <n v="2966.98"/>
    <n v="121"/>
    <x v="158"/>
    <x v="0"/>
  </r>
  <r>
    <x v="9"/>
    <x v="5"/>
    <x v="18"/>
    <n v="476"/>
    <n v="133"/>
    <x v="288"/>
    <x v="0"/>
  </r>
  <r>
    <x v="9"/>
    <x v="5"/>
    <x v="18"/>
    <n v="516.91999999999996"/>
    <n v="141"/>
    <x v="289"/>
    <x v="0"/>
  </r>
  <r>
    <x v="9"/>
    <x v="5"/>
    <x v="18"/>
    <n v="521.35"/>
    <n v="127"/>
    <x v="290"/>
    <x v="0"/>
  </r>
  <r>
    <x v="9"/>
    <x v="5"/>
    <x v="6"/>
    <n v="280"/>
    <n v="75"/>
    <x v="276"/>
    <x v="0"/>
  </r>
  <r>
    <x v="9"/>
    <x v="5"/>
    <x v="6"/>
    <n v="321.61"/>
    <n v="76"/>
    <x v="277"/>
    <x v="0"/>
  </r>
  <r>
    <x v="9"/>
    <x v="5"/>
    <x v="6"/>
    <n v="323.29000000000002"/>
    <n v="72"/>
    <x v="278"/>
    <x v="0"/>
  </r>
  <r>
    <x v="9"/>
    <x v="5"/>
    <x v="12"/>
    <n v="2583"/>
    <n v="126"/>
    <x v="447"/>
    <x v="0"/>
  </r>
  <r>
    <x v="9"/>
    <x v="5"/>
    <x v="12"/>
    <n v="2972.07"/>
    <n v="129"/>
    <x v="448"/>
    <x v="0"/>
  </r>
  <r>
    <x v="9"/>
    <x v="5"/>
    <x v="12"/>
    <n v="2960.99"/>
    <n v="133"/>
    <x v="449"/>
    <x v="0"/>
  </r>
  <r>
    <x v="9"/>
    <x v="5"/>
    <x v="15"/>
    <n v="10829"/>
    <n v="54"/>
    <x v="435"/>
    <x v="0"/>
  </r>
  <r>
    <x v="9"/>
    <x v="5"/>
    <x v="15"/>
    <n v="12450.24"/>
    <n v="57"/>
    <x v="436"/>
    <x v="0"/>
  </r>
  <r>
    <x v="9"/>
    <x v="5"/>
    <x v="15"/>
    <n v="12156.54"/>
    <n v="54"/>
    <x v="437"/>
    <x v="0"/>
  </r>
  <r>
    <x v="10"/>
    <x v="0"/>
    <x v="0"/>
    <n v="12271"/>
    <n v="116"/>
    <x v="66"/>
    <x v="0"/>
  </r>
  <r>
    <x v="10"/>
    <x v="0"/>
    <x v="0"/>
    <n v="12728.16"/>
    <n v="111"/>
    <x v="67"/>
    <x v="0"/>
  </r>
  <r>
    <x v="10"/>
    <x v="0"/>
    <x v="0"/>
    <n v="13072.95"/>
    <n v="119"/>
    <x v="68"/>
    <x v="0"/>
  </r>
  <r>
    <x v="10"/>
    <x v="0"/>
    <x v="17"/>
    <n v="7952"/>
    <n v="235"/>
    <x v="144"/>
    <x v="0"/>
  </r>
  <r>
    <x v="10"/>
    <x v="0"/>
    <x v="17"/>
    <n v="8564.73"/>
    <n v="237"/>
    <x v="145"/>
    <x v="0"/>
  </r>
  <r>
    <x v="10"/>
    <x v="0"/>
    <x v="17"/>
    <n v="8861.83"/>
    <n v="226"/>
    <x v="146"/>
    <x v="0"/>
  </r>
  <r>
    <x v="10"/>
    <x v="0"/>
    <x v="8"/>
    <n v="3080"/>
    <n v="73"/>
    <x v="246"/>
    <x v="0"/>
  </r>
  <r>
    <x v="10"/>
    <x v="0"/>
    <x v="8"/>
    <n v="3249.23"/>
    <n v="78"/>
    <x v="247"/>
    <x v="0"/>
  </r>
  <r>
    <x v="10"/>
    <x v="0"/>
    <x v="8"/>
    <n v="3400.26"/>
    <n v="77"/>
    <x v="248"/>
    <x v="0"/>
  </r>
  <r>
    <x v="10"/>
    <x v="0"/>
    <x v="2"/>
    <n v="3752"/>
    <n v="424"/>
    <x v="177"/>
    <x v="0"/>
  </r>
  <r>
    <x v="10"/>
    <x v="0"/>
    <x v="2"/>
    <n v="4101.26"/>
    <n v="425"/>
    <x v="178"/>
    <x v="0"/>
  </r>
  <r>
    <x v="10"/>
    <x v="0"/>
    <x v="2"/>
    <n v="4498.05"/>
    <n v="464"/>
    <x v="179"/>
    <x v="0"/>
  </r>
  <r>
    <x v="10"/>
    <x v="0"/>
    <x v="4"/>
    <n v="2317"/>
    <n v="195"/>
    <x v="444"/>
    <x v="0"/>
  </r>
  <r>
    <x v="10"/>
    <x v="0"/>
    <x v="4"/>
    <n v="2342.4899999999998"/>
    <n v="192"/>
    <x v="445"/>
    <x v="0"/>
  </r>
  <r>
    <x v="10"/>
    <x v="0"/>
    <x v="4"/>
    <n v="2456.77"/>
    <n v="188"/>
    <x v="446"/>
    <x v="0"/>
  </r>
  <r>
    <x v="10"/>
    <x v="0"/>
    <x v="19"/>
    <n v="6013"/>
    <n v="21"/>
    <x v="300"/>
    <x v="0"/>
  </r>
  <r>
    <x v="10"/>
    <x v="0"/>
    <x v="19"/>
    <n v="6528.42"/>
    <n v="22"/>
    <x v="301"/>
    <x v="0"/>
  </r>
  <r>
    <x v="10"/>
    <x v="0"/>
    <x v="19"/>
    <n v="7044.68"/>
    <n v="21"/>
    <x v="302"/>
    <x v="0"/>
  </r>
  <r>
    <x v="10"/>
    <x v="0"/>
    <x v="20"/>
    <n v="602"/>
    <n v="72"/>
    <x v="318"/>
    <x v="0"/>
  </r>
  <r>
    <x v="10"/>
    <x v="0"/>
    <x v="20"/>
    <n v="607.08000000000004"/>
    <n v="76"/>
    <x v="319"/>
    <x v="0"/>
  </r>
  <r>
    <x v="10"/>
    <x v="0"/>
    <x v="20"/>
    <n v="709.53"/>
    <n v="77"/>
    <x v="320"/>
    <x v="0"/>
  </r>
  <r>
    <x v="10"/>
    <x v="1"/>
    <x v="0"/>
    <n v="3024"/>
    <n v="23"/>
    <x v="36"/>
    <x v="0"/>
  </r>
  <r>
    <x v="10"/>
    <x v="1"/>
    <x v="0"/>
    <n v="3044.01"/>
    <n v="22"/>
    <x v="37"/>
    <x v="0"/>
  </r>
  <r>
    <x v="10"/>
    <x v="1"/>
    <x v="0"/>
    <n v="3615.98"/>
    <n v="24"/>
    <x v="38"/>
    <x v="0"/>
  </r>
  <r>
    <x v="10"/>
    <x v="1"/>
    <x v="8"/>
    <n v="2744"/>
    <n v="200"/>
    <x v="198"/>
    <x v="0"/>
  </r>
  <r>
    <x v="10"/>
    <x v="1"/>
    <x v="8"/>
    <n v="3125.34"/>
    <n v="191"/>
    <x v="199"/>
    <x v="0"/>
  </r>
  <r>
    <x v="10"/>
    <x v="1"/>
    <x v="8"/>
    <n v="3038.32"/>
    <n v="220"/>
    <x v="200"/>
    <x v="0"/>
  </r>
  <r>
    <x v="10"/>
    <x v="1"/>
    <x v="2"/>
    <n v="1309"/>
    <n v="30"/>
    <x v="261"/>
    <x v="0"/>
  </r>
  <r>
    <x v="10"/>
    <x v="1"/>
    <x v="2"/>
    <n v="1308.52"/>
    <n v="30"/>
    <x v="262"/>
    <x v="0"/>
  </r>
  <r>
    <x v="10"/>
    <x v="1"/>
    <x v="2"/>
    <n v="1469.24"/>
    <n v="29"/>
    <x v="263"/>
    <x v="0"/>
  </r>
  <r>
    <x v="10"/>
    <x v="1"/>
    <x v="19"/>
    <n v="13888"/>
    <n v="203"/>
    <x v="246"/>
    <x v="0"/>
  </r>
  <r>
    <x v="10"/>
    <x v="1"/>
    <x v="19"/>
    <n v="15840.74"/>
    <n v="216"/>
    <x v="247"/>
    <x v="0"/>
  </r>
  <r>
    <x v="10"/>
    <x v="1"/>
    <x v="19"/>
    <n v="14596.37"/>
    <n v="196"/>
    <x v="248"/>
    <x v="0"/>
  </r>
  <r>
    <x v="10"/>
    <x v="1"/>
    <x v="16"/>
    <n v="7756"/>
    <n v="410"/>
    <x v="450"/>
    <x v="0"/>
  </r>
  <r>
    <x v="10"/>
    <x v="1"/>
    <x v="16"/>
    <n v="8829.77"/>
    <n v="445"/>
    <x v="451"/>
    <x v="0"/>
  </r>
  <r>
    <x v="10"/>
    <x v="1"/>
    <x v="16"/>
    <n v="8936.91"/>
    <n v="442"/>
    <x v="452"/>
    <x v="0"/>
  </r>
  <r>
    <x v="10"/>
    <x v="1"/>
    <x v="20"/>
    <n v="2058"/>
    <n v="126"/>
    <x v="153"/>
    <x v="0"/>
  </r>
  <r>
    <x v="10"/>
    <x v="1"/>
    <x v="20"/>
    <n v="2375.7399999999998"/>
    <n v="129"/>
    <x v="154"/>
    <x v="0"/>
  </r>
  <r>
    <x v="10"/>
    <x v="1"/>
    <x v="20"/>
    <n v="2223.4899999999998"/>
    <n v="127"/>
    <x v="155"/>
    <x v="0"/>
  </r>
  <r>
    <x v="10"/>
    <x v="1"/>
    <x v="15"/>
    <n v="13405"/>
    <n v="12"/>
    <x v="69"/>
    <x v="0"/>
  </r>
  <r>
    <x v="10"/>
    <x v="1"/>
    <x v="15"/>
    <n v="14887.76"/>
    <n v="12"/>
    <x v="70"/>
    <x v="0"/>
  </r>
  <r>
    <x v="10"/>
    <x v="1"/>
    <x v="15"/>
    <n v="14603.41"/>
    <n v="12"/>
    <x v="71"/>
    <x v="0"/>
  </r>
  <r>
    <x v="10"/>
    <x v="1"/>
    <x v="13"/>
    <n v="7560"/>
    <n v="15"/>
    <x v="30"/>
    <x v="0"/>
  </r>
  <r>
    <x v="10"/>
    <x v="1"/>
    <x v="13"/>
    <n v="7685.42"/>
    <n v="15"/>
    <x v="31"/>
    <x v="0"/>
  </r>
  <r>
    <x v="10"/>
    <x v="1"/>
    <x v="13"/>
    <n v="8578.4"/>
    <n v="15"/>
    <x v="32"/>
    <x v="0"/>
  </r>
  <r>
    <x v="10"/>
    <x v="2"/>
    <x v="0"/>
    <n v="12992"/>
    <n v="83"/>
    <x v="9"/>
    <x v="0"/>
  </r>
  <r>
    <x v="10"/>
    <x v="2"/>
    <x v="0"/>
    <n v="14456.14"/>
    <n v="79"/>
    <x v="10"/>
    <x v="0"/>
  </r>
  <r>
    <x v="10"/>
    <x v="2"/>
    <x v="0"/>
    <n v="13731.44"/>
    <n v="82"/>
    <x v="11"/>
    <x v="0"/>
  </r>
  <r>
    <x v="10"/>
    <x v="2"/>
    <x v="3"/>
    <n v="2191"/>
    <n v="524"/>
    <x v="411"/>
    <x v="0"/>
  </r>
  <r>
    <x v="10"/>
    <x v="2"/>
    <x v="3"/>
    <n v="2385.4"/>
    <n v="540"/>
    <x v="412"/>
    <x v="0"/>
  </r>
  <r>
    <x v="10"/>
    <x v="2"/>
    <x v="3"/>
    <n v="2432.75"/>
    <n v="535"/>
    <x v="413"/>
    <x v="0"/>
  </r>
  <r>
    <x v="10"/>
    <x v="2"/>
    <x v="9"/>
    <n v="2471"/>
    <n v="202"/>
    <x v="261"/>
    <x v="0"/>
  </r>
  <r>
    <x v="10"/>
    <x v="2"/>
    <x v="9"/>
    <n v="2706.83"/>
    <n v="198"/>
    <x v="262"/>
    <x v="0"/>
  </r>
  <r>
    <x v="10"/>
    <x v="2"/>
    <x v="9"/>
    <n v="2941.72"/>
    <n v="220"/>
    <x v="263"/>
    <x v="0"/>
  </r>
  <r>
    <x v="10"/>
    <x v="2"/>
    <x v="16"/>
    <n v="4256"/>
    <n v="67"/>
    <x v="327"/>
    <x v="0"/>
  </r>
  <r>
    <x v="10"/>
    <x v="2"/>
    <x v="16"/>
    <n v="4451.38"/>
    <n v="71"/>
    <x v="328"/>
    <x v="0"/>
  </r>
  <r>
    <x v="10"/>
    <x v="2"/>
    <x v="16"/>
    <n v="4737.32"/>
    <n v="74"/>
    <x v="329"/>
    <x v="0"/>
  </r>
  <r>
    <x v="10"/>
    <x v="2"/>
    <x v="11"/>
    <n v="7196"/>
    <n v="160"/>
    <x v="453"/>
    <x v="0"/>
  </r>
  <r>
    <x v="10"/>
    <x v="2"/>
    <x v="11"/>
    <n v="7302.42"/>
    <n v="153"/>
    <x v="454"/>
    <x v="0"/>
  </r>
  <r>
    <x v="10"/>
    <x v="2"/>
    <x v="11"/>
    <n v="8665.99"/>
    <n v="162"/>
    <x v="455"/>
    <x v="0"/>
  </r>
  <r>
    <x v="10"/>
    <x v="2"/>
    <x v="12"/>
    <n v="3752"/>
    <n v="70"/>
    <x v="66"/>
    <x v="0"/>
  </r>
  <r>
    <x v="10"/>
    <x v="2"/>
    <x v="12"/>
    <n v="3938.2"/>
    <n v="70"/>
    <x v="67"/>
    <x v="0"/>
  </r>
  <r>
    <x v="10"/>
    <x v="2"/>
    <x v="12"/>
    <n v="4133.74"/>
    <n v="69"/>
    <x v="68"/>
    <x v="0"/>
  </r>
  <r>
    <x v="10"/>
    <x v="2"/>
    <x v="15"/>
    <n v="6510"/>
    <n v="170"/>
    <x v="285"/>
    <x v="0"/>
  </r>
  <r>
    <x v="10"/>
    <x v="2"/>
    <x v="15"/>
    <n v="7362.7"/>
    <n v="179"/>
    <x v="286"/>
    <x v="0"/>
  </r>
  <r>
    <x v="10"/>
    <x v="2"/>
    <x v="15"/>
    <n v="7117.3"/>
    <n v="174"/>
    <x v="287"/>
    <x v="0"/>
  </r>
  <r>
    <x v="10"/>
    <x v="3"/>
    <x v="8"/>
    <n v="7175"/>
    <n v="145"/>
    <x v="9"/>
    <x v="0"/>
  </r>
  <r>
    <x v="10"/>
    <x v="3"/>
    <x v="8"/>
    <n v="7772.63"/>
    <n v="140"/>
    <x v="10"/>
    <x v="0"/>
  </r>
  <r>
    <x v="10"/>
    <x v="3"/>
    <x v="8"/>
    <n v="7605.55"/>
    <n v="154"/>
    <x v="11"/>
    <x v="0"/>
  </r>
  <r>
    <x v="10"/>
    <x v="3"/>
    <x v="2"/>
    <n v="5173"/>
    <n v="129"/>
    <x v="456"/>
    <x v="0"/>
  </r>
  <r>
    <x v="10"/>
    <x v="3"/>
    <x v="2"/>
    <n v="5752.62"/>
    <n v="125"/>
    <x v="457"/>
    <x v="0"/>
  </r>
  <r>
    <x v="10"/>
    <x v="3"/>
    <x v="2"/>
    <n v="6015.37"/>
    <n v="136"/>
    <x v="458"/>
    <x v="0"/>
  </r>
  <r>
    <x v="10"/>
    <x v="3"/>
    <x v="21"/>
    <n v="13062"/>
    <n v="62"/>
    <x v="309"/>
    <x v="0"/>
  </r>
  <r>
    <x v="10"/>
    <x v="3"/>
    <x v="21"/>
    <n v="13998.33"/>
    <n v="60"/>
    <x v="310"/>
    <x v="0"/>
  </r>
  <r>
    <x v="10"/>
    <x v="3"/>
    <x v="21"/>
    <n v="14722.35"/>
    <n v="61"/>
    <x v="311"/>
    <x v="0"/>
  </r>
  <r>
    <x v="10"/>
    <x v="3"/>
    <x v="19"/>
    <n v="9205"/>
    <n v="419"/>
    <x v="345"/>
    <x v="0"/>
  </r>
  <r>
    <x v="10"/>
    <x v="3"/>
    <x v="19"/>
    <n v="10454.549999999999"/>
    <n v="434"/>
    <x v="346"/>
    <x v="0"/>
  </r>
  <r>
    <x v="10"/>
    <x v="3"/>
    <x v="19"/>
    <n v="9759.5300000000007"/>
    <n v="424"/>
    <x v="347"/>
    <x v="0"/>
  </r>
  <r>
    <x v="10"/>
    <x v="3"/>
    <x v="20"/>
    <n v="630"/>
    <n v="52"/>
    <x v="84"/>
    <x v="0"/>
  </r>
  <r>
    <x v="10"/>
    <x v="3"/>
    <x v="20"/>
    <n v="727.11"/>
    <n v="50"/>
    <x v="85"/>
    <x v="0"/>
  </r>
  <r>
    <x v="10"/>
    <x v="3"/>
    <x v="20"/>
    <n v="758.28"/>
    <n v="57"/>
    <x v="86"/>
    <x v="0"/>
  </r>
  <r>
    <x v="10"/>
    <x v="3"/>
    <x v="15"/>
    <n v="6867"/>
    <n v="183"/>
    <x v="12"/>
    <x v="0"/>
  </r>
  <r>
    <x v="10"/>
    <x v="3"/>
    <x v="15"/>
    <n v="7265.05"/>
    <n v="194"/>
    <x v="13"/>
    <x v="0"/>
  </r>
  <r>
    <x v="10"/>
    <x v="3"/>
    <x v="15"/>
    <n v="7712.91"/>
    <n v="192"/>
    <x v="14"/>
    <x v="0"/>
  </r>
  <r>
    <x v="10"/>
    <x v="4"/>
    <x v="0"/>
    <n v="2107"/>
    <n v="121"/>
    <x v="162"/>
    <x v="0"/>
  </r>
  <r>
    <x v="10"/>
    <x v="4"/>
    <x v="0"/>
    <n v="2260.21"/>
    <n v="128"/>
    <x v="163"/>
    <x v="0"/>
  </r>
  <r>
    <x v="10"/>
    <x v="4"/>
    <x v="0"/>
    <n v="2498.04"/>
    <n v="129"/>
    <x v="164"/>
    <x v="0"/>
  </r>
  <r>
    <x v="10"/>
    <x v="4"/>
    <x v="17"/>
    <n v="7"/>
    <n v="84"/>
    <x v="414"/>
    <x v="1"/>
  </r>
  <r>
    <x v="10"/>
    <x v="4"/>
    <x v="17"/>
    <n v="8.0399999999999991"/>
    <n v="85"/>
    <x v="415"/>
    <x v="1"/>
  </r>
  <r>
    <x v="10"/>
    <x v="4"/>
    <x v="17"/>
    <n v="8.16"/>
    <n v="84"/>
    <x v="416"/>
    <x v="1"/>
  </r>
  <r>
    <x v="10"/>
    <x v="4"/>
    <x v="21"/>
    <n v="5775"/>
    <n v="135"/>
    <x v="108"/>
    <x v="0"/>
  </r>
  <r>
    <x v="10"/>
    <x v="4"/>
    <x v="21"/>
    <n v="6635.15"/>
    <n v="141"/>
    <x v="109"/>
    <x v="0"/>
  </r>
  <r>
    <x v="10"/>
    <x v="4"/>
    <x v="21"/>
    <n v="6154.53"/>
    <n v="132"/>
    <x v="110"/>
    <x v="0"/>
  </r>
  <r>
    <x v="10"/>
    <x v="4"/>
    <x v="10"/>
    <n v="3619"/>
    <n v="164"/>
    <x v="282"/>
    <x v="0"/>
  </r>
  <r>
    <x v="10"/>
    <x v="4"/>
    <x v="10"/>
    <n v="3826.22"/>
    <n v="169"/>
    <x v="283"/>
    <x v="0"/>
  </r>
  <r>
    <x v="10"/>
    <x v="4"/>
    <x v="10"/>
    <n v="4059.65"/>
    <n v="175"/>
    <x v="284"/>
    <x v="0"/>
  </r>
  <r>
    <x v="10"/>
    <x v="4"/>
    <x v="5"/>
    <n v="6762"/>
    <n v="46"/>
    <x v="210"/>
    <x v="0"/>
  </r>
  <r>
    <x v="10"/>
    <x v="4"/>
    <x v="5"/>
    <n v="7304.74"/>
    <n v="49"/>
    <x v="211"/>
    <x v="0"/>
  </r>
  <r>
    <x v="10"/>
    <x v="4"/>
    <x v="5"/>
    <n v="7917.76"/>
    <n v="50"/>
    <x v="212"/>
    <x v="0"/>
  </r>
  <r>
    <x v="10"/>
    <x v="4"/>
    <x v="20"/>
    <n v="6811"/>
    <n v="344"/>
    <x v="30"/>
    <x v="0"/>
  </r>
  <r>
    <x v="10"/>
    <x v="4"/>
    <x v="20"/>
    <n v="7055.38"/>
    <n v="334"/>
    <x v="31"/>
    <x v="0"/>
  </r>
  <r>
    <x v="10"/>
    <x v="4"/>
    <x v="20"/>
    <n v="8043.29"/>
    <n v="344"/>
    <x v="32"/>
    <x v="0"/>
  </r>
  <r>
    <x v="10"/>
    <x v="4"/>
    <x v="12"/>
    <n v="749"/>
    <n v="148"/>
    <x v="459"/>
    <x v="0"/>
  </r>
  <r>
    <x v="10"/>
    <x v="4"/>
    <x v="12"/>
    <n v="860.12"/>
    <n v="158"/>
    <x v="460"/>
    <x v="0"/>
  </r>
  <r>
    <x v="10"/>
    <x v="4"/>
    <x v="12"/>
    <n v="867.5"/>
    <n v="143"/>
    <x v="461"/>
    <x v="0"/>
  </r>
  <r>
    <x v="10"/>
    <x v="4"/>
    <x v="15"/>
    <n v="12488"/>
    <n v="200"/>
    <x v="39"/>
    <x v="0"/>
  </r>
  <r>
    <x v="10"/>
    <x v="4"/>
    <x v="15"/>
    <n v="13105.65"/>
    <n v="199"/>
    <x v="40"/>
    <x v="0"/>
  </r>
  <r>
    <x v="10"/>
    <x v="4"/>
    <x v="15"/>
    <n v="13444.87"/>
    <n v="197"/>
    <x v="41"/>
    <x v="0"/>
  </r>
  <r>
    <x v="10"/>
    <x v="5"/>
    <x v="1"/>
    <n v="7007"/>
    <n v="135"/>
    <x v="108"/>
    <x v="0"/>
  </r>
  <r>
    <x v="10"/>
    <x v="5"/>
    <x v="1"/>
    <n v="7586.38"/>
    <n v="131"/>
    <x v="109"/>
    <x v="0"/>
  </r>
  <r>
    <x v="10"/>
    <x v="5"/>
    <x v="1"/>
    <n v="8347.2999999999993"/>
    <n v="138"/>
    <x v="110"/>
    <x v="0"/>
  </r>
  <r>
    <x v="10"/>
    <x v="5"/>
    <x v="8"/>
    <n v="3738"/>
    <n v="261"/>
    <x v="423"/>
    <x v="0"/>
  </r>
  <r>
    <x v="10"/>
    <x v="5"/>
    <x v="8"/>
    <n v="4264.49"/>
    <n v="252"/>
    <x v="424"/>
    <x v="0"/>
  </r>
  <r>
    <x v="10"/>
    <x v="5"/>
    <x v="8"/>
    <n v="4273.09"/>
    <n v="280"/>
    <x v="425"/>
    <x v="0"/>
  </r>
  <r>
    <x v="10"/>
    <x v="5"/>
    <x v="4"/>
    <n v="3843"/>
    <n v="5"/>
    <x v="276"/>
    <x v="0"/>
  </r>
  <r>
    <x v="10"/>
    <x v="5"/>
    <x v="4"/>
    <n v="3857.27"/>
    <n v="5"/>
    <x v="277"/>
    <x v="0"/>
  </r>
  <r>
    <x v="10"/>
    <x v="5"/>
    <x v="4"/>
    <n v="4142.16"/>
    <n v="5"/>
    <x v="278"/>
    <x v="0"/>
  </r>
  <r>
    <x v="10"/>
    <x v="5"/>
    <x v="10"/>
    <n v="6916"/>
    <n v="42"/>
    <x v="462"/>
    <x v="0"/>
  </r>
  <r>
    <x v="10"/>
    <x v="5"/>
    <x v="10"/>
    <n v="7368.94"/>
    <n v="45"/>
    <x v="463"/>
    <x v="0"/>
  </r>
  <r>
    <x v="10"/>
    <x v="5"/>
    <x v="10"/>
    <n v="7301.31"/>
    <n v="42"/>
    <x v="464"/>
    <x v="0"/>
  </r>
  <r>
    <x v="10"/>
    <x v="5"/>
    <x v="19"/>
    <n v="5852"/>
    <n v="93"/>
    <x v="429"/>
    <x v="0"/>
  </r>
  <r>
    <x v="10"/>
    <x v="5"/>
    <x v="19"/>
    <n v="6669.6"/>
    <n v="99"/>
    <x v="430"/>
    <x v="0"/>
  </r>
  <r>
    <x v="10"/>
    <x v="5"/>
    <x v="19"/>
    <n v="6937.75"/>
    <n v="94"/>
    <x v="431"/>
    <x v="0"/>
  </r>
  <r>
    <x v="10"/>
    <x v="5"/>
    <x v="11"/>
    <n v="2331"/>
    <n v="321"/>
    <x v="252"/>
    <x v="0"/>
  </r>
  <r>
    <x v="10"/>
    <x v="5"/>
    <x v="11"/>
    <n v="2494.19"/>
    <n v="315"/>
    <x v="253"/>
    <x v="0"/>
  </r>
  <r>
    <x v="10"/>
    <x v="5"/>
    <x v="11"/>
    <n v="2495.71"/>
    <n v="310"/>
    <x v="254"/>
    <x v="0"/>
  </r>
  <r>
    <x v="10"/>
    <x v="5"/>
    <x v="15"/>
    <n v="1267"/>
    <n v="157"/>
    <x v="258"/>
    <x v="0"/>
  </r>
  <r>
    <x v="10"/>
    <x v="5"/>
    <x v="15"/>
    <n v="1339.61"/>
    <n v="166"/>
    <x v="259"/>
    <x v="0"/>
  </r>
  <r>
    <x v="10"/>
    <x v="5"/>
    <x v="15"/>
    <n v="1440.85"/>
    <n v="152"/>
    <x v="260"/>
    <x v="0"/>
  </r>
  <r>
    <x v="11"/>
    <x v="0"/>
    <x v="0"/>
    <n v="14889"/>
    <n v="52"/>
    <x v="273"/>
    <x v="0"/>
  </r>
  <r>
    <x v="11"/>
    <x v="0"/>
    <x v="0"/>
    <n v="14953.43"/>
    <n v="51"/>
    <x v="274"/>
    <x v="0"/>
  </r>
  <r>
    <x v="11"/>
    <x v="0"/>
    <x v="0"/>
    <n v="15593.5"/>
    <n v="56"/>
    <x v="275"/>
    <x v="0"/>
  </r>
  <r>
    <x v="11"/>
    <x v="0"/>
    <x v="17"/>
    <n v="3087"/>
    <n v="128"/>
    <x v="330"/>
    <x v="0"/>
  </r>
  <r>
    <x v="11"/>
    <x v="0"/>
    <x v="17"/>
    <n v="3430.43"/>
    <n v="123"/>
    <x v="331"/>
    <x v="0"/>
  </r>
  <r>
    <x v="11"/>
    <x v="0"/>
    <x v="17"/>
    <n v="3277.47"/>
    <n v="131"/>
    <x v="332"/>
    <x v="0"/>
  </r>
  <r>
    <x v="11"/>
    <x v="0"/>
    <x v="10"/>
    <n v="6993"/>
    <n v="31"/>
    <x v="123"/>
    <x v="0"/>
  </r>
  <r>
    <x v="11"/>
    <x v="0"/>
    <x v="10"/>
    <n v="7299.4"/>
    <n v="34"/>
    <x v="124"/>
    <x v="0"/>
  </r>
  <r>
    <x v="11"/>
    <x v="0"/>
    <x v="10"/>
    <n v="7914.74"/>
    <n v="31"/>
    <x v="125"/>
    <x v="0"/>
  </r>
  <r>
    <x v="11"/>
    <x v="0"/>
    <x v="19"/>
    <n v="7959"/>
    <n v="53"/>
    <x v="147"/>
    <x v="0"/>
  </r>
  <r>
    <x v="11"/>
    <x v="0"/>
    <x v="19"/>
    <n v="8081.79"/>
    <n v="54"/>
    <x v="148"/>
    <x v="0"/>
  </r>
  <r>
    <x v="11"/>
    <x v="0"/>
    <x v="19"/>
    <n v="8548"/>
    <n v="55"/>
    <x v="149"/>
    <x v="0"/>
  </r>
  <r>
    <x v="11"/>
    <x v="0"/>
    <x v="5"/>
    <n v="7161"/>
    <n v="92"/>
    <x v="387"/>
    <x v="0"/>
  </r>
  <r>
    <x v="11"/>
    <x v="0"/>
    <x v="5"/>
    <n v="7984.45"/>
    <n v="95"/>
    <x v="388"/>
    <x v="0"/>
  </r>
  <r>
    <x v="11"/>
    <x v="0"/>
    <x v="5"/>
    <n v="7824.91"/>
    <n v="100"/>
    <x v="389"/>
    <x v="0"/>
  </r>
  <r>
    <x v="11"/>
    <x v="0"/>
    <x v="14"/>
    <n v="8897"/>
    <n v="188"/>
    <x v="12"/>
    <x v="0"/>
  </r>
  <r>
    <x v="11"/>
    <x v="0"/>
    <x v="14"/>
    <n v="9332.76"/>
    <n v="196"/>
    <x v="13"/>
    <x v="0"/>
  </r>
  <r>
    <x v="11"/>
    <x v="0"/>
    <x v="14"/>
    <n v="10322.19"/>
    <n v="182"/>
    <x v="14"/>
    <x v="0"/>
  </r>
  <r>
    <x v="11"/>
    <x v="0"/>
    <x v="11"/>
    <n v="938"/>
    <n v="158"/>
    <x v="465"/>
    <x v="0"/>
  </r>
  <r>
    <x v="11"/>
    <x v="0"/>
    <x v="11"/>
    <n v="960.69"/>
    <n v="155"/>
    <x v="466"/>
    <x v="0"/>
  </r>
  <r>
    <x v="11"/>
    <x v="0"/>
    <x v="11"/>
    <n v="1018.8"/>
    <n v="157"/>
    <x v="467"/>
    <x v="0"/>
  </r>
  <r>
    <x v="11"/>
    <x v="0"/>
    <x v="13"/>
    <n v="3171"/>
    <n v="220"/>
    <x v="24"/>
    <x v="0"/>
  </r>
  <r>
    <x v="11"/>
    <x v="0"/>
    <x v="13"/>
    <n v="3251.53"/>
    <n v="241"/>
    <x v="25"/>
    <x v="0"/>
  </r>
  <r>
    <x v="11"/>
    <x v="0"/>
    <x v="13"/>
    <n v="3618.67"/>
    <n v="213"/>
    <x v="26"/>
    <x v="0"/>
  </r>
  <r>
    <x v="11"/>
    <x v="1"/>
    <x v="7"/>
    <n v="5131"/>
    <n v="285"/>
    <x v="48"/>
    <x v="0"/>
  </r>
  <r>
    <x v="11"/>
    <x v="1"/>
    <x v="7"/>
    <n v="5833.2"/>
    <n v="290"/>
    <x v="49"/>
    <x v="0"/>
  </r>
  <r>
    <x v="11"/>
    <x v="1"/>
    <x v="7"/>
    <n v="5443.42"/>
    <n v="284"/>
    <x v="50"/>
    <x v="0"/>
  </r>
  <r>
    <x v="11"/>
    <x v="1"/>
    <x v="8"/>
    <n v="9772"/>
    <n v="301"/>
    <x v="468"/>
    <x v="0"/>
  </r>
  <r>
    <x v="11"/>
    <x v="1"/>
    <x v="8"/>
    <n v="10407.51"/>
    <n v="301"/>
    <x v="469"/>
    <x v="0"/>
  </r>
  <r>
    <x v="11"/>
    <x v="1"/>
    <x v="8"/>
    <n v="11462.19"/>
    <n v="288"/>
    <x v="470"/>
    <x v="0"/>
  </r>
  <r>
    <x v="11"/>
    <x v="1"/>
    <x v="21"/>
    <n v="3381"/>
    <n v="408"/>
    <x v="423"/>
    <x v="0"/>
  </r>
  <r>
    <x v="11"/>
    <x v="1"/>
    <x v="21"/>
    <n v="3859.95"/>
    <n v="395"/>
    <x v="424"/>
    <x v="0"/>
  </r>
  <r>
    <x v="11"/>
    <x v="1"/>
    <x v="21"/>
    <n v="3997.02"/>
    <n v="411"/>
    <x v="425"/>
    <x v="0"/>
  </r>
  <r>
    <x v="11"/>
    <x v="1"/>
    <x v="10"/>
    <n v="3696"/>
    <n v="233"/>
    <x v="51"/>
    <x v="0"/>
  </r>
  <r>
    <x v="11"/>
    <x v="1"/>
    <x v="10"/>
    <n v="4049.61"/>
    <n v="255"/>
    <x v="52"/>
    <x v="0"/>
  </r>
  <r>
    <x v="11"/>
    <x v="1"/>
    <x v="10"/>
    <n v="4389.2299999999996"/>
    <n v="241"/>
    <x v="53"/>
    <x v="0"/>
  </r>
  <r>
    <x v="11"/>
    <x v="2"/>
    <x v="7"/>
    <n v="6454"/>
    <n v="157"/>
    <x v="276"/>
    <x v="0"/>
  </r>
  <r>
    <x v="11"/>
    <x v="2"/>
    <x v="7"/>
    <n v="6898"/>
    <n v="163"/>
    <x v="277"/>
    <x v="0"/>
  </r>
  <r>
    <x v="11"/>
    <x v="2"/>
    <x v="7"/>
    <n v="7745.33"/>
    <n v="164"/>
    <x v="278"/>
    <x v="0"/>
  </r>
  <r>
    <x v="11"/>
    <x v="2"/>
    <x v="10"/>
    <n v="4956"/>
    <n v="58"/>
    <x v="249"/>
    <x v="0"/>
  </r>
  <r>
    <x v="11"/>
    <x v="2"/>
    <x v="10"/>
    <n v="5465.85"/>
    <n v="56"/>
    <x v="250"/>
    <x v="0"/>
  </r>
  <r>
    <x v="11"/>
    <x v="2"/>
    <x v="10"/>
    <n v="5596.93"/>
    <n v="62"/>
    <x v="251"/>
    <x v="0"/>
  </r>
  <r>
    <x v="11"/>
    <x v="2"/>
    <x v="19"/>
    <n v="4340"/>
    <n v="226"/>
    <x v="339"/>
    <x v="0"/>
  </r>
  <r>
    <x v="11"/>
    <x v="2"/>
    <x v="19"/>
    <n v="4508.93"/>
    <n v="231"/>
    <x v="340"/>
    <x v="0"/>
  </r>
  <r>
    <x v="11"/>
    <x v="2"/>
    <x v="19"/>
    <n v="4591.7700000000004"/>
    <n v="222"/>
    <x v="341"/>
    <x v="0"/>
  </r>
  <r>
    <x v="11"/>
    <x v="2"/>
    <x v="14"/>
    <n v="4361"/>
    <n v="40"/>
    <x v="108"/>
    <x v="0"/>
  </r>
  <r>
    <x v="11"/>
    <x v="2"/>
    <x v="14"/>
    <n v="4517.1899999999996"/>
    <n v="40"/>
    <x v="109"/>
    <x v="0"/>
  </r>
  <r>
    <x v="11"/>
    <x v="2"/>
    <x v="14"/>
    <n v="4781.1400000000003"/>
    <n v="38"/>
    <x v="110"/>
    <x v="0"/>
  </r>
  <r>
    <x v="11"/>
    <x v="2"/>
    <x v="6"/>
    <n v="4522"/>
    <n v="5"/>
    <x v="276"/>
    <x v="0"/>
  </r>
  <r>
    <x v="11"/>
    <x v="2"/>
    <x v="6"/>
    <n v="4726.6499999999996"/>
    <n v="5"/>
    <x v="277"/>
    <x v="0"/>
  </r>
  <r>
    <x v="11"/>
    <x v="2"/>
    <x v="6"/>
    <n v="5188.18"/>
    <n v="5"/>
    <x v="278"/>
    <x v="0"/>
  </r>
  <r>
    <x v="11"/>
    <x v="2"/>
    <x v="20"/>
    <n v="9954"/>
    <n v="154"/>
    <x v="300"/>
    <x v="0"/>
  </r>
  <r>
    <x v="11"/>
    <x v="2"/>
    <x v="20"/>
    <n v="10994.3"/>
    <n v="152"/>
    <x v="301"/>
    <x v="0"/>
  </r>
  <r>
    <x v="11"/>
    <x v="2"/>
    <x v="20"/>
    <n v="11595.41"/>
    <n v="153"/>
    <x v="302"/>
    <x v="0"/>
  </r>
  <r>
    <x v="11"/>
    <x v="2"/>
    <x v="15"/>
    <n v="2492"/>
    <n v="33"/>
    <x v="183"/>
    <x v="0"/>
  </r>
  <r>
    <x v="11"/>
    <x v="2"/>
    <x v="15"/>
    <n v="2514.8200000000002"/>
    <n v="32"/>
    <x v="184"/>
    <x v="0"/>
  </r>
  <r>
    <x v="11"/>
    <x v="2"/>
    <x v="15"/>
    <n v="2606.11"/>
    <n v="31"/>
    <x v="185"/>
    <x v="0"/>
  </r>
  <r>
    <x v="11"/>
    <x v="3"/>
    <x v="8"/>
    <n v="6433"/>
    <n v="7"/>
    <x v="198"/>
    <x v="0"/>
  </r>
  <r>
    <x v="11"/>
    <x v="3"/>
    <x v="8"/>
    <n v="7231.89"/>
    <n v="8"/>
    <x v="199"/>
    <x v="0"/>
  </r>
  <r>
    <x v="11"/>
    <x v="3"/>
    <x v="8"/>
    <n v="6878.47"/>
    <n v="7"/>
    <x v="200"/>
    <x v="0"/>
  </r>
  <r>
    <x v="11"/>
    <x v="3"/>
    <x v="9"/>
    <n v="497"/>
    <n v="475"/>
    <x v="312"/>
    <x v="0"/>
  </r>
  <r>
    <x v="11"/>
    <x v="3"/>
    <x v="9"/>
    <n v="571.52"/>
    <n v="489"/>
    <x v="313"/>
    <x v="0"/>
  </r>
  <r>
    <x v="11"/>
    <x v="3"/>
    <x v="9"/>
    <n v="595.16"/>
    <n v="461"/>
    <x v="314"/>
    <x v="0"/>
  </r>
  <r>
    <x v="11"/>
    <x v="3"/>
    <x v="6"/>
    <n v="2058"/>
    <n v="236"/>
    <x v="39"/>
    <x v="0"/>
  </r>
  <r>
    <x v="11"/>
    <x v="3"/>
    <x v="6"/>
    <n v="2318.46"/>
    <n v="235"/>
    <x v="40"/>
    <x v="0"/>
  </r>
  <r>
    <x v="11"/>
    <x v="3"/>
    <x v="6"/>
    <n v="2257.14"/>
    <n v="231"/>
    <x v="41"/>
    <x v="0"/>
  </r>
  <r>
    <x v="11"/>
    <x v="4"/>
    <x v="8"/>
    <n v="3507"/>
    <n v="380"/>
    <x v="186"/>
    <x v="0"/>
  </r>
  <r>
    <x v="11"/>
    <x v="4"/>
    <x v="8"/>
    <n v="3563.87"/>
    <n v="372"/>
    <x v="187"/>
    <x v="0"/>
  </r>
  <r>
    <x v="11"/>
    <x v="4"/>
    <x v="8"/>
    <n v="3707.27"/>
    <n v="392"/>
    <x v="188"/>
    <x v="0"/>
  </r>
  <r>
    <x v="11"/>
    <x v="4"/>
    <x v="2"/>
    <n v="8309"/>
    <n v="166"/>
    <x v="441"/>
    <x v="0"/>
  </r>
  <r>
    <x v="11"/>
    <x v="4"/>
    <x v="2"/>
    <n v="8832.33"/>
    <n v="175"/>
    <x v="442"/>
    <x v="0"/>
  </r>
  <r>
    <x v="11"/>
    <x v="4"/>
    <x v="2"/>
    <n v="9863.6200000000008"/>
    <n v="167"/>
    <x v="443"/>
    <x v="0"/>
  </r>
  <r>
    <x v="11"/>
    <x v="4"/>
    <x v="3"/>
    <n v="3038"/>
    <n v="135"/>
    <x v="294"/>
    <x v="0"/>
  </r>
  <r>
    <x v="11"/>
    <x v="4"/>
    <x v="3"/>
    <n v="3070.43"/>
    <n v="143"/>
    <x v="295"/>
    <x v="0"/>
  </r>
  <r>
    <x v="11"/>
    <x v="4"/>
    <x v="3"/>
    <n v="3465.68"/>
    <n v="133"/>
    <x v="296"/>
    <x v="0"/>
  </r>
  <r>
    <x v="11"/>
    <x v="4"/>
    <x v="9"/>
    <n v="14938"/>
    <n v="433"/>
    <x v="231"/>
    <x v="0"/>
  </r>
  <r>
    <x v="11"/>
    <x v="4"/>
    <x v="9"/>
    <n v="17059.689999999999"/>
    <n v="456"/>
    <x v="232"/>
    <x v="0"/>
  </r>
  <r>
    <x v="11"/>
    <x v="4"/>
    <x v="9"/>
    <n v="16457.28"/>
    <n v="442"/>
    <x v="233"/>
    <x v="0"/>
  </r>
  <r>
    <x v="11"/>
    <x v="4"/>
    <x v="21"/>
    <n v="4333"/>
    <n v="43"/>
    <x v="66"/>
    <x v="0"/>
  </r>
  <r>
    <x v="11"/>
    <x v="4"/>
    <x v="21"/>
    <n v="4679.0600000000004"/>
    <n v="43"/>
    <x v="67"/>
    <x v="0"/>
  </r>
  <r>
    <x v="11"/>
    <x v="4"/>
    <x v="21"/>
    <n v="5057.1000000000004"/>
    <n v="41"/>
    <x v="68"/>
    <x v="0"/>
  </r>
  <r>
    <x v="11"/>
    <x v="4"/>
    <x v="4"/>
    <n v="3003"/>
    <n v="113"/>
    <x v="354"/>
    <x v="0"/>
  </r>
  <r>
    <x v="11"/>
    <x v="4"/>
    <x v="4"/>
    <n v="3275.4"/>
    <n v="120"/>
    <x v="355"/>
    <x v="0"/>
  </r>
  <r>
    <x v="11"/>
    <x v="4"/>
    <x v="4"/>
    <n v="3562.44"/>
    <n v="111"/>
    <x v="356"/>
    <x v="0"/>
  </r>
  <r>
    <x v="11"/>
    <x v="4"/>
    <x v="10"/>
    <n v="1750"/>
    <n v="252"/>
    <x v="237"/>
    <x v="0"/>
  </r>
  <r>
    <x v="11"/>
    <x v="4"/>
    <x v="10"/>
    <n v="1912.66"/>
    <n v="253"/>
    <x v="238"/>
    <x v="0"/>
  </r>
  <r>
    <x v="11"/>
    <x v="4"/>
    <x v="10"/>
    <n v="1955.2"/>
    <n v="250"/>
    <x v="239"/>
    <x v="0"/>
  </r>
  <r>
    <x v="11"/>
    <x v="4"/>
    <x v="15"/>
    <n v="4697"/>
    <n v="42"/>
    <x v="135"/>
    <x v="0"/>
  </r>
  <r>
    <x v="11"/>
    <x v="4"/>
    <x v="15"/>
    <n v="5068.99"/>
    <n v="45"/>
    <x v="136"/>
    <x v="0"/>
  </r>
  <r>
    <x v="11"/>
    <x v="4"/>
    <x v="15"/>
    <n v="5593.68"/>
    <n v="41"/>
    <x v="137"/>
    <x v="0"/>
  </r>
  <r>
    <x v="11"/>
    <x v="4"/>
    <x v="13"/>
    <n v="10815"/>
    <n v="145"/>
    <x v="162"/>
    <x v="0"/>
  </r>
  <r>
    <x v="11"/>
    <x v="4"/>
    <x v="13"/>
    <n v="10843.46"/>
    <n v="142"/>
    <x v="163"/>
    <x v="0"/>
  </r>
  <r>
    <x v="11"/>
    <x v="4"/>
    <x v="13"/>
    <n v="12782.63"/>
    <n v="158"/>
    <x v="164"/>
    <x v="0"/>
  </r>
  <r>
    <x v="11"/>
    <x v="5"/>
    <x v="1"/>
    <n v="378"/>
    <n v="54"/>
    <x v="327"/>
    <x v="0"/>
  </r>
  <r>
    <x v="11"/>
    <x v="5"/>
    <x v="1"/>
    <n v="398.28"/>
    <n v="52"/>
    <x v="328"/>
    <x v="0"/>
  </r>
  <r>
    <x v="11"/>
    <x v="5"/>
    <x v="1"/>
    <n v="415.67"/>
    <n v="59"/>
    <x v="329"/>
    <x v="0"/>
  </r>
  <r>
    <x v="11"/>
    <x v="5"/>
    <x v="17"/>
    <n v="9534"/>
    <n v="111"/>
    <x v="174"/>
    <x v="0"/>
  </r>
  <r>
    <x v="11"/>
    <x v="5"/>
    <x v="17"/>
    <n v="9878.5"/>
    <n v="111"/>
    <x v="175"/>
    <x v="0"/>
  </r>
  <r>
    <x v="11"/>
    <x v="5"/>
    <x v="17"/>
    <n v="10020.18"/>
    <n v="113"/>
    <x v="176"/>
    <x v="0"/>
  </r>
  <r>
    <x v="11"/>
    <x v="5"/>
    <x v="8"/>
    <n v="11571"/>
    <n v="180"/>
    <x v="21"/>
    <x v="0"/>
  </r>
  <r>
    <x v="11"/>
    <x v="5"/>
    <x v="8"/>
    <n v="13051.75"/>
    <n v="193"/>
    <x v="22"/>
    <x v="0"/>
  </r>
  <r>
    <x v="11"/>
    <x v="5"/>
    <x v="8"/>
    <n v="13999.05"/>
    <n v="179"/>
    <x v="23"/>
    <x v="0"/>
  </r>
  <r>
    <x v="11"/>
    <x v="5"/>
    <x v="10"/>
    <n v="4025"/>
    <n v="112"/>
    <x v="180"/>
    <x v="0"/>
  </r>
  <r>
    <x v="11"/>
    <x v="5"/>
    <x v="10"/>
    <n v="4168.93"/>
    <n v="122"/>
    <x v="181"/>
    <x v="0"/>
  </r>
  <r>
    <x v="11"/>
    <x v="5"/>
    <x v="10"/>
    <n v="4449.37"/>
    <n v="113"/>
    <x v="182"/>
    <x v="0"/>
  </r>
  <r>
    <x v="11"/>
    <x v="5"/>
    <x v="19"/>
    <n v="1288"/>
    <n v="27"/>
    <x v="471"/>
    <x v="0"/>
  </r>
  <r>
    <x v="11"/>
    <x v="5"/>
    <x v="19"/>
    <n v="1387.72"/>
    <n v="27"/>
    <x v="472"/>
    <x v="0"/>
  </r>
  <r>
    <x v="11"/>
    <x v="5"/>
    <x v="19"/>
    <n v="1508.57"/>
    <n v="28"/>
    <x v="473"/>
    <x v="0"/>
  </r>
  <r>
    <x v="11"/>
    <x v="5"/>
    <x v="18"/>
    <n v="854"/>
    <n v="56"/>
    <x v="66"/>
    <x v="0"/>
  </r>
  <r>
    <x v="11"/>
    <x v="5"/>
    <x v="18"/>
    <n v="934.49"/>
    <n v="54"/>
    <x v="67"/>
    <x v="0"/>
  </r>
  <r>
    <x v="11"/>
    <x v="5"/>
    <x v="18"/>
    <n v="1031.25"/>
    <n v="55"/>
    <x v="68"/>
    <x v="0"/>
  </r>
  <r>
    <x v="11"/>
    <x v="5"/>
    <x v="13"/>
    <n v="2030"/>
    <n v="60"/>
    <x v="381"/>
    <x v="0"/>
  </r>
  <r>
    <x v="11"/>
    <x v="5"/>
    <x v="13"/>
    <n v="2066.48"/>
    <n v="59"/>
    <x v="382"/>
    <x v="0"/>
  </r>
  <r>
    <x v="11"/>
    <x v="5"/>
    <x v="13"/>
    <n v="2438.56"/>
    <n v="61"/>
    <x v="383"/>
    <x v="0"/>
  </r>
  <r>
    <x v="12"/>
    <x v="0"/>
    <x v="0"/>
    <n v="3402"/>
    <n v="182"/>
    <x v="75"/>
    <x v="0"/>
  </r>
  <r>
    <x v="12"/>
    <x v="0"/>
    <x v="0"/>
    <n v="3925.06"/>
    <n v="186"/>
    <x v="76"/>
    <x v="0"/>
  </r>
  <r>
    <x v="12"/>
    <x v="0"/>
    <x v="0"/>
    <n v="3894.16"/>
    <n v="173"/>
    <x v="77"/>
    <x v="0"/>
  </r>
  <r>
    <x v="12"/>
    <x v="0"/>
    <x v="7"/>
    <n v="5222"/>
    <n v="384"/>
    <x v="78"/>
    <x v="0"/>
  </r>
  <r>
    <x v="12"/>
    <x v="0"/>
    <x v="7"/>
    <n v="5924.44"/>
    <n v="396"/>
    <x v="79"/>
    <x v="0"/>
  </r>
  <r>
    <x v="12"/>
    <x v="0"/>
    <x v="7"/>
    <n v="6310.98"/>
    <n v="366"/>
    <x v="80"/>
    <x v="0"/>
  </r>
  <r>
    <x v="12"/>
    <x v="0"/>
    <x v="4"/>
    <n v="2821"/>
    <n v="24"/>
    <x v="474"/>
    <x v="0"/>
  </r>
  <r>
    <x v="12"/>
    <x v="0"/>
    <x v="4"/>
    <n v="2824.71"/>
    <n v="25"/>
    <x v="475"/>
    <x v="0"/>
  </r>
  <r>
    <x v="12"/>
    <x v="0"/>
    <x v="4"/>
    <n v="3160.97"/>
    <n v="25"/>
    <x v="476"/>
    <x v="0"/>
  </r>
  <r>
    <x v="12"/>
    <x v="0"/>
    <x v="16"/>
    <n v="17626"/>
    <n v="103"/>
    <x v="297"/>
    <x v="0"/>
  </r>
  <r>
    <x v="12"/>
    <x v="0"/>
    <x v="16"/>
    <n v="19999.55"/>
    <n v="106"/>
    <x v="298"/>
    <x v="0"/>
  </r>
  <r>
    <x v="12"/>
    <x v="0"/>
    <x v="16"/>
    <n v="19258.41"/>
    <n v="99"/>
    <x v="299"/>
    <x v="0"/>
  </r>
  <r>
    <x v="12"/>
    <x v="0"/>
    <x v="14"/>
    <n v="3199"/>
    <n v="122"/>
    <x v="123"/>
    <x v="0"/>
  </r>
  <r>
    <x v="12"/>
    <x v="0"/>
    <x v="14"/>
    <n v="3364.44"/>
    <n v="126"/>
    <x v="124"/>
    <x v="0"/>
  </r>
  <r>
    <x v="12"/>
    <x v="0"/>
    <x v="14"/>
    <n v="3418.05"/>
    <n v="117"/>
    <x v="125"/>
    <x v="0"/>
  </r>
  <r>
    <x v="12"/>
    <x v="0"/>
    <x v="6"/>
    <n v="12726"/>
    <n v="342"/>
    <x v="375"/>
    <x v="0"/>
  </r>
  <r>
    <x v="12"/>
    <x v="0"/>
    <x v="6"/>
    <n v="14103.4"/>
    <n v="350"/>
    <x v="376"/>
    <x v="0"/>
  </r>
  <r>
    <x v="12"/>
    <x v="0"/>
    <x v="6"/>
    <n v="13370.97"/>
    <n v="349"/>
    <x v="377"/>
    <x v="0"/>
  </r>
  <r>
    <x v="12"/>
    <x v="0"/>
    <x v="13"/>
    <n v="3472"/>
    <n v="32"/>
    <x v="267"/>
    <x v="0"/>
  </r>
  <r>
    <x v="12"/>
    <x v="0"/>
    <x v="13"/>
    <n v="3958.57"/>
    <n v="33"/>
    <x v="268"/>
    <x v="0"/>
  </r>
  <r>
    <x v="12"/>
    <x v="0"/>
    <x v="13"/>
    <n v="3766.49"/>
    <n v="33"/>
    <x v="269"/>
    <x v="0"/>
  </r>
  <r>
    <x v="12"/>
    <x v="1"/>
    <x v="7"/>
    <n v="5894"/>
    <n v="305"/>
    <x v="45"/>
    <x v="0"/>
  </r>
  <r>
    <x v="12"/>
    <x v="1"/>
    <x v="7"/>
    <n v="6096.52"/>
    <n v="300"/>
    <x v="46"/>
    <x v="0"/>
  </r>
  <r>
    <x v="12"/>
    <x v="1"/>
    <x v="7"/>
    <n v="6578.55"/>
    <n v="312"/>
    <x v="47"/>
    <x v="0"/>
  </r>
  <r>
    <x v="12"/>
    <x v="1"/>
    <x v="8"/>
    <n v="4515"/>
    <n v="172"/>
    <x v="381"/>
    <x v="0"/>
  </r>
  <r>
    <x v="12"/>
    <x v="1"/>
    <x v="8"/>
    <n v="4881.32"/>
    <n v="183"/>
    <x v="382"/>
    <x v="0"/>
  </r>
  <r>
    <x v="12"/>
    <x v="1"/>
    <x v="8"/>
    <n v="5384.52"/>
    <n v="180"/>
    <x v="383"/>
    <x v="0"/>
  </r>
  <r>
    <x v="12"/>
    <x v="1"/>
    <x v="9"/>
    <n v="9541"/>
    <n v="114"/>
    <x v="324"/>
    <x v="0"/>
  </r>
  <r>
    <x v="12"/>
    <x v="1"/>
    <x v="9"/>
    <n v="10802.13"/>
    <n v="124"/>
    <x v="325"/>
    <x v="0"/>
  </r>
  <r>
    <x v="12"/>
    <x v="1"/>
    <x v="9"/>
    <n v="10049.719999999999"/>
    <n v="118"/>
    <x v="326"/>
    <x v="0"/>
  </r>
  <r>
    <x v="12"/>
    <x v="1"/>
    <x v="19"/>
    <n v="8904"/>
    <n v="199"/>
    <x v="87"/>
    <x v="0"/>
  </r>
  <r>
    <x v="12"/>
    <x v="1"/>
    <x v="19"/>
    <n v="9984.16"/>
    <n v="207"/>
    <x v="88"/>
    <x v="0"/>
  </r>
  <r>
    <x v="12"/>
    <x v="1"/>
    <x v="19"/>
    <n v="9885.5300000000007"/>
    <n v="217"/>
    <x v="89"/>
    <x v="0"/>
  </r>
  <r>
    <x v="12"/>
    <x v="1"/>
    <x v="16"/>
    <n v="1064"/>
    <n v="211"/>
    <x v="405"/>
    <x v="0"/>
  </r>
  <r>
    <x v="12"/>
    <x v="1"/>
    <x v="16"/>
    <n v="1062.6099999999999"/>
    <n v="217"/>
    <x v="406"/>
    <x v="0"/>
  </r>
  <r>
    <x v="12"/>
    <x v="1"/>
    <x v="16"/>
    <n v="1200.19"/>
    <n v="224"/>
    <x v="407"/>
    <x v="0"/>
  </r>
  <r>
    <x v="12"/>
    <x v="2"/>
    <x v="1"/>
    <n v="4760"/>
    <n v="418"/>
    <x v="204"/>
    <x v="0"/>
  </r>
  <r>
    <x v="12"/>
    <x v="2"/>
    <x v="1"/>
    <n v="4999.5200000000004"/>
    <n v="446"/>
    <x v="205"/>
    <x v="0"/>
  </r>
  <r>
    <x v="12"/>
    <x v="2"/>
    <x v="1"/>
    <n v="5252.8"/>
    <n v="415"/>
    <x v="206"/>
    <x v="0"/>
  </r>
  <r>
    <x v="12"/>
    <x v="2"/>
    <x v="17"/>
    <n v="9100"/>
    <n v="187"/>
    <x v="93"/>
    <x v="0"/>
  </r>
  <r>
    <x v="12"/>
    <x v="2"/>
    <x v="17"/>
    <n v="10283.9"/>
    <n v="178"/>
    <x v="94"/>
    <x v="0"/>
  </r>
  <r>
    <x v="12"/>
    <x v="2"/>
    <x v="17"/>
    <n v="10607.29"/>
    <n v="182"/>
    <x v="95"/>
    <x v="0"/>
  </r>
  <r>
    <x v="12"/>
    <x v="2"/>
    <x v="8"/>
    <n v="6496"/>
    <n v="168"/>
    <x v="354"/>
    <x v="0"/>
  </r>
  <r>
    <x v="12"/>
    <x v="2"/>
    <x v="8"/>
    <n v="6994.35"/>
    <n v="179"/>
    <x v="355"/>
    <x v="0"/>
  </r>
  <r>
    <x v="12"/>
    <x v="2"/>
    <x v="8"/>
    <n v="6795.06"/>
    <n v="177"/>
    <x v="356"/>
    <x v="0"/>
  </r>
  <r>
    <x v="12"/>
    <x v="2"/>
    <x v="2"/>
    <n v="4466"/>
    <n v="22"/>
    <x v="264"/>
    <x v="0"/>
  </r>
  <r>
    <x v="12"/>
    <x v="2"/>
    <x v="2"/>
    <n v="5143.49"/>
    <n v="21"/>
    <x v="265"/>
    <x v="0"/>
  </r>
  <r>
    <x v="12"/>
    <x v="2"/>
    <x v="2"/>
    <n v="5230.5"/>
    <n v="23"/>
    <x v="266"/>
    <x v="0"/>
  </r>
  <r>
    <x v="12"/>
    <x v="2"/>
    <x v="3"/>
    <n v="13727"/>
    <n v="79"/>
    <x v="309"/>
    <x v="0"/>
  </r>
  <r>
    <x v="12"/>
    <x v="2"/>
    <x v="3"/>
    <n v="14613.52"/>
    <n v="85"/>
    <x v="310"/>
    <x v="0"/>
  </r>
  <r>
    <x v="12"/>
    <x v="2"/>
    <x v="3"/>
    <n v="15497.27"/>
    <n v="85"/>
    <x v="311"/>
    <x v="0"/>
  </r>
  <r>
    <x v="12"/>
    <x v="2"/>
    <x v="9"/>
    <n v="84"/>
    <n v="153"/>
    <x v="123"/>
    <x v="1"/>
  </r>
  <r>
    <x v="12"/>
    <x v="2"/>
    <x v="9"/>
    <n v="88.72"/>
    <n v="165"/>
    <x v="124"/>
    <x v="1"/>
  </r>
  <r>
    <x v="12"/>
    <x v="2"/>
    <x v="9"/>
    <n v="99.5"/>
    <n v="161"/>
    <x v="125"/>
    <x v="1"/>
  </r>
  <r>
    <x v="12"/>
    <x v="2"/>
    <x v="21"/>
    <n v="2541"/>
    <n v="134"/>
    <x v="420"/>
    <x v="0"/>
  </r>
  <r>
    <x v="12"/>
    <x v="2"/>
    <x v="21"/>
    <n v="2669.61"/>
    <n v="143"/>
    <x v="421"/>
    <x v="0"/>
  </r>
  <r>
    <x v="12"/>
    <x v="2"/>
    <x v="21"/>
    <n v="2987.81"/>
    <n v="136"/>
    <x v="422"/>
    <x v="0"/>
  </r>
  <r>
    <x v="12"/>
    <x v="2"/>
    <x v="10"/>
    <n v="2541"/>
    <n v="27"/>
    <x v="456"/>
    <x v="0"/>
  </r>
  <r>
    <x v="12"/>
    <x v="2"/>
    <x v="10"/>
    <n v="2835.9"/>
    <n v="26"/>
    <x v="457"/>
    <x v="0"/>
  </r>
  <r>
    <x v="12"/>
    <x v="2"/>
    <x v="10"/>
    <n v="2788.6"/>
    <n v="27"/>
    <x v="458"/>
    <x v="0"/>
  </r>
  <r>
    <x v="12"/>
    <x v="2"/>
    <x v="19"/>
    <n v="2912"/>
    <n v="55"/>
    <x v="255"/>
    <x v="0"/>
  </r>
  <r>
    <x v="12"/>
    <x v="2"/>
    <x v="19"/>
    <n v="3219.13"/>
    <n v="54"/>
    <x v="256"/>
    <x v="0"/>
  </r>
  <r>
    <x v="12"/>
    <x v="2"/>
    <x v="19"/>
    <n v="3387.76"/>
    <n v="60"/>
    <x v="257"/>
    <x v="0"/>
  </r>
  <r>
    <x v="12"/>
    <x v="2"/>
    <x v="6"/>
    <n v="8092"/>
    <n v="178"/>
    <x v="36"/>
    <x v="0"/>
  </r>
  <r>
    <x v="12"/>
    <x v="2"/>
    <x v="6"/>
    <n v="8859.6299999999992"/>
    <n v="184"/>
    <x v="37"/>
    <x v="0"/>
  </r>
  <r>
    <x v="12"/>
    <x v="2"/>
    <x v="6"/>
    <n v="8813.58"/>
    <n v="182"/>
    <x v="38"/>
    <x v="0"/>
  </r>
  <r>
    <x v="12"/>
    <x v="2"/>
    <x v="12"/>
    <n v="11298"/>
    <n v="89"/>
    <x v="240"/>
    <x v="0"/>
  </r>
  <r>
    <x v="12"/>
    <x v="2"/>
    <x v="12"/>
    <n v="11867.83"/>
    <n v="95"/>
    <x v="241"/>
    <x v="0"/>
  </r>
  <r>
    <x v="12"/>
    <x v="2"/>
    <x v="12"/>
    <n v="12864.47"/>
    <n v="93"/>
    <x v="242"/>
    <x v="0"/>
  </r>
  <r>
    <x v="12"/>
    <x v="2"/>
    <x v="15"/>
    <n v="1939"/>
    <n v="520"/>
    <x v="192"/>
    <x v="0"/>
  </r>
  <r>
    <x v="12"/>
    <x v="2"/>
    <x v="15"/>
    <n v="2155.62"/>
    <n v="495"/>
    <x v="193"/>
    <x v="0"/>
  </r>
  <r>
    <x v="12"/>
    <x v="2"/>
    <x v="15"/>
    <n v="2048.34"/>
    <n v="506"/>
    <x v="194"/>
    <x v="0"/>
  </r>
  <r>
    <x v="12"/>
    <x v="3"/>
    <x v="5"/>
    <n v="1589"/>
    <n v="271"/>
    <x v="261"/>
    <x v="0"/>
  </r>
  <r>
    <x v="12"/>
    <x v="3"/>
    <x v="5"/>
    <n v="1815.56"/>
    <n v="266"/>
    <x v="262"/>
    <x v="0"/>
  </r>
  <r>
    <x v="12"/>
    <x v="3"/>
    <x v="5"/>
    <n v="1743.87"/>
    <n v="259"/>
    <x v="263"/>
    <x v="0"/>
  </r>
  <r>
    <x v="12"/>
    <x v="3"/>
    <x v="16"/>
    <n v="18340"/>
    <n v="285"/>
    <x v="108"/>
    <x v="0"/>
  </r>
  <r>
    <x v="12"/>
    <x v="3"/>
    <x v="16"/>
    <n v="20402.169999999998"/>
    <n v="297"/>
    <x v="109"/>
    <x v="0"/>
  </r>
  <r>
    <x v="12"/>
    <x v="3"/>
    <x v="16"/>
    <n v="21381.14"/>
    <n v="311"/>
    <x v="110"/>
    <x v="0"/>
  </r>
  <r>
    <x v="12"/>
    <x v="3"/>
    <x v="14"/>
    <n v="1225"/>
    <n v="84"/>
    <x v="96"/>
    <x v="0"/>
  </r>
  <r>
    <x v="12"/>
    <x v="3"/>
    <x v="14"/>
    <n v="1350.26"/>
    <n v="89"/>
    <x v="97"/>
    <x v="0"/>
  </r>
  <r>
    <x v="12"/>
    <x v="3"/>
    <x v="14"/>
    <n v="1382.49"/>
    <n v="86"/>
    <x v="98"/>
    <x v="0"/>
  </r>
  <r>
    <x v="12"/>
    <x v="3"/>
    <x v="11"/>
    <n v="1799"/>
    <n v="207"/>
    <x v="66"/>
    <x v="0"/>
  </r>
  <r>
    <x v="12"/>
    <x v="3"/>
    <x v="11"/>
    <n v="1921.57"/>
    <n v="226"/>
    <x v="67"/>
    <x v="0"/>
  </r>
  <r>
    <x v="12"/>
    <x v="3"/>
    <x v="11"/>
    <n v="1928.33"/>
    <n v="217"/>
    <x v="68"/>
    <x v="0"/>
  </r>
  <r>
    <x v="12"/>
    <x v="4"/>
    <x v="0"/>
    <n v="5250"/>
    <n v="293"/>
    <x v="150"/>
    <x v="0"/>
  </r>
  <r>
    <x v="12"/>
    <x v="4"/>
    <x v="0"/>
    <n v="5501.67"/>
    <n v="298"/>
    <x v="151"/>
    <x v="0"/>
  </r>
  <r>
    <x v="12"/>
    <x v="4"/>
    <x v="0"/>
    <n v="6301.56"/>
    <n v="287"/>
    <x v="152"/>
    <x v="0"/>
  </r>
  <r>
    <x v="12"/>
    <x v="4"/>
    <x v="2"/>
    <n v="9744"/>
    <n v="157"/>
    <x v="369"/>
    <x v="0"/>
  </r>
  <r>
    <x v="12"/>
    <x v="4"/>
    <x v="2"/>
    <n v="10668.69"/>
    <n v="150"/>
    <x v="370"/>
    <x v="0"/>
  </r>
  <r>
    <x v="12"/>
    <x v="4"/>
    <x v="2"/>
    <n v="10817.45"/>
    <n v="151"/>
    <x v="371"/>
    <x v="0"/>
  </r>
  <r>
    <x v="12"/>
    <x v="4"/>
    <x v="3"/>
    <n v="721"/>
    <n v="251"/>
    <x v="264"/>
    <x v="0"/>
  </r>
  <r>
    <x v="12"/>
    <x v="4"/>
    <x v="3"/>
    <n v="805.23"/>
    <n v="259"/>
    <x v="265"/>
    <x v="0"/>
  </r>
  <r>
    <x v="12"/>
    <x v="4"/>
    <x v="3"/>
    <n v="783.35"/>
    <n v="273"/>
    <x v="266"/>
    <x v="0"/>
  </r>
  <r>
    <x v="12"/>
    <x v="4"/>
    <x v="9"/>
    <n v="3094"/>
    <n v="468"/>
    <x v="324"/>
    <x v="0"/>
  </r>
  <r>
    <x v="12"/>
    <x v="4"/>
    <x v="9"/>
    <n v="3175.62"/>
    <n v="507"/>
    <x v="325"/>
    <x v="0"/>
  </r>
  <r>
    <x v="12"/>
    <x v="4"/>
    <x v="9"/>
    <n v="3541.73"/>
    <n v="494"/>
    <x v="326"/>
    <x v="0"/>
  </r>
  <r>
    <x v="12"/>
    <x v="4"/>
    <x v="5"/>
    <n v="3388"/>
    <n v="212"/>
    <x v="144"/>
    <x v="0"/>
  </r>
  <r>
    <x v="12"/>
    <x v="4"/>
    <x v="5"/>
    <n v="3558.89"/>
    <n v="231"/>
    <x v="145"/>
    <x v="0"/>
  </r>
  <r>
    <x v="12"/>
    <x v="4"/>
    <x v="5"/>
    <n v="3768.3"/>
    <n v="212"/>
    <x v="146"/>
    <x v="0"/>
  </r>
  <r>
    <x v="12"/>
    <x v="4"/>
    <x v="14"/>
    <n v="3780"/>
    <n v="201"/>
    <x v="300"/>
    <x v="0"/>
  </r>
  <r>
    <x v="12"/>
    <x v="4"/>
    <x v="14"/>
    <n v="4220.83"/>
    <n v="193"/>
    <x v="301"/>
    <x v="0"/>
  </r>
  <r>
    <x v="12"/>
    <x v="4"/>
    <x v="14"/>
    <n v="4116.96"/>
    <n v="203"/>
    <x v="302"/>
    <x v="0"/>
  </r>
  <r>
    <x v="12"/>
    <x v="4"/>
    <x v="11"/>
    <n v="1197"/>
    <n v="356"/>
    <x v="192"/>
    <x v="0"/>
  </r>
  <r>
    <x v="12"/>
    <x v="4"/>
    <x v="11"/>
    <n v="1281.32"/>
    <n v="354"/>
    <x v="193"/>
    <x v="0"/>
  </r>
  <r>
    <x v="12"/>
    <x v="4"/>
    <x v="11"/>
    <n v="1367.24"/>
    <n v="384"/>
    <x v="194"/>
    <x v="0"/>
  </r>
  <r>
    <x v="12"/>
    <x v="4"/>
    <x v="13"/>
    <n v="8799"/>
    <n v="47"/>
    <x v="477"/>
    <x v="0"/>
  </r>
  <r>
    <x v="12"/>
    <x v="4"/>
    <x v="13"/>
    <n v="10087.040000000001"/>
    <n v="46"/>
    <x v="478"/>
    <x v="0"/>
  </r>
  <r>
    <x v="12"/>
    <x v="4"/>
    <x v="13"/>
    <n v="9409.06"/>
    <n v="46"/>
    <x v="479"/>
    <x v="0"/>
  </r>
  <r>
    <x v="12"/>
    <x v="5"/>
    <x v="19"/>
    <n v="4382"/>
    <n v="361"/>
    <x v="210"/>
    <x v="0"/>
  </r>
  <r>
    <x v="12"/>
    <x v="5"/>
    <x v="19"/>
    <n v="4891.8599999999997"/>
    <n v="380"/>
    <x v="211"/>
    <x v="0"/>
  </r>
  <r>
    <x v="12"/>
    <x v="5"/>
    <x v="19"/>
    <n v="5187.72"/>
    <n v="382"/>
    <x v="212"/>
    <x v="0"/>
  </r>
  <r>
    <x v="12"/>
    <x v="5"/>
    <x v="14"/>
    <n v="980"/>
    <n v="146"/>
    <x v="378"/>
    <x v="0"/>
  </r>
  <r>
    <x v="12"/>
    <x v="5"/>
    <x v="14"/>
    <n v="1048.26"/>
    <n v="149"/>
    <x v="379"/>
    <x v="0"/>
  </r>
  <r>
    <x v="12"/>
    <x v="5"/>
    <x v="14"/>
    <n v="1082"/>
    <n v="158"/>
    <x v="380"/>
    <x v="0"/>
  </r>
  <r>
    <x v="12"/>
    <x v="5"/>
    <x v="6"/>
    <n v="9037"/>
    <n v="102"/>
    <x v="447"/>
    <x v="0"/>
  </r>
  <r>
    <x v="12"/>
    <x v="5"/>
    <x v="6"/>
    <n v="9605.11"/>
    <n v="98"/>
    <x v="448"/>
    <x v="0"/>
  </r>
  <r>
    <x v="12"/>
    <x v="5"/>
    <x v="6"/>
    <n v="10463.57"/>
    <n v="109"/>
    <x v="449"/>
    <x v="0"/>
  </r>
  <r>
    <x v="13"/>
    <x v="0"/>
    <x v="0"/>
    <n v="5194"/>
    <n v="418"/>
    <x v="444"/>
    <x v="0"/>
  </r>
  <r>
    <x v="13"/>
    <x v="0"/>
    <x v="0"/>
    <n v="5700.28"/>
    <n v="422"/>
    <x v="445"/>
    <x v="0"/>
  </r>
  <r>
    <x v="13"/>
    <x v="0"/>
    <x v="0"/>
    <n v="5461.43"/>
    <n v="456"/>
    <x v="446"/>
    <x v="0"/>
  </r>
  <r>
    <x v="13"/>
    <x v="0"/>
    <x v="17"/>
    <n v="10486"/>
    <n v="198"/>
    <x v="291"/>
    <x v="0"/>
  </r>
  <r>
    <x v="13"/>
    <x v="0"/>
    <x v="17"/>
    <n v="11720.99"/>
    <n v="204"/>
    <x v="292"/>
    <x v="0"/>
  </r>
  <r>
    <x v="13"/>
    <x v="0"/>
    <x v="17"/>
    <n v="11409.11"/>
    <n v="217"/>
    <x v="293"/>
    <x v="0"/>
  </r>
  <r>
    <x v="13"/>
    <x v="0"/>
    <x v="8"/>
    <n v="5250"/>
    <n v="47"/>
    <x v="45"/>
    <x v="0"/>
  </r>
  <r>
    <x v="13"/>
    <x v="0"/>
    <x v="8"/>
    <n v="5602.02"/>
    <n v="51"/>
    <x v="46"/>
    <x v="0"/>
  </r>
  <r>
    <x v="13"/>
    <x v="0"/>
    <x v="8"/>
    <n v="5512.57"/>
    <n v="46"/>
    <x v="47"/>
    <x v="0"/>
  </r>
  <r>
    <x v="13"/>
    <x v="0"/>
    <x v="4"/>
    <n v="2611"/>
    <n v="65"/>
    <x v="444"/>
    <x v="0"/>
  </r>
  <r>
    <x v="13"/>
    <x v="0"/>
    <x v="4"/>
    <n v="2900.61"/>
    <n v="68"/>
    <x v="445"/>
    <x v="0"/>
  </r>
  <r>
    <x v="13"/>
    <x v="0"/>
    <x v="4"/>
    <n v="3114.84"/>
    <n v="65"/>
    <x v="446"/>
    <x v="0"/>
  </r>
  <r>
    <x v="13"/>
    <x v="0"/>
    <x v="18"/>
    <n v="8659"/>
    <n v="29"/>
    <x v="411"/>
    <x v="0"/>
  </r>
  <r>
    <x v="13"/>
    <x v="0"/>
    <x v="18"/>
    <n v="9839.4599999999991"/>
    <n v="31"/>
    <x v="412"/>
    <x v="0"/>
  </r>
  <r>
    <x v="13"/>
    <x v="0"/>
    <x v="18"/>
    <n v="9172.1299999999992"/>
    <n v="30"/>
    <x v="413"/>
    <x v="0"/>
  </r>
  <r>
    <x v="13"/>
    <x v="0"/>
    <x v="14"/>
    <n v="13706"/>
    <n v="26"/>
    <x v="408"/>
    <x v="0"/>
  </r>
  <r>
    <x v="13"/>
    <x v="0"/>
    <x v="14"/>
    <n v="14529.2"/>
    <n v="26"/>
    <x v="409"/>
    <x v="0"/>
  </r>
  <r>
    <x v="13"/>
    <x v="0"/>
    <x v="14"/>
    <n v="16059.94"/>
    <n v="28"/>
    <x v="410"/>
    <x v="0"/>
  </r>
  <r>
    <x v="13"/>
    <x v="0"/>
    <x v="6"/>
    <n v="5691"/>
    <n v="38"/>
    <x v="393"/>
    <x v="0"/>
  </r>
  <r>
    <x v="13"/>
    <x v="0"/>
    <x v="6"/>
    <n v="6047.05"/>
    <n v="40"/>
    <x v="394"/>
    <x v="0"/>
  </r>
  <r>
    <x v="13"/>
    <x v="0"/>
    <x v="6"/>
    <n v="6623.03"/>
    <n v="39"/>
    <x v="395"/>
    <x v="0"/>
  </r>
  <r>
    <x v="13"/>
    <x v="0"/>
    <x v="15"/>
    <n v="5012"/>
    <n v="384"/>
    <x v="162"/>
    <x v="0"/>
  </r>
  <r>
    <x v="13"/>
    <x v="0"/>
    <x v="15"/>
    <n v="5147.7700000000004"/>
    <n v="402"/>
    <x v="163"/>
    <x v="0"/>
  </r>
  <r>
    <x v="13"/>
    <x v="0"/>
    <x v="15"/>
    <n v="5573.57"/>
    <n v="372"/>
    <x v="164"/>
    <x v="0"/>
  </r>
  <r>
    <x v="13"/>
    <x v="1"/>
    <x v="4"/>
    <n v="441"/>
    <n v="24"/>
    <x v="105"/>
    <x v="0"/>
  </r>
  <r>
    <x v="13"/>
    <x v="1"/>
    <x v="4"/>
    <n v="466.65"/>
    <n v="23"/>
    <x v="106"/>
    <x v="0"/>
  </r>
  <r>
    <x v="13"/>
    <x v="1"/>
    <x v="4"/>
    <n v="473.99"/>
    <n v="25"/>
    <x v="107"/>
    <x v="0"/>
  </r>
  <r>
    <x v="13"/>
    <x v="1"/>
    <x v="5"/>
    <n v="3584"/>
    <n v="200"/>
    <x v="69"/>
    <x v="0"/>
  </r>
  <r>
    <x v="13"/>
    <x v="1"/>
    <x v="5"/>
    <n v="3669.15"/>
    <n v="209"/>
    <x v="70"/>
    <x v="0"/>
  </r>
  <r>
    <x v="13"/>
    <x v="1"/>
    <x v="5"/>
    <n v="3867.62"/>
    <n v="214"/>
    <x v="71"/>
    <x v="0"/>
  </r>
  <r>
    <x v="13"/>
    <x v="1"/>
    <x v="18"/>
    <n v="7203"/>
    <n v="12"/>
    <x v="174"/>
    <x v="0"/>
  </r>
  <r>
    <x v="13"/>
    <x v="1"/>
    <x v="18"/>
    <n v="7726.25"/>
    <n v="12"/>
    <x v="175"/>
    <x v="0"/>
  </r>
  <r>
    <x v="13"/>
    <x v="1"/>
    <x v="18"/>
    <n v="7927.57"/>
    <n v="12"/>
    <x v="176"/>
    <x v="0"/>
  </r>
  <r>
    <x v="13"/>
    <x v="1"/>
    <x v="14"/>
    <n v="3857"/>
    <n v="512"/>
    <x v="153"/>
    <x v="0"/>
  </r>
  <r>
    <x v="13"/>
    <x v="1"/>
    <x v="14"/>
    <n v="4229.79"/>
    <n v="548"/>
    <x v="154"/>
    <x v="0"/>
  </r>
  <r>
    <x v="13"/>
    <x v="1"/>
    <x v="14"/>
    <n v="4334.75"/>
    <n v="529"/>
    <x v="155"/>
    <x v="0"/>
  </r>
  <r>
    <x v="13"/>
    <x v="1"/>
    <x v="12"/>
    <n v="5460"/>
    <n v="138"/>
    <x v="306"/>
    <x v="0"/>
  </r>
  <r>
    <x v="13"/>
    <x v="1"/>
    <x v="12"/>
    <n v="5631.26"/>
    <n v="142"/>
    <x v="307"/>
    <x v="0"/>
  </r>
  <r>
    <x v="13"/>
    <x v="1"/>
    <x v="12"/>
    <n v="6199.12"/>
    <n v="132"/>
    <x v="308"/>
    <x v="0"/>
  </r>
  <r>
    <x v="13"/>
    <x v="1"/>
    <x v="15"/>
    <n v="1848"/>
    <n v="27"/>
    <x v="162"/>
    <x v="0"/>
  </r>
  <r>
    <x v="13"/>
    <x v="1"/>
    <x v="15"/>
    <n v="2043.55"/>
    <n v="28"/>
    <x v="163"/>
    <x v="0"/>
  </r>
  <r>
    <x v="13"/>
    <x v="1"/>
    <x v="15"/>
    <n v="2189.6999999999998"/>
    <n v="29"/>
    <x v="164"/>
    <x v="0"/>
  </r>
  <r>
    <x v="13"/>
    <x v="1"/>
    <x v="13"/>
    <n v="4627"/>
    <n v="136"/>
    <x v="177"/>
    <x v="0"/>
  </r>
  <r>
    <x v="13"/>
    <x v="1"/>
    <x v="13"/>
    <n v="4719.38"/>
    <n v="132"/>
    <x v="178"/>
    <x v="0"/>
  </r>
  <r>
    <x v="13"/>
    <x v="1"/>
    <x v="13"/>
    <n v="5230.3599999999997"/>
    <n v="142"/>
    <x v="179"/>
    <x v="0"/>
  </r>
  <r>
    <x v="13"/>
    <x v="2"/>
    <x v="0"/>
    <n v="3472"/>
    <n v="135"/>
    <x v="186"/>
    <x v="0"/>
  </r>
  <r>
    <x v="13"/>
    <x v="2"/>
    <x v="0"/>
    <n v="3470.6"/>
    <n v="129"/>
    <x v="187"/>
    <x v="0"/>
  </r>
  <r>
    <x v="13"/>
    <x v="2"/>
    <x v="0"/>
    <n v="4055.71"/>
    <n v="137"/>
    <x v="188"/>
    <x v="0"/>
  </r>
  <r>
    <x v="13"/>
    <x v="2"/>
    <x v="17"/>
    <n v="1953"/>
    <n v="242"/>
    <x v="291"/>
    <x v="0"/>
  </r>
  <r>
    <x v="13"/>
    <x v="2"/>
    <x v="17"/>
    <n v="2072.2399999999998"/>
    <n v="232"/>
    <x v="292"/>
    <x v="0"/>
  </r>
  <r>
    <x v="13"/>
    <x v="2"/>
    <x v="17"/>
    <n v="2207.7600000000002"/>
    <n v="247"/>
    <x v="293"/>
    <x v="0"/>
  </r>
  <r>
    <x v="13"/>
    <x v="2"/>
    <x v="2"/>
    <n v="10122"/>
    <n v="100"/>
    <x v="237"/>
    <x v="0"/>
  </r>
  <r>
    <x v="13"/>
    <x v="2"/>
    <x v="2"/>
    <n v="10778.53"/>
    <n v="99"/>
    <x v="238"/>
    <x v="0"/>
  </r>
  <r>
    <x v="13"/>
    <x v="2"/>
    <x v="2"/>
    <n v="11793.4"/>
    <n v="101"/>
    <x v="239"/>
    <x v="0"/>
  </r>
  <r>
    <x v="13"/>
    <x v="2"/>
    <x v="3"/>
    <n v="2086"/>
    <n v="74"/>
    <x v="270"/>
    <x v="0"/>
  </r>
  <r>
    <x v="13"/>
    <x v="2"/>
    <x v="3"/>
    <n v="2261.98"/>
    <n v="73"/>
    <x v="271"/>
    <x v="0"/>
  </r>
  <r>
    <x v="13"/>
    <x v="2"/>
    <x v="3"/>
    <n v="2489.06"/>
    <n v="81"/>
    <x v="272"/>
    <x v="0"/>
  </r>
  <r>
    <x v="13"/>
    <x v="2"/>
    <x v="10"/>
    <n v="8771"/>
    <n v="127"/>
    <x v="171"/>
    <x v="0"/>
  </r>
  <r>
    <x v="13"/>
    <x v="2"/>
    <x v="10"/>
    <n v="9574.3799999999992"/>
    <n v="134"/>
    <x v="172"/>
    <x v="0"/>
  </r>
  <r>
    <x v="13"/>
    <x v="2"/>
    <x v="10"/>
    <n v="9642.6200000000008"/>
    <n v="140"/>
    <x v="173"/>
    <x v="0"/>
  </r>
  <r>
    <x v="13"/>
    <x v="2"/>
    <x v="6"/>
    <n v="28"/>
    <n v="446"/>
    <x v="189"/>
    <x v="1"/>
  </r>
  <r>
    <x v="13"/>
    <x v="2"/>
    <x v="6"/>
    <n v="31.15"/>
    <n v="451"/>
    <x v="190"/>
    <x v="1"/>
  </r>
  <r>
    <x v="13"/>
    <x v="2"/>
    <x v="6"/>
    <n v="33.68"/>
    <n v="487"/>
    <x v="191"/>
    <x v="1"/>
  </r>
  <r>
    <x v="13"/>
    <x v="3"/>
    <x v="0"/>
    <n v="3990"/>
    <n v="59"/>
    <x v="18"/>
    <x v="0"/>
  </r>
  <r>
    <x v="13"/>
    <x v="3"/>
    <x v="0"/>
    <n v="4526.24"/>
    <n v="64"/>
    <x v="19"/>
    <x v="0"/>
  </r>
  <r>
    <x v="13"/>
    <x v="3"/>
    <x v="0"/>
    <n v="4357.76"/>
    <n v="63"/>
    <x v="20"/>
    <x v="0"/>
  </r>
  <r>
    <x v="13"/>
    <x v="3"/>
    <x v="1"/>
    <n v="6972"/>
    <n v="89"/>
    <x v="264"/>
    <x v="0"/>
  </r>
  <r>
    <x v="13"/>
    <x v="3"/>
    <x v="1"/>
    <n v="7797.24"/>
    <n v="88"/>
    <x v="265"/>
    <x v="0"/>
  </r>
  <r>
    <x v="13"/>
    <x v="3"/>
    <x v="1"/>
    <n v="8077.51"/>
    <n v="95"/>
    <x v="266"/>
    <x v="0"/>
  </r>
  <r>
    <x v="13"/>
    <x v="3"/>
    <x v="8"/>
    <n v="1512"/>
    <n v="73"/>
    <x v="189"/>
    <x v="0"/>
  </r>
  <r>
    <x v="13"/>
    <x v="3"/>
    <x v="8"/>
    <n v="1604.87"/>
    <n v="71"/>
    <x v="190"/>
    <x v="0"/>
  </r>
  <r>
    <x v="13"/>
    <x v="3"/>
    <x v="8"/>
    <n v="1736.59"/>
    <n v="70"/>
    <x v="191"/>
    <x v="0"/>
  </r>
  <r>
    <x v="13"/>
    <x v="3"/>
    <x v="18"/>
    <n v="2478"/>
    <n v="188"/>
    <x v="279"/>
    <x v="0"/>
  </r>
  <r>
    <x v="13"/>
    <x v="3"/>
    <x v="18"/>
    <n v="2646.23"/>
    <n v="198"/>
    <x v="280"/>
    <x v="0"/>
  </r>
  <r>
    <x v="13"/>
    <x v="3"/>
    <x v="18"/>
    <n v="2845.74"/>
    <n v="197"/>
    <x v="281"/>
    <x v="0"/>
  </r>
  <r>
    <x v="13"/>
    <x v="3"/>
    <x v="13"/>
    <n v="2800"/>
    <n v="241"/>
    <x v="264"/>
    <x v="0"/>
  </r>
  <r>
    <x v="13"/>
    <x v="3"/>
    <x v="13"/>
    <n v="3078.33"/>
    <n v="231"/>
    <x v="265"/>
    <x v="0"/>
  </r>
  <r>
    <x v="13"/>
    <x v="3"/>
    <x v="13"/>
    <n v="3308.4"/>
    <n v="258"/>
    <x v="266"/>
    <x v="0"/>
  </r>
  <r>
    <x v="13"/>
    <x v="4"/>
    <x v="7"/>
    <n v="5565"/>
    <n v="258"/>
    <x v="189"/>
    <x v="0"/>
  </r>
  <r>
    <x v="13"/>
    <x v="4"/>
    <x v="7"/>
    <n v="6168.51"/>
    <n v="280"/>
    <x v="190"/>
    <x v="0"/>
  </r>
  <r>
    <x v="13"/>
    <x v="4"/>
    <x v="7"/>
    <n v="5819.17"/>
    <n v="270"/>
    <x v="191"/>
    <x v="0"/>
  </r>
  <r>
    <x v="13"/>
    <x v="4"/>
    <x v="1"/>
    <n v="5502"/>
    <n v="64"/>
    <x v="180"/>
    <x v="0"/>
  </r>
  <r>
    <x v="13"/>
    <x v="4"/>
    <x v="1"/>
    <n v="5534.11"/>
    <n v="63"/>
    <x v="181"/>
    <x v="0"/>
  </r>
  <r>
    <x v="13"/>
    <x v="4"/>
    <x v="1"/>
    <n v="6569.4"/>
    <n v="66"/>
    <x v="182"/>
    <x v="0"/>
  </r>
  <r>
    <x v="13"/>
    <x v="4"/>
    <x v="8"/>
    <n v="1946"/>
    <n v="164"/>
    <x v="210"/>
    <x v="0"/>
  </r>
  <r>
    <x v="13"/>
    <x v="4"/>
    <x v="8"/>
    <n v="2047.77"/>
    <n v="169"/>
    <x v="211"/>
    <x v="0"/>
  </r>
  <r>
    <x v="13"/>
    <x v="4"/>
    <x v="8"/>
    <n v="2048.13"/>
    <n v="172"/>
    <x v="212"/>
    <x v="0"/>
  </r>
  <r>
    <x v="13"/>
    <x v="4"/>
    <x v="3"/>
    <n v="2485"/>
    <n v="97"/>
    <x v="54"/>
    <x v="0"/>
  </r>
  <r>
    <x v="13"/>
    <x v="4"/>
    <x v="3"/>
    <n v="2832.78"/>
    <n v="104"/>
    <x v="55"/>
    <x v="0"/>
  </r>
  <r>
    <x v="13"/>
    <x v="4"/>
    <x v="3"/>
    <n v="2629.59"/>
    <n v="98"/>
    <x v="56"/>
    <x v="0"/>
  </r>
  <r>
    <x v="13"/>
    <x v="4"/>
    <x v="21"/>
    <n v="4270"/>
    <n v="185"/>
    <x v="201"/>
    <x v="0"/>
  </r>
  <r>
    <x v="13"/>
    <x v="4"/>
    <x v="21"/>
    <n v="4875.38"/>
    <n v="185"/>
    <x v="202"/>
    <x v="0"/>
  </r>
  <r>
    <x v="13"/>
    <x v="4"/>
    <x v="21"/>
    <n v="5108.8500000000004"/>
    <n v="187"/>
    <x v="203"/>
    <x v="0"/>
  </r>
  <r>
    <x v="13"/>
    <x v="4"/>
    <x v="4"/>
    <n v="7140"/>
    <n v="438"/>
    <x v="129"/>
    <x v="0"/>
  </r>
  <r>
    <x v="13"/>
    <x v="4"/>
    <x v="4"/>
    <n v="7624.67"/>
    <n v="422"/>
    <x v="130"/>
    <x v="0"/>
  </r>
  <r>
    <x v="13"/>
    <x v="4"/>
    <x v="4"/>
    <n v="7865.93"/>
    <n v="436"/>
    <x v="131"/>
    <x v="0"/>
  </r>
  <r>
    <x v="13"/>
    <x v="4"/>
    <x v="19"/>
    <n v="8589"/>
    <n v="229"/>
    <x v="285"/>
    <x v="0"/>
  </r>
  <r>
    <x v="13"/>
    <x v="4"/>
    <x v="19"/>
    <n v="9851.6200000000008"/>
    <n v="221"/>
    <x v="286"/>
    <x v="0"/>
  </r>
  <r>
    <x v="13"/>
    <x v="4"/>
    <x v="19"/>
    <n v="9434.44"/>
    <n v="221"/>
    <x v="287"/>
    <x v="0"/>
  </r>
  <r>
    <x v="13"/>
    <x v="4"/>
    <x v="18"/>
    <n v="12068"/>
    <n v="227"/>
    <x v="462"/>
    <x v="0"/>
  </r>
  <r>
    <x v="13"/>
    <x v="4"/>
    <x v="18"/>
    <n v="13420.93"/>
    <n v="232"/>
    <x v="463"/>
    <x v="0"/>
  </r>
  <r>
    <x v="13"/>
    <x v="4"/>
    <x v="18"/>
    <n v="14345.5"/>
    <n v="219"/>
    <x v="464"/>
    <x v="0"/>
  </r>
  <r>
    <x v="13"/>
    <x v="4"/>
    <x v="16"/>
    <n v="5320"/>
    <n v="180"/>
    <x v="36"/>
    <x v="0"/>
  </r>
  <r>
    <x v="13"/>
    <x v="4"/>
    <x v="16"/>
    <n v="5902.13"/>
    <n v="178"/>
    <x v="37"/>
    <x v="0"/>
  </r>
  <r>
    <x v="13"/>
    <x v="4"/>
    <x v="16"/>
    <n v="6339.57"/>
    <n v="187"/>
    <x v="38"/>
    <x v="0"/>
  </r>
  <r>
    <x v="13"/>
    <x v="4"/>
    <x v="6"/>
    <n v="13685"/>
    <n v="184"/>
    <x v="171"/>
    <x v="0"/>
  </r>
  <r>
    <x v="13"/>
    <x v="4"/>
    <x v="6"/>
    <n v="14167.84"/>
    <n v="178"/>
    <x v="172"/>
    <x v="0"/>
  </r>
  <r>
    <x v="13"/>
    <x v="4"/>
    <x v="6"/>
    <n v="14791.64"/>
    <n v="182"/>
    <x v="173"/>
    <x v="0"/>
  </r>
  <r>
    <x v="13"/>
    <x v="4"/>
    <x v="12"/>
    <n v="1463"/>
    <n v="113"/>
    <x v="84"/>
    <x v="0"/>
  </r>
  <r>
    <x v="13"/>
    <x v="4"/>
    <x v="12"/>
    <n v="1640.53"/>
    <n v="119"/>
    <x v="85"/>
    <x v="0"/>
  </r>
  <r>
    <x v="13"/>
    <x v="4"/>
    <x v="12"/>
    <n v="1588.49"/>
    <n v="111"/>
    <x v="86"/>
    <x v="0"/>
  </r>
  <r>
    <x v="13"/>
    <x v="4"/>
    <x v="13"/>
    <n v="1862"/>
    <n v="284"/>
    <x v="378"/>
    <x v="0"/>
  </r>
  <r>
    <x v="13"/>
    <x v="4"/>
    <x v="13"/>
    <n v="1889.83"/>
    <n v="286"/>
    <x v="379"/>
    <x v="0"/>
  </r>
  <r>
    <x v="13"/>
    <x v="4"/>
    <x v="13"/>
    <n v="2015.93"/>
    <n v="304"/>
    <x v="380"/>
    <x v="0"/>
  </r>
  <r>
    <x v="13"/>
    <x v="5"/>
    <x v="17"/>
    <n v="2534"/>
    <n v="219"/>
    <x v="36"/>
    <x v="0"/>
  </r>
  <r>
    <x v="13"/>
    <x v="5"/>
    <x v="17"/>
    <n v="2815.72"/>
    <n v="222"/>
    <x v="37"/>
    <x v="0"/>
  </r>
  <r>
    <x v="13"/>
    <x v="5"/>
    <x v="17"/>
    <n v="2996.83"/>
    <n v="227"/>
    <x v="38"/>
    <x v="0"/>
  </r>
  <r>
    <x v="13"/>
    <x v="5"/>
    <x v="14"/>
    <n v="364"/>
    <n v="170"/>
    <x v="261"/>
    <x v="0"/>
  </r>
  <r>
    <x v="13"/>
    <x v="5"/>
    <x v="14"/>
    <n v="391.33"/>
    <n v="184"/>
    <x v="262"/>
    <x v="0"/>
  </r>
  <r>
    <x v="13"/>
    <x v="5"/>
    <x v="14"/>
    <n v="437.48"/>
    <n v="174"/>
    <x v="263"/>
    <x v="0"/>
  </r>
  <r>
    <x v="13"/>
    <x v="5"/>
    <x v="20"/>
    <n v="7154"/>
    <n v="133"/>
    <x v="78"/>
    <x v="0"/>
  </r>
  <r>
    <x v="13"/>
    <x v="5"/>
    <x v="20"/>
    <n v="7686.15"/>
    <n v="141"/>
    <x v="79"/>
    <x v="0"/>
  </r>
  <r>
    <x v="13"/>
    <x v="5"/>
    <x v="20"/>
    <n v="8119.65"/>
    <n v="143"/>
    <x v="80"/>
    <x v="0"/>
  </r>
  <r>
    <x v="13"/>
    <x v="5"/>
    <x v="12"/>
    <n v="6657"/>
    <n v="154"/>
    <x v="180"/>
    <x v="0"/>
  </r>
  <r>
    <x v="13"/>
    <x v="5"/>
    <x v="12"/>
    <n v="7170.21"/>
    <n v="151"/>
    <x v="181"/>
    <x v="0"/>
  </r>
  <r>
    <x v="13"/>
    <x v="5"/>
    <x v="12"/>
    <n v="7900.11"/>
    <n v="168"/>
    <x v="182"/>
    <x v="0"/>
  </r>
  <r>
    <x v="13"/>
    <x v="5"/>
    <x v="13"/>
    <n v="6559"/>
    <n v="119"/>
    <x v="90"/>
    <x v="0"/>
  </r>
  <r>
    <x v="13"/>
    <x v="5"/>
    <x v="13"/>
    <n v="6646.33"/>
    <n v="117"/>
    <x v="91"/>
    <x v="0"/>
  </r>
  <r>
    <x v="13"/>
    <x v="5"/>
    <x v="13"/>
    <n v="7339.32"/>
    <n v="121"/>
    <x v="92"/>
    <x v="0"/>
  </r>
  <r>
    <x v="14"/>
    <x v="0"/>
    <x v="0"/>
    <n v="8995"/>
    <n v="78"/>
    <x v="324"/>
    <x v="0"/>
  </r>
  <r>
    <x v="14"/>
    <x v="0"/>
    <x v="0"/>
    <n v="9163.7900000000009"/>
    <n v="81"/>
    <x v="325"/>
    <x v="0"/>
  </r>
  <r>
    <x v="14"/>
    <x v="0"/>
    <x v="0"/>
    <n v="10123.959999999999"/>
    <n v="84"/>
    <x v="326"/>
    <x v="0"/>
  </r>
  <r>
    <x v="14"/>
    <x v="0"/>
    <x v="7"/>
    <n v="6706"/>
    <n v="223"/>
    <x v="465"/>
    <x v="0"/>
  </r>
  <r>
    <x v="14"/>
    <x v="0"/>
    <x v="7"/>
    <n v="7734.54"/>
    <n v="227"/>
    <x v="466"/>
    <x v="0"/>
  </r>
  <r>
    <x v="14"/>
    <x v="0"/>
    <x v="7"/>
    <n v="7852.03"/>
    <n v="240"/>
    <x v="467"/>
    <x v="0"/>
  </r>
  <r>
    <x v="14"/>
    <x v="0"/>
    <x v="8"/>
    <n v="6832"/>
    <n v="306"/>
    <x v="21"/>
    <x v="0"/>
  </r>
  <r>
    <x v="14"/>
    <x v="0"/>
    <x v="8"/>
    <n v="7889.9"/>
    <n v="300"/>
    <x v="22"/>
    <x v="0"/>
  </r>
  <r>
    <x v="14"/>
    <x v="0"/>
    <x v="8"/>
    <n v="7962.71"/>
    <n v="293"/>
    <x v="23"/>
    <x v="0"/>
  </r>
  <r>
    <x v="14"/>
    <x v="0"/>
    <x v="2"/>
    <n v="4102"/>
    <n v="392"/>
    <x v="297"/>
    <x v="0"/>
  </r>
  <r>
    <x v="14"/>
    <x v="0"/>
    <x v="2"/>
    <n v="4371.7700000000004"/>
    <n v="375"/>
    <x v="298"/>
    <x v="0"/>
  </r>
  <r>
    <x v="14"/>
    <x v="0"/>
    <x v="2"/>
    <n v="4674.2"/>
    <n v="422"/>
    <x v="299"/>
    <x v="0"/>
  </r>
  <r>
    <x v="14"/>
    <x v="0"/>
    <x v="10"/>
    <n v="7672"/>
    <n v="115"/>
    <x v="219"/>
    <x v="0"/>
  </r>
  <r>
    <x v="14"/>
    <x v="0"/>
    <x v="10"/>
    <n v="7677.78"/>
    <n v="118"/>
    <x v="220"/>
    <x v="0"/>
  </r>
  <r>
    <x v="14"/>
    <x v="0"/>
    <x v="10"/>
    <n v="8385.26"/>
    <n v="122"/>
    <x v="221"/>
    <x v="0"/>
  </r>
  <r>
    <x v="14"/>
    <x v="0"/>
    <x v="19"/>
    <n v="7434"/>
    <n v="85"/>
    <x v="81"/>
    <x v="0"/>
  </r>
  <r>
    <x v="14"/>
    <x v="0"/>
    <x v="19"/>
    <n v="7684.52"/>
    <n v="83"/>
    <x v="82"/>
    <x v="0"/>
  </r>
  <r>
    <x v="14"/>
    <x v="0"/>
    <x v="19"/>
    <n v="7840.94"/>
    <n v="82"/>
    <x v="83"/>
    <x v="0"/>
  </r>
  <r>
    <x v="14"/>
    <x v="0"/>
    <x v="5"/>
    <n v="2765"/>
    <n v="264"/>
    <x v="150"/>
    <x v="0"/>
  </r>
  <r>
    <x v="14"/>
    <x v="0"/>
    <x v="5"/>
    <n v="2919.11"/>
    <n v="271"/>
    <x v="151"/>
    <x v="0"/>
  </r>
  <r>
    <x v="14"/>
    <x v="0"/>
    <x v="5"/>
    <n v="2996.99"/>
    <n v="280"/>
    <x v="152"/>
    <x v="0"/>
  </r>
  <r>
    <x v="14"/>
    <x v="0"/>
    <x v="18"/>
    <n v="4046"/>
    <n v="89"/>
    <x v="225"/>
    <x v="0"/>
  </r>
  <r>
    <x v="14"/>
    <x v="0"/>
    <x v="18"/>
    <n v="4499.6400000000003"/>
    <n v="91"/>
    <x v="226"/>
    <x v="0"/>
  </r>
  <r>
    <x v="14"/>
    <x v="0"/>
    <x v="18"/>
    <n v="4251.42"/>
    <n v="91"/>
    <x v="227"/>
    <x v="0"/>
  </r>
  <r>
    <x v="14"/>
    <x v="0"/>
    <x v="16"/>
    <n v="4403"/>
    <n v="159"/>
    <x v="441"/>
    <x v="0"/>
  </r>
  <r>
    <x v="14"/>
    <x v="0"/>
    <x v="16"/>
    <n v="4552.57"/>
    <n v="158"/>
    <x v="442"/>
    <x v="0"/>
  </r>
  <r>
    <x v="14"/>
    <x v="0"/>
    <x v="16"/>
    <n v="4860.75"/>
    <n v="162"/>
    <x v="443"/>
    <x v="0"/>
  </r>
  <r>
    <x v="14"/>
    <x v="0"/>
    <x v="6"/>
    <n v="5460"/>
    <n v="286"/>
    <x v="384"/>
    <x v="0"/>
  </r>
  <r>
    <x v="14"/>
    <x v="0"/>
    <x v="6"/>
    <n v="6127.37"/>
    <n v="299"/>
    <x v="385"/>
    <x v="0"/>
  </r>
  <r>
    <x v="14"/>
    <x v="0"/>
    <x v="6"/>
    <n v="6062.87"/>
    <n v="290"/>
    <x v="386"/>
    <x v="0"/>
  </r>
  <r>
    <x v="14"/>
    <x v="1"/>
    <x v="0"/>
    <n v="8687"/>
    <n v="100"/>
    <x v="78"/>
    <x v="0"/>
  </r>
  <r>
    <x v="14"/>
    <x v="1"/>
    <x v="0"/>
    <n v="8798.99"/>
    <n v="99"/>
    <x v="79"/>
    <x v="0"/>
  </r>
  <r>
    <x v="14"/>
    <x v="1"/>
    <x v="0"/>
    <n v="9207.09"/>
    <n v="109"/>
    <x v="80"/>
    <x v="0"/>
  </r>
  <r>
    <x v="14"/>
    <x v="1"/>
    <x v="1"/>
    <n v="1729"/>
    <n v="31"/>
    <x v="438"/>
    <x v="0"/>
  </r>
  <r>
    <x v="14"/>
    <x v="1"/>
    <x v="1"/>
    <n v="1992.77"/>
    <n v="31"/>
    <x v="439"/>
    <x v="0"/>
  </r>
  <r>
    <x v="14"/>
    <x v="1"/>
    <x v="1"/>
    <n v="1859.96"/>
    <n v="33"/>
    <x v="440"/>
    <x v="0"/>
  </r>
  <r>
    <x v="14"/>
    <x v="1"/>
    <x v="17"/>
    <n v="1288"/>
    <n v="409"/>
    <x v="393"/>
    <x v="0"/>
  </r>
  <r>
    <x v="14"/>
    <x v="1"/>
    <x v="17"/>
    <n v="1332.76"/>
    <n v="409"/>
    <x v="394"/>
    <x v="0"/>
  </r>
  <r>
    <x v="14"/>
    <x v="1"/>
    <x v="17"/>
    <n v="1420.22"/>
    <n v="422"/>
    <x v="395"/>
    <x v="0"/>
  </r>
  <r>
    <x v="14"/>
    <x v="1"/>
    <x v="8"/>
    <n v="5845"/>
    <n v="172"/>
    <x v="183"/>
    <x v="0"/>
  </r>
  <r>
    <x v="14"/>
    <x v="1"/>
    <x v="8"/>
    <n v="6233.02"/>
    <n v="178"/>
    <x v="184"/>
    <x v="0"/>
  </r>
  <r>
    <x v="14"/>
    <x v="1"/>
    <x v="8"/>
    <n v="6707.97"/>
    <n v="187"/>
    <x v="185"/>
    <x v="0"/>
  </r>
  <r>
    <x v="14"/>
    <x v="1"/>
    <x v="2"/>
    <n v="6055"/>
    <n v="73"/>
    <x v="420"/>
    <x v="0"/>
  </r>
  <r>
    <x v="14"/>
    <x v="1"/>
    <x v="2"/>
    <n v="6865.35"/>
    <n v="75"/>
    <x v="421"/>
    <x v="0"/>
  </r>
  <r>
    <x v="14"/>
    <x v="1"/>
    <x v="2"/>
    <n v="7220.35"/>
    <n v="71"/>
    <x v="422"/>
    <x v="0"/>
  </r>
  <r>
    <x v="14"/>
    <x v="1"/>
    <x v="21"/>
    <n v="3164"/>
    <n v="164"/>
    <x v="279"/>
    <x v="0"/>
  </r>
  <r>
    <x v="14"/>
    <x v="1"/>
    <x v="21"/>
    <n v="3542.19"/>
    <n v="180"/>
    <x v="280"/>
    <x v="0"/>
  </r>
  <r>
    <x v="14"/>
    <x v="1"/>
    <x v="21"/>
    <n v="3468.53"/>
    <n v="166"/>
    <x v="281"/>
    <x v="0"/>
  </r>
  <r>
    <x v="14"/>
    <x v="1"/>
    <x v="5"/>
    <n v="10213"/>
    <n v="135"/>
    <x v="60"/>
    <x v="0"/>
  </r>
  <r>
    <x v="14"/>
    <x v="1"/>
    <x v="5"/>
    <n v="10845.85"/>
    <n v="146"/>
    <x v="61"/>
    <x v="0"/>
  </r>
  <r>
    <x v="14"/>
    <x v="1"/>
    <x v="5"/>
    <n v="11618.55"/>
    <n v="133"/>
    <x v="62"/>
    <x v="0"/>
  </r>
  <r>
    <x v="14"/>
    <x v="1"/>
    <x v="11"/>
    <n v="5684"/>
    <n v="81"/>
    <x v="141"/>
    <x v="0"/>
  </r>
  <r>
    <x v="14"/>
    <x v="1"/>
    <x v="11"/>
    <n v="6078.71"/>
    <n v="78"/>
    <x v="142"/>
    <x v="0"/>
  </r>
  <r>
    <x v="14"/>
    <x v="1"/>
    <x v="11"/>
    <n v="6797.67"/>
    <n v="82"/>
    <x v="143"/>
    <x v="0"/>
  </r>
  <r>
    <x v="14"/>
    <x v="1"/>
    <x v="6"/>
    <n v="3269"/>
    <n v="176"/>
    <x v="123"/>
    <x v="0"/>
  </r>
  <r>
    <x v="14"/>
    <x v="1"/>
    <x v="6"/>
    <n v="3438.7"/>
    <n v="191"/>
    <x v="124"/>
    <x v="0"/>
  </r>
  <r>
    <x v="14"/>
    <x v="1"/>
    <x v="6"/>
    <n v="3653.39"/>
    <n v="185"/>
    <x v="125"/>
    <x v="0"/>
  </r>
  <r>
    <x v="14"/>
    <x v="2"/>
    <x v="7"/>
    <n v="12173"/>
    <n v="301"/>
    <x v="480"/>
    <x v="0"/>
  </r>
  <r>
    <x v="14"/>
    <x v="2"/>
    <x v="7"/>
    <n v="13535.7"/>
    <n v="296"/>
    <x v="481"/>
    <x v="0"/>
  </r>
  <r>
    <x v="14"/>
    <x v="2"/>
    <x v="7"/>
    <n v="13081.57"/>
    <n v="324"/>
    <x v="482"/>
    <x v="0"/>
  </r>
  <r>
    <x v="14"/>
    <x v="2"/>
    <x v="18"/>
    <n v="2905"/>
    <n v="91"/>
    <x v="102"/>
    <x v="0"/>
  </r>
  <r>
    <x v="14"/>
    <x v="2"/>
    <x v="18"/>
    <n v="3210.14"/>
    <n v="92"/>
    <x v="103"/>
    <x v="0"/>
  </r>
  <r>
    <x v="14"/>
    <x v="2"/>
    <x v="18"/>
    <n v="3168.11"/>
    <n v="93"/>
    <x v="104"/>
    <x v="0"/>
  </r>
  <r>
    <x v="14"/>
    <x v="2"/>
    <x v="15"/>
    <n v="5614"/>
    <n v="137"/>
    <x v="483"/>
    <x v="0"/>
  </r>
  <r>
    <x v="14"/>
    <x v="2"/>
    <x v="15"/>
    <n v="5674.7"/>
    <n v="147"/>
    <x v="484"/>
    <x v="0"/>
  </r>
  <r>
    <x v="14"/>
    <x v="2"/>
    <x v="15"/>
    <n v="6170.8"/>
    <n v="138"/>
    <x v="485"/>
    <x v="0"/>
  </r>
  <r>
    <x v="14"/>
    <x v="3"/>
    <x v="7"/>
    <n v="7231"/>
    <n v="38"/>
    <x v="246"/>
    <x v="0"/>
  </r>
  <r>
    <x v="14"/>
    <x v="3"/>
    <x v="7"/>
    <n v="7969.08"/>
    <n v="38"/>
    <x v="247"/>
    <x v="0"/>
  </r>
  <r>
    <x v="14"/>
    <x v="3"/>
    <x v="7"/>
    <n v="8487.6299999999992"/>
    <n v="40"/>
    <x v="248"/>
    <x v="0"/>
  </r>
  <r>
    <x v="14"/>
    <x v="3"/>
    <x v="10"/>
    <n v="12894"/>
    <n v="48"/>
    <x v="486"/>
    <x v="0"/>
  </r>
  <r>
    <x v="14"/>
    <x v="3"/>
    <x v="10"/>
    <n v="13520.48"/>
    <n v="47"/>
    <x v="487"/>
    <x v="0"/>
  </r>
  <r>
    <x v="14"/>
    <x v="3"/>
    <x v="10"/>
    <n v="14346.28"/>
    <n v="48"/>
    <x v="488"/>
    <x v="0"/>
  </r>
  <r>
    <x v="14"/>
    <x v="3"/>
    <x v="12"/>
    <n v="7"/>
    <n v="518"/>
    <x v="192"/>
    <x v="1"/>
  </r>
  <r>
    <x v="14"/>
    <x v="3"/>
    <x v="12"/>
    <n v="8.06"/>
    <n v="513"/>
    <x v="193"/>
    <x v="1"/>
  </r>
  <r>
    <x v="14"/>
    <x v="3"/>
    <x v="12"/>
    <n v="7.67"/>
    <n v="548"/>
    <x v="194"/>
    <x v="1"/>
  </r>
  <r>
    <x v="14"/>
    <x v="3"/>
    <x v="15"/>
    <n v="7728"/>
    <n v="37"/>
    <x v="450"/>
    <x v="0"/>
  </r>
  <r>
    <x v="14"/>
    <x v="3"/>
    <x v="15"/>
    <n v="8106.88"/>
    <n v="40"/>
    <x v="451"/>
    <x v="0"/>
  </r>
  <r>
    <x v="14"/>
    <x v="3"/>
    <x v="15"/>
    <n v="8755.31"/>
    <n v="38"/>
    <x v="452"/>
    <x v="0"/>
  </r>
  <r>
    <x v="14"/>
    <x v="4"/>
    <x v="0"/>
    <n v="3143"/>
    <n v="67"/>
    <x v="174"/>
    <x v="0"/>
  </r>
  <r>
    <x v="14"/>
    <x v="4"/>
    <x v="0"/>
    <n v="3283"/>
    <n v="72"/>
    <x v="175"/>
    <x v="0"/>
  </r>
  <r>
    <x v="14"/>
    <x v="4"/>
    <x v="0"/>
    <n v="3402.47"/>
    <n v="69"/>
    <x v="176"/>
    <x v="0"/>
  </r>
  <r>
    <x v="14"/>
    <x v="4"/>
    <x v="8"/>
    <n v="18697"/>
    <n v="176"/>
    <x v="435"/>
    <x v="0"/>
  </r>
  <r>
    <x v="14"/>
    <x v="4"/>
    <x v="8"/>
    <n v="18911.490000000002"/>
    <n v="171"/>
    <x v="436"/>
    <x v="0"/>
  </r>
  <r>
    <x v="14"/>
    <x v="4"/>
    <x v="8"/>
    <n v="21812.86"/>
    <n v="183"/>
    <x v="437"/>
    <x v="0"/>
  </r>
  <r>
    <x v="14"/>
    <x v="4"/>
    <x v="9"/>
    <n v="10192"/>
    <n v="67"/>
    <x v="351"/>
    <x v="0"/>
  </r>
  <r>
    <x v="14"/>
    <x v="4"/>
    <x v="9"/>
    <n v="10740.05"/>
    <n v="67"/>
    <x v="352"/>
    <x v="0"/>
  </r>
  <r>
    <x v="14"/>
    <x v="4"/>
    <x v="9"/>
    <n v="11334.21"/>
    <n v="72"/>
    <x v="353"/>
    <x v="0"/>
  </r>
  <r>
    <x v="14"/>
    <x v="4"/>
    <x v="21"/>
    <n v="8022"/>
    <n v="123"/>
    <x v="240"/>
    <x v="0"/>
  </r>
  <r>
    <x v="14"/>
    <x v="4"/>
    <x v="21"/>
    <n v="8054.87"/>
    <n v="118"/>
    <x v="241"/>
    <x v="0"/>
  </r>
  <r>
    <x v="14"/>
    <x v="4"/>
    <x v="21"/>
    <n v="9412.06"/>
    <n v="123"/>
    <x v="242"/>
    <x v="0"/>
  </r>
  <r>
    <x v="14"/>
    <x v="4"/>
    <x v="4"/>
    <n v="2317"/>
    <n v="224"/>
    <x v="312"/>
    <x v="0"/>
  </r>
  <r>
    <x v="14"/>
    <x v="4"/>
    <x v="4"/>
    <n v="2334.5"/>
    <n v="233"/>
    <x v="313"/>
    <x v="0"/>
  </r>
  <r>
    <x v="14"/>
    <x v="4"/>
    <x v="4"/>
    <n v="2513.58"/>
    <n v="226"/>
    <x v="314"/>
    <x v="0"/>
  </r>
  <r>
    <x v="14"/>
    <x v="4"/>
    <x v="5"/>
    <n v="7133"/>
    <n v="118"/>
    <x v="444"/>
    <x v="0"/>
  </r>
  <r>
    <x v="14"/>
    <x v="4"/>
    <x v="5"/>
    <n v="7189.18"/>
    <n v="113"/>
    <x v="445"/>
    <x v="0"/>
  </r>
  <r>
    <x v="14"/>
    <x v="4"/>
    <x v="5"/>
    <n v="8474.69"/>
    <n v="115"/>
    <x v="446"/>
    <x v="0"/>
  </r>
  <r>
    <x v="14"/>
    <x v="4"/>
    <x v="14"/>
    <n v="1960"/>
    <n v="191"/>
    <x v="378"/>
    <x v="0"/>
  </r>
  <r>
    <x v="14"/>
    <x v="4"/>
    <x v="14"/>
    <n v="2099.2399999999998"/>
    <n v="186"/>
    <x v="379"/>
    <x v="0"/>
  </r>
  <r>
    <x v="14"/>
    <x v="4"/>
    <x v="14"/>
    <n v="2252.94"/>
    <n v="196"/>
    <x v="380"/>
    <x v="0"/>
  </r>
  <r>
    <x v="14"/>
    <x v="4"/>
    <x v="11"/>
    <n v="2282"/>
    <n v="178"/>
    <x v="489"/>
    <x v="0"/>
  </r>
  <r>
    <x v="14"/>
    <x v="4"/>
    <x v="11"/>
    <n v="2508.0300000000002"/>
    <n v="175"/>
    <x v="490"/>
    <x v="0"/>
  </r>
  <r>
    <x v="14"/>
    <x v="4"/>
    <x v="11"/>
    <n v="2586.62"/>
    <n v="172"/>
    <x v="491"/>
    <x v="0"/>
  </r>
  <r>
    <x v="14"/>
    <x v="4"/>
    <x v="6"/>
    <n v="6272"/>
    <n v="86"/>
    <x v="24"/>
    <x v="0"/>
  </r>
  <r>
    <x v="14"/>
    <x v="4"/>
    <x v="6"/>
    <n v="6564.2"/>
    <n v="92"/>
    <x v="25"/>
    <x v="0"/>
  </r>
  <r>
    <x v="14"/>
    <x v="4"/>
    <x v="6"/>
    <n v="7477.56"/>
    <n v="85"/>
    <x v="26"/>
    <x v="0"/>
  </r>
  <r>
    <x v="14"/>
    <x v="4"/>
    <x v="12"/>
    <n v="9016"/>
    <n v="554"/>
    <x v="390"/>
    <x v="0"/>
  </r>
  <r>
    <x v="14"/>
    <x v="4"/>
    <x v="12"/>
    <n v="9928.1"/>
    <n v="599"/>
    <x v="391"/>
    <x v="0"/>
  </r>
  <r>
    <x v="14"/>
    <x v="4"/>
    <x v="12"/>
    <n v="9571.2999999999993"/>
    <n v="594"/>
    <x v="392"/>
    <x v="0"/>
  </r>
  <r>
    <x v="14"/>
    <x v="5"/>
    <x v="0"/>
    <n v="70"/>
    <n v="27"/>
    <x v="240"/>
    <x v="1"/>
  </r>
  <r>
    <x v="14"/>
    <x v="5"/>
    <x v="0"/>
    <n v="70.599999999999994"/>
    <n v="27"/>
    <x v="241"/>
    <x v="1"/>
  </r>
  <r>
    <x v="14"/>
    <x v="5"/>
    <x v="0"/>
    <n v="77.099999999999994"/>
    <n v="26"/>
    <x v="242"/>
    <x v="1"/>
  </r>
  <r>
    <x v="14"/>
    <x v="5"/>
    <x v="7"/>
    <n v="4018"/>
    <n v="100"/>
    <x v="99"/>
    <x v="0"/>
  </r>
  <r>
    <x v="14"/>
    <x v="5"/>
    <x v="7"/>
    <n v="4199.84"/>
    <n v="107"/>
    <x v="100"/>
    <x v="0"/>
  </r>
  <r>
    <x v="14"/>
    <x v="5"/>
    <x v="7"/>
    <n v="4672.25"/>
    <n v="103"/>
    <x v="101"/>
    <x v="0"/>
  </r>
  <r>
    <x v="14"/>
    <x v="5"/>
    <x v="1"/>
    <n v="483"/>
    <n v="259"/>
    <x v="477"/>
    <x v="0"/>
  </r>
  <r>
    <x v="14"/>
    <x v="5"/>
    <x v="1"/>
    <n v="538.03"/>
    <n v="271"/>
    <x v="478"/>
    <x v="0"/>
  </r>
  <r>
    <x v="14"/>
    <x v="5"/>
    <x v="1"/>
    <n v="564.66999999999996"/>
    <n v="256"/>
    <x v="479"/>
    <x v="0"/>
  </r>
  <r>
    <x v="14"/>
    <x v="5"/>
    <x v="9"/>
    <n v="5593"/>
    <n v="122"/>
    <x v="33"/>
    <x v="0"/>
  </r>
  <r>
    <x v="14"/>
    <x v="5"/>
    <x v="9"/>
    <n v="6318.7"/>
    <n v="124"/>
    <x v="34"/>
    <x v="0"/>
  </r>
  <r>
    <x v="14"/>
    <x v="5"/>
    <x v="9"/>
    <n v="6143.64"/>
    <n v="117"/>
    <x v="35"/>
    <x v="0"/>
  </r>
  <r>
    <x v="14"/>
    <x v="5"/>
    <x v="10"/>
    <n v="7623"/>
    <n v="10"/>
    <x v="183"/>
    <x v="0"/>
  </r>
  <r>
    <x v="14"/>
    <x v="5"/>
    <x v="10"/>
    <n v="7799.51"/>
    <n v="10"/>
    <x v="184"/>
    <x v="0"/>
  </r>
  <r>
    <x v="14"/>
    <x v="5"/>
    <x v="10"/>
    <n v="7978.76"/>
    <n v="10"/>
    <x v="185"/>
    <x v="0"/>
  </r>
  <r>
    <x v="14"/>
    <x v="5"/>
    <x v="18"/>
    <n v="15491"/>
    <n v="58"/>
    <x v="300"/>
    <x v="0"/>
  </r>
  <r>
    <x v="14"/>
    <x v="5"/>
    <x v="18"/>
    <n v="16253.25"/>
    <n v="58"/>
    <x v="301"/>
    <x v="0"/>
  </r>
  <r>
    <x v="14"/>
    <x v="5"/>
    <x v="18"/>
    <n v="18389.099999999999"/>
    <n v="62"/>
    <x v="302"/>
    <x v="0"/>
  </r>
  <r>
    <x v="14"/>
    <x v="5"/>
    <x v="11"/>
    <n v="2380"/>
    <n v="22"/>
    <x v="264"/>
    <x v="0"/>
  </r>
  <r>
    <x v="14"/>
    <x v="5"/>
    <x v="11"/>
    <n v="2638.76"/>
    <n v="24"/>
    <x v="265"/>
    <x v="0"/>
  </r>
  <r>
    <x v="14"/>
    <x v="5"/>
    <x v="11"/>
    <n v="2518.5"/>
    <n v="24"/>
    <x v="266"/>
    <x v="0"/>
  </r>
  <r>
    <x v="14"/>
    <x v="5"/>
    <x v="6"/>
    <n v="6790"/>
    <n v="188"/>
    <x v="39"/>
    <x v="0"/>
  </r>
  <r>
    <x v="14"/>
    <x v="5"/>
    <x v="6"/>
    <n v="6981.4"/>
    <n v="189"/>
    <x v="40"/>
    <x v="0"/>
  </r>
  <r>
    <x v="14"/>
    <x v="5"/>
    <x v="6"/>
    <n v="7568.16"/>
    <n v="206"/>
    <x v="41"/>
    <x v="0"/>
  </r>
  <r>
    <x v="14"/>
    <x v="5"/>
    <x v="15"/>
    <n v="2107"/>
    <n v="175"/>
    <x v="336"/>
    <x v="0"/>
  </r>
  <r>
    <x v="14"/>
    <x v="5"/>
    <x v="15"/>
    <n v="2333.84"/>
    <n v="171"/>
    <x v="337"/>
    <x v="0"/>
  </r>
  <r>
    <x v="14"/>
    <x v="5"/>
    <x v="15"/>
    <n v="2319.1"/>
    <n v="189"/>
    <x v="338"/>
    <x v="0"/>
  </r>
  <r>
    <x v="15"/>
    <x v="0"/>
    <x v="0"/>
    <n v="6678"/>
    <n v="708"/>
    <x v="51"/>
    <x v="0"/>
  </r>
  <r>
    <x v="15"/>
    <x v="0"/>
    <x v="0"/>
    <n v="7355.77"/>
    <n v="772"/>
    <x v="52"/>
    <x v="0"/>
  </r>
  <r>
    <x v="15"/>
    <x v="0"/>
    <x v="0"/>
    <n v="7642.94"/>
    <n v="778"/>
    <x v="53"/>
    <x v="0"/>
  </r>
  <r>
    <x v="15"/>
    <x v="0"/>
    <x v="7"/>
    <n v="238"/>
    <n v="317"/>
    <x v="393"/>
    <x v="0"/>
  </r>
  <r>
    <x v="15"/>
    <x v="0"/>
    <x v="7"/>
    <n v="237.57"/>
    <n v="311"/>
    <x v="394"/>
    <x v="0"/>
  </r>
  <r>
    <x v="15"/>
    <x v="0"/>
    <x v="7"/>
    <n v="278.77999999999997"/>
    <n v="332"/>
    <x v="395"/>
    <x v="0"/>
  </r>
  <r>
    <x v="15"/>
    <x v="0"/>
    <x v="17"/>
    <n v="10822"/>
    <n v="168"/>
    <x v="207"/>
    <x v="0"/>
  </r>
  <r>
    <x v="15"/>
    <x v="0"/>
    <x v="17"/>
    <n v="11303.07"/>
    <n v="166"/>
    <x v="208"/>
    <x v="0"/>
  </r>
  <r>
    <x v="15"/>
    <x v="0"/>
    <x v="17"/>
    <n v="12285.41"/>
    <n v="175"/>
    <x v="209"/>
    <x v="0"/>
  </r>
  <r>
    <x v="15"/>
    <x v="0"/>
    <x v="8"/>
    <n v="2303"/>
    <n v="67"/>
    <x v="30"/>
    <x v="0"/>
  </r>
  <r>
    <x v="15"/>
    <x v="0"/>
    <x v="8"/>
    <n v="2483.3200000000002"/>
    <n v="65"/>
    <x v="31"/>
    <x v="0"/>
  </r>
  <r>
    <x v="15"/>
    <x v="0"/>
    <x v="8"/>
    <n v="2528.14"/>
    <n v="67"/>
    <x v="32"/>
    <x v="0"/>
  </r>
  <r>
    <x v="15"/>
    <x v="0"/>
    <x v="2"/>
    <n v="7294"/>
    <n v="128"/>
    <x v="42"/>
    <x v="0"/>
  </r>
  <r>
    <x v="15"/>
    <x v="0"/>
    <x v="2"/>
    <n v="7936.84"/>
    <n v="138"/>
    <x v="43"/>
    <x v="0"/>
  </r>
  <r>
    <x v="15"/>
    <x v="0"/>
    <x v="2"/>
    <n v="8130.06"/>
    <n v="140"/>
    <x v="44"/>
    <x v="0"/>
  </r>
  <r>
    <x v="15"/>
    <x v="0"/>
    <x v="20"/>
    <n v="994"/>
    <n v="57"/>
    <x v="3"/>
    <x v="0"/>
  </r>
  <r>
    <x v="15"/>
    <x v="0"/>
    <x v="20"/>
    <n v="1145.72"/>
    <n v="60"/>
    <x v="4"/>
    <x v="0"/>
  </r>
  <r>
    <x v="15"/>
    <x v="0"/>
    <x v="20"/>
    <n v="1061.03"/>
    <n v="58"/>
    <x v="5"/>
    <x v="0"/>
  </r>
  <r>
    <x v="15"/>
    <x v="0"/>
    <x v="15"/>
    <n v="4410"/>
    <n v="323"/>
    <x v="441"/>
    <x v="0"/>
  </r>
  <r>
    <x v="15"/>
    <x v="0"/>
    <x v="15"/>
    <n v="4791.2"/>
    <n v="335"/>
    <x v="442"/>
    <x v="0"/>
  </r>
  <r>
    <x v="15"/>
    <x v="0"/>
    <x v="15"/>
    <n v="5303.58"/>
    <n v="354"/>
    <x v="443"/>
    <x v="0"/>
  </r>
  <r>
    <x v="15"/>
    <x v="0"/>
    <x v="13"/>
    <n v="7357"/>
    <n v="48"/>
    <x v="456"/>
    <x v="0"/>
  </r>
  <r>
    <x v="15"/>
    <x v="0"/>
    <x v="13"/>
    <n v="8448.39"/>
    <n v="52"/>
    <x v="457"/>
    <x v="0"/>
  </r>
  <r>
    <x v="15"/>
    <x v="0"/>
    <x v="13"/>
    <n v="8857.15"/>
    <n v="50"/>
    <x v="458"/>
    <x v="0"/>
  </r>
  <r>
    <x v="15"/>
    <x v="1"/>
    <x v="0"/>
    <n v="2919"/>
    <n v="65"/>
    <x v="105"/>
    <x v="0"/>
  </r>
  <r>
    <x v="15"/>
    <x v="1"/>
    <x v="0"/>
    <n v="2966.83"/>
    <n v="65"/>
    <x v="106"/>
    <x v="0"/>
  </r>
  <r>
    <x v="15"/>
    <x v="1"/>
    <x v="0"/>
    <n v="3248"/>
    <n v="64"/>
    <x v="107"/>
    <x v="0"/>
  </r>
  <r>
    <x v="15"/>
    <x v="1"/>
    <x v="7"/>
    <n v="7714"/>
    <n v="597"/>
    <x v="393"/>
    <x v="0"/>
  </r>
  <r>
    <x v="15"/>
    <x v="1"/>
    <x v="7"/>
    <n v="8376.69"/>
    <n v="646"/>
    <x v="394"/>
    <x v="0"/>
  </r>
  <r>
    <x v="15"/>
    <x v="1"/>
    <x v="7"/>
    <n v="9089.2099999999991"/>
    <n v="602"/>
    <x v="395"/>
    <x v="0"/>
  </r>
  <r>
    <x v="15"/>
    <x v="1"/>
    <x v="9"/>
    <n v="3346"/>
    <n v="304"/>
    <x v="66"/>
    <x v="0"/>
  </r>
  <r>
    <x v="15"/>
    <x v="1"/>
    <x v="9"/>
    <n v="3357.3"/>
    <n v="308"/>
    <x v="67"/>
    <x v="0"/>
  </r>
  <r>
    <x v="15"/>
    <x v="1"/>
    <x v="9"/>
    <n v="3653.33"/>
    <n v="327"/>
    <x v="68"/>
    <x v="0"/>
  </r>
  <r>
    <x v="15"/>
    <x v="1"/>
    <x v="10"/>
    <n v="3479"/>
    <n v="358"/>
    <x v="18"/>
    <x v="0"/>
  </r>
  <r>
    <x v="15"/>
    <x v="1"/>
    <x v="10"/>
    <n v="3850.87"/>
    <n v="372"/>
    <x v="19"/>
    <x v="0"/>
  </r>
  <r>
    <x v="15"/>
    <x v="1"/>
    <x v="10"/>
    <n v="3713.66"/>
    <n v="352"/>
    <x v="20"/>
    <x v="0"/>
  </r>
  <r>
    <x v="15"/>
    <x v="1"/>
    <x v="19"/>
    <n v="210"/>
    <n v="16"/>
    <x v="0"/>
    <x v="0"/>
  </r>
  <r>
    <x v="15"/>
    <x v="1"/>
    <x v="19"/>
    <n v="213.45"/>
    <n v="17"/>
    <x v="1"/>
    <x v="0"/>
  </r>
  <r>
    <x v="15"/>
    <x v="1"/>
    <x v="19"/>
    <n v="241.36"/>
    <n v="17"/>
    <x v="2"/>
    <x v="0"/>
  </r>
  <r>
    <x v="15"/>
    <x v="1"/>
    <x v="11"/>
    <n v="2415"/>
    <n v="312"/>
    <x v="105"/>
    <x v="0"/>
  </r>
  <r>
    <x v="15"/>
    <x v="1"/>
    <x v="11"/>
    <n v="2466.59"/>
    <n v="309"/>
    <x v="106"/>
    <x v="0"/>
  </r>
  <r>
    <x v="15"/>
    <x v="1"/>
    <x v="11"/>
    <n v="2769.94"/>
    <n v="302"/>
    <x v="107"/>
    <x v="0"/>
  </r>
  <r>
    <x v="15"/>
    <x v="1"/>
    <x v="6"/>
    <n v="3094"/>
    <n v="159"/>
    <x v="420"/>
    <x v="0"/>
  </r>
  <r>
    <x v="15"/>
    <x v="1"/>
    <x v="6"/>
    <n v="3473.62"/>
    <n v="170"/>
    <x v="421"/>
    <x v="0"/>
  </r>
  <r>
    <x v="15"/>
    <x v="1"/>
    <x v="6"/>
    <n v="3691.6"/>
    <n v="154"/>
    <x v="422"/>
    <x v="0"/>
  </r>
  <r>
    <x v="15"/>
    <x v="1"/>
    <x v="20"/>
    <n v="651"/>
    <n v="224"/>
    <x v="276"/>
    <x v="0"/>
  </r>
  <r>
    <x v="15"/>
    <x v="1"/>
    <x v="20"/>
    <n v="717.9"/>
    <n v="213"/>
    <x v="277"/>
    <x v="0"/>
  </r>
  <r>
    <x v="15"/>
    <x v="1"/>
    <x v="20"/>
    <n v="773.7"/>
    <n v="217"/>
    <x v="278"/>
    <x v="0"/>
  </r>
  <r>
    <x v="15"/>
    <x v="1"/>
    <x v="12"/>
    <n v="3017"/>
    <n v="184"/>
    <x v="468"/>
    <x v="0"/>
  </r>
  <r>
    <x v="15"/>
    <x v="1"/>
    <x v="12"/>
    <n v="3283.44"/>
    <n v="186"/>
    <x v="469"/>
    <x v="0"/>
  </r>
  <r>
    <x v="15"/>
    <x v="1"/>
    <x v="12"/>
    <n v="3368.63"/>
    <n v="180"/>
    <x v="470"/>
    <x v="0"/>
  </r>
  <r>
    <x v="15"/>
    <x v="1"/>
    <x v="15"/>
    <n v="6328"/>
    <n v="47"/>
    <x v="324"/>
    <x v="0"/>
  </r>
  <r>
    <x v="15"/>
    <x v="1"/>
    <x v="15"/>
    <n v="6315.53"/>
    <n v="51"/>
    <x v="325"/>
    <x v="0"/>
  </r>
  <r>
    <x v="15"/>
    <x v="1"/>
    <x v="15"/>
    <n v="6779.99"/>
    <n v="46"/>
    <x v="326"/>
    <x v="0"/>
  </r>
  <r>
    <x v="15"/>
    <x v="2"/>
    <x v="7"/>
    <n v="5075"/>
    <n v="344"/>
    <x v="93"/>
    <x v="0"/>
  </r>
  <r>
    <x v="15"/>
    <x v="2"/>
    <x v="7"/>
    <n v="5083.07"/>
    <n v="368"/>
    <x v="94"/>
    <x v="0"/>
  </r>
  <r>
    <x v="15"/>
    <x v="2"/>
    <x v="7"/>
    <n v="5915.87"/>
    <n v="355"/>
    <x v="95"/>
    <x v="0"/>
  </r>
  <r>
    <x v="15"/>
    <x v="2"/>
    <x v="1"/>
    <n v="945"/>
    <n v="83"/>
    <x v="15"/>
    <x v="0"/>
  </r>
  <r>
    <x v="15"/>
    <x v="2"/>
    <x v="1"/>
    <n v="1036.77"/>
    <n v="82"/>
    <x v="16"/>
    <x v="0"/>
  </r>
  <r>
    <x v="15"/>
    <x v="2"/>
    <x v="1"/>
    <n v="1108.8499999999999"/>
    <n v="87"/>
    <x v="17"/>
    <x v="0"/>
  </r>
  <r>
    <x v="15"/>
    <x v="2"/>
    <x v="2"/>
    <n v="6090"/>
    <n v="149"/>
    <x v="369"/>
    <x v="0"/>
  </r>
  <r>
    <x v="15"/>
    <x v="2"/>
    <x v="2"/>
    <n v="6188.62"/>
    <n v="157"/>
    <x v="370"/>
    <x v="0"/>
  </r>
  <r>
    <x v="15"/>
    <x v="2"/>
    <x v="2"/>
    <n v="6580.43"/>
    <n v="147"/>
    <x v="371"/>
    <x v="0"/>
  </r>
  <r>
    <x v="15"/>
    <x v="2"/>
    <x v="4"/>
    <n v="4795"/>
    <n v="233"/>
    <x v="492"/>
    <x v="0"/>
  </r>
  <r>
    <x v="15"/>
    <x v="2"/>
    <x v="4"/>
    <n v="5064.88"/>
    <n v="251"/>
    <x v="493"/>
    <x v="0"/>
  </r>
  <r>
    <x v="15"/>
    <x v="2"/>
    <x v="4"/>
    <n v="5055.05"/>
    <n v="241"/>
    <x v="494"/>
    <x v="0"/>
  </r>
  <r>
    <x v="15"/>
    <x v="2"/>
    <x v="19"/>
    <n v="168"/>
    <n v="321"/>
    <x v="207"/>
    <x v="0"/>
  </r>
  <r>
    <x v="15"/>
    <x v="2"/>
    <x v="19"/>
    <n v="189.37"/>
    <n v="315"/>
    <x v="208"/>
    <x v="0"/>
  </r>
  <r>
    <x v="15"/>
    <x v="2"/>
    <x v="19"/>
    <n v="181.31"/>
    <n v="330"/>
    <x v="209"/>
    <x v="0"/>
  </r>
  <r>
    <x v="15"/>
    <x v="2"/>
    <x v="5"/>
    <n v="2443"/>
    <n v="581"/>
    <x v="123"/>
    <x v="0"/>
  </r>
  <r>
    <x v="15"/>
    <x v="2"/>
    <x v="5"/>
    <n v="2487.19"/>
    <n v="583"/>
    <x v="124"/>
    <x v="0"/>
  </r>
  <r>
    <x v="15"/>
    <x v="2"/>
    <x v="5"/>
    <n v="2696.1"/>
    <n v="605"/>
    <x v="125"/>
    <x v="0"/>
  </r>
  <r>
    <x v="15"/>
    <x v="2"/>
    <x v="16"/>
    <n v="10990"/>
    <n v="184"/>
    <x v="105"/>
    <x v="0"/>
  </r>
  <r>
    <x v="15"/>
    <x v="2"/>
    <x v="16"/>
    <n v="11380.7"/>
    <n v="192"/>
    <x v="106"/>
    <x v="0"/>
  </r>
  <r>
    <x v="15"/>
    <x v="2"/>
    <x v="16"/>
    <n v="11650.88"/>
    <n v="192"/>
    <x v="107"/>
    <x v="0"/>
  </r>
  <r>
    <x v="15"/>
    <x v="2"/>
    <x v="14"/>
    <n v="3122"/>
    <n v="149"/>
    <x v="210"/>
    <x v="0"/>
  </r>
  <r>
    <x v="15"/>
    <x v="2"/>
    <x v="14"/>
    <n v="3172.08"/>
    <n v="153"/>
    <x v="211"/>
    <x v="0"/>
  </r>
  <r>
    <x v="15"/>
    <x v="2"/>
    <x v="14"/>
    <n v="3745.21"/>
    <n v="161"/>
    <x v="212"/>
    <x v="0"/>
  </r>
  <r>
    <x v="15"/>
    <x v="2"/>
    <x v="13"/>
    <n v="7483"/>
    <n v="232"/>
    <x v="51"/>
    <x v="0"/>
  </r>
  <r>
    <x v="15"/>
    <x v="2"/>
    <x v="13"/>
    <n v="8361.4699999999993"/>
    <n v="231"/>
    <x v="52"/>
    <x v="0"/>
  </r>
  <r>
    <x v="15"/>
    <x v="2"/>
    <x v="13"/>
    <n v="8265.32"/>
    <n v="251"/>
    <x v="53"/>
    <x v="0"/>
  </r>
  <r>
    <x v="15"/>
    <x v="3"/>
    <x v="7"/>
    <n v="126"/>
    <n v="40"/>
    <x v="324"/>
    <x v="0"/>
  </r>
  <r>
    <x v="15"/>
    <x v="3"/>
    <x v="7"/>
    <n v="141.22999999999999"/>
    <n v="38"/>
    <x v="325"/>
    <x v="0"/>
  </r>
  <r>
    <x v="15"/>
    <x v="3"/>
    <x v="7"/>
    <n v="150.41999999999999"/>
    <n v="40"/>
    <x v="326"/>
    <x v="0"/>
  </r>
  <r>
    <x v="15"/>
    <x v="3"/>
    <x v="1"/>
    <n v="6069"/>
    <n v="55"/>
    <x v="12"/>
    <x v="0"/>
  </r>
  <r>
    <x v="15"/>
    <x v="3"/>
    <x v="1"/>
    <n v="6312.53"/>
    <n v="60"/>
    <x v="13"/>
    <x v="0"/>
  </r>
  <r>
    <x v="15"/>
    <x v="3"/>
    <x v="1"/>
    <n v="6350.37"/>
    <n v="59"/>
    <x v="14"/>
    <x v="0"/>
  </r>
  <r>
    <x v="15"/>
    <x v="3"/>
    <x v="3"/>
    <n v="5012"/>
    <n v="189"/>
    <x v="69"/>
    <x v="0"/>
  </r>
  <r>
    <x v="15"/>
    <x v="3"/>
    <x v="3"/>
    <n v="5667.58"/>
    <n v="204"/>
    <x v="70"/>
    <x v="0"/>
  </r>
  <r>
    <x v="15"/>
    <x v="3"/>
    <x v="3"/>
    <n v="5701.35"/>
    <n v="201"/>
    <x v="71"/>
    <x v="0"/>
  </r>
  <r>
    <x v="15"/>
    <x v="3"/>
    <x v="9"/>
    <n v="5334"/>
    <n v="227"/>
    <x v="48"/>
    <x v="0"/>
  </r>
  <r>
    <x v="15"/>
    <x v="3"/>
    <x v="9"/>
    <n v="5487.3"/>
    <n v="219"/>
    <x v="49"/>
    <x v="0"/>
  </r>
  <r>
    <x v="15"/>
    <x v="3"/>
    <x v="9"/>
    <n v="6290.89"/>
    <n v="232"/>
    <x v="50"/>
    <x v="0"/>
  </r>
  <r>
    <x v="15"/>
    <x v="3"/>
    <x v="4"/>
    <n v="168"/>
    <n v="156"/>
    <x v="261"/>
    <x v="0"/>
  </r>
  <r>
    <x v="15"/>
    <x v="3"/>
    <x v="4"/>
    <n v="171.49"/>
    <n v="163"/>
    <x v="262"/>
    <x v="0"/>
  </r>
  <r>
    <x v="15"/>
    <x v="3"/>
    <x v="4"/>
    <n v="181.84"/>
    <n v="167"/>
    <x v="263"/>
    <x v="0"/>
  </r>
  <r>
    <x v="15"/>
    <x v="3"/>
    <x v="10"/>
    <n v="2597"/>
    <n v="177"/>
    <x v="228"/>
    <x v="0"/>
  </r>
  <r>
    <x v="15"/>
    <x v="3"/>
    <x v="10"/>
    <n v="2935.8"/>
    <n v="171"/>
    <x v="229"/>
    <x v="0"/>
  </r>
  <r>
    <x v="15"/>
    <x v="3"/>
    <x v="10"/>
    <n v="2817.14"/>
    <n v="191"/>
    <x v="230"/>
    <x v="0"/>
  </r>
  <r>
    <x v="15"/>
    <x v="3"/>
    <x v="19"/>
    <n v="1218"/>
    <n v="135"/>
    <x v="396"/>
    <x v="0"/>
  </r>
  <r>
    <x v="15"/>
    <x v="3"/>
    <x v="19"/>
    <n v="1365.88"/>
    <n v="147"/>
    <x v="397"/>
    <x v="0"/>
  </r>
  <r>
    <x v="15"/>
    <x v="3"/>
    <x v="19"/>
    <n v="1435.27"/>
    <n v="138"/>
    <x v="398"/>
    <x v="0"/>
  </r>
  <r>
    <x v="15"/>
    <x v="3"/>
    <x v="16"/>
    <n v="4326"/>
    <n v="61"/>
    <x v="66"/>
    <x v="0"/>
  </r>
  <r>
    <x v="15"/>
    <x v="3"/>
    <x v="16"/>
    <n v="4361.01"/>
    <n v="59"/>
    <x v="67"/>
    <x v="0"/>
  </r>
  <r>
    <x v="15"/>
    <x v="3"/>
    <x v="16"/>
    <n v="4834.51"/>
    <n v="63"/>
    <x v="68"/>
    <x v="0"/>
  </r>
  <r>
    <x v="15"/>
    <x v="4"/>
    <x v="0"/>
    <n v="3647"/>
    <n v="310"/>
    <x v="438"/>
    <x v="0"/>
  </r>
  <r>
    <x v="15"/>
    <x v="4"/>
    <x v="0"/>
    <n v="3843.01"/>
    <n v="295"/>
    <x v="439"/>
    <x v="0"/>
  </r>
  <r>
    <x v="15"/>
    <x v="4"/>
    <x v="0"/>
    <n v="3857.88"/>
    <n v="303"/>
    <x v="440"/>
    <x v="0"/>
  </r>
  <r>
    <x v="15"/>
    <x v="4"/>
    <x v="2"/>
    <n v="6839"/>
    <n v="133"/>
    <x v="108"/>
    <x v="0"/>
  </r>
  <r>
    <x v="15"/>
    <x v="4"/>
    <x v="2"/>
    <n v="7698.6"/>
    <n v="126"/>
    <x v="109"/>
    <x v="0"/>
  </r>
  <r>
    <x v="15"/>
    <x v="4"/>
    <x v="2"/>
    <n v="8101.98"/>
    <n v="138"/>
    <x v="110"/>
    <x v="0"/>
  </r>
  <r>
    <x v="15"/>
    <x v="4"/>
    <x v="3"/>
    <n v="4753"/>
    <n v="389"/>
    <x v="396"/>
    <x v="0"/>
  </r>
  <r>
    <x v="15"/>
    <x v="4"/>
    <x v="3"/>
    <n v="5094.4799999999996"/>
    <n v="373"/>
    <x v="397"/>
    <x v="0"/>
  </r>
  <r>
    <x v="15"/>
    <x v="4"/>
    <x v="3"/>
    <n v="5315.95"/>
    <n v="389"/>
    <x v="398"/>
    <x v="0"/>
  </r>
  <r>
    <x v="15"/>
    <x v="4"/>
    <x v="10"/>
    <n v="7798"/>
    <n v="196"/>
    <x v="177"/>
    <x v="0"/>
  </r>
  <r>
    <x v="15"/>
    <x v="4"/>
    <x v="10"/>
    <n v="7901.09"/>
    <n v="200"/>
    <x v="178"/>
    <x v="0"/>
  </r>
  <r>
    <x v="15"/>
    <x v="4"/>
    <x v="10"/>
    <n v="8360.11"/>
    <n v="203"/>
    <x v="179"/>
    <x v="0"/>
  </r>
  <r>
    <x v="15"/>
    <x v="5"/>
    <x v="4"/>
    <n v="112"/>
    <n v="223"/>
    <x v="378"/>
    <x v="0"/>
  </r>
  <r>
    <x v="15"/>
    <x v="5"/>
    <x v="4"/>
    <n v="114.82"/>
    <n v="231"/>
    <x v="379"/>
    <x v="0"/>
  </r>
  <r>
    <x v="15"/>
    <x v="5"/>
    <x v="4"/>
    <n v="132.68"/>
    <n v="243"/>
    <x v="380"/>
    <x v="0"/>
  </r>
  <r>
    <x v="15"/>
    <x v="5"/>
    <x v="10"/>
    <n v="868"/>
    <n v="125"/>
    <x v="423"/>
    <x v="0"/>
  </r>
  <r>
    <x v="15"/>
    <x v="5"/>
    <x v="10"/>
    <n v="991.46"/>
    <n v="133"/>
    <x v="424"/>
    <x v="0"/>
  </r>
  <r>
    <x v="15"/>
    <x v="5"/>
    <x v="10"/>
    <n v="1017.17"/>
    <n v="123"/>
    <x v="425"/>
    <x v="0"/>
  </r>
  <r>
    <x v="15"/>
    <x v="5"/>
    <x v="5"/>
    <n v="10171"/>
    <n v="67"/>
    <x v="402"/>
    <x v="0"/>
  </r>
  <r>
    <x v="15"/>
    <x v="5"/>
    <x v="5"/>
    <n v="10338.27"/>
    <n v="73"/>
    <x v="403"/>
    <x v="0"/>
  </r>
  <r>
    <x v="15"/>
    <x v="5"/>
    <x v="5"/>
    <n v="11815.59"/>
    <n v="68"/>
    <x v="404"/>
    <x v="0"/>
  </r>
  <r>
    <x v="15"/>
    <x v="5"/>
    <x v="18"/>
    <n v="4389"/>
    <n v="7"/>
    <x v="312"/>
    <x v="0"/>
  </r>
  <r>
    <x v="15"/>
    <x v="5"/>
    <x v="18"/>
    <n v="4764.5600000000004"/>
    <n v="7"/>
    <x v="313"/>
    <x v="0"/>
  </r>
  <r>
    <x v="15"/>
    <x v="5"/>
    <x v="18"/>
    <n v="5231.54"/>
    <n v="8"/>
    <x v="314"/>
    <x v="0"/>
  </r>
  <r>
    <x v="15"/>
    <x v="5"/>
    <x v="16"/>
    <n v="15652"/>
    <n v="53"/>
    <x v="72"/>
    <x v="0"/>
  </r>
  <r>
    <x v="15"/>
    <x v="5"/>
    <x v="16"/>
    <n v="16773.080000000002"/>
    <n v="58"/>
    <x v="73"/>
    <x v="0"/>
  </r>
  <r>
    <x v="15"/>
    <x v="5"/>
    <x v="16"/>
    <n v="17866.48"/>
    <n v="58"/>
    <x v="74"/>
    <x v="0"/>
  </r>
  <r>
    <x v="15"/>
    <x v="5"/>
    <x v="14"/>
    <n v="11095"/>
    <n v="401"/>
    <x v="99"/>
    <x v="0"/>
  </r>
  <r>
    <x v="15"/>
    <x v="5"/>
    <x v="14"/>
    <n v="11694.48"/>
    <n v="425"/>
    <x v="100"/>
    <x v="0"/>
  </r>
  <r>
    <x v="15"/>
    <x v="5"/>
    <x v="14"/>
    <n v="11741.46"/>
    <n v="433"/>
    <x v="101"/>
    <x v="0"/>
  </r>
  <r>
    <x v="15"/>
    <x v="5"/>
    <x v="20"/>
    <n v="14749"/>
    <n v="354"/>
    <x v="231"/>
    <x v="0"/>
  </r>
  <r>
    <x v="15"/>
    <x v="5"/>
    <x v="20"/>
    <n v="15370.06"/>
    <n v="353"/>
    <x v="232"/>
    <x v="0"/>
  </r>
  <r>
    <x v="15"/>
    <x v="5"/>
    <x v="20"/>
    <n v="17037.09"/>
    <n v="347"/>
    <x v="233"/>
    <x v="0"/>
  </r>
  <r>
    <x v="15"/>
    <x v="5"/>
    <x v="13"/>
    <n v="4592"/>
    <n v="2"/>
    <x v="84"/>
    <x v="0"/>
  </r>
  <r>
    <x v="15"/>
    <x v="5"/>
    <x v="13"/>
    <n v="5209.3999999999996"/>
    <n v="2"/>
    <x v="85"/>
    <x v="0"/>
  </r>
  <r>
    <x v="15"/>
    <x v="5"/>
    <x v="13"/>
    <n v="5158.01"/>
    <n v="2"/>
    <x v="86"/>
    <x v="0"/>
  </r>
  <r>
    <x v="16"/>
    <x v="0"/>
    <x v="17"/>
    <n v="3185"/>
    <n v="34"/>
    <x v="108"/>
    <x v="0"/>
  </r>
  <r>
    <x v="16"/>
    <x v="0"/>
    <x v="17"/>
    <n v="3272.68"/>
    <n v="32"/>
    <x v="109"/>
    <x v="0"/>
  </r>
  <r>
    <x v="16"/>
    <x v="0"/>
    <x v="17"/>
    <n v="3794.1"/>
    <n v="36"/>
    <x v="110"/>
    <x v="0"/>
  </r>
  <r>
    <x v="16"/>
    <x v="0"/>
    <x v="8"/>
    <n v="6916"/>
    <n v="288"/>
    <x v="66"/>
    <x v="0"/>
  </r>
  <r>
    <x v="16"/>
    <x v="0"/>
    <x v="8"/>
    <n v="7683.78"/>
    <n v="279"/>
    <x v="67"/>
    <x v="0"/>
  </r>
  <r>
    <x v="16"/>
    <x v="0"/>
    <x v="8"/>
    <n v="8265.41"/>
    <n v="298"/>
    <x v="68"/>
    <x v="0"/>
  </r>
  <r>
    <x v="16"/>
    <x v="0"/>
    <x v="2"/>
    <n v="4879"/>
    <n v="350"/>
    <x v="57"/>
    <x v="0"/>
  </r>
  <r>
    <x v="16"/>
    <x v="0"/>
    <x v="2"/>
    <n v="5509.22"/>
    <n v="341"/>
    <x v="58"/>
    <x v="0"/>
  </r>
  <r>
    <x v="16"/>
    <x v="0"/>
    <x v="2"/>
    <n v="5869.09"/>
    <n v="354"/>
    <x v="59"/>
    <x v="0"/>
  </r>
  <r>
    <x v="16"/>
    <x v="0"/>
    <x v="4"/>
    <n v="1288"/>
    <n v="60"/>
    <x v="255"/>
    <x v="0"/>
  </r>
  <r>
    <x v="16"/>
    <x v="0"/>
    <x v="4"/>
    <n v="1355.65"/>
    <n v="60"/>
    <x v="256"/>
    <x v="0"/>
  </r>
  <r>
    <x v="16"/>
    <x v="0"/>
    <x v="4"/>
    <n v="1370.19"/>
    <n v="58"/>
    <x v="257"/>
    <x v="0"/>
  </r>
  <r>
    <x v="16"/>
    <x v="0"/>
    <x v="10"/>
    <n v="7273"/>
    <n v="547"/>
    <x v="408"/>
    <x v="0"/>
  </r>
  <r>
    <x v="16"/>
    <x v="0"/>
    <x v="10"/>
    <n v="8168.86"/>
    <n v="570"/>
    <x v="409"/>
    <x v="0"/>
  </r>
  <r>
    <x v="16"/>
    <x v="0"/>
    <x v="10"/>
    <n v="8727.09"/>
    <n v="523"/>
    <x v="410"/>
    <x v="0"/>
  </r>
  <r>
    <x v="16"/>
    <x v="0"/>
    <x v="18"/>
    <n v="7910"/>
    <n v="125"/>
    <x v="171"/>
    <x v="0"/>
  </r>
  <r>
    <x v="16"/>
    <x v="0"/>
    <x v="18"/>
    <n v="8684.58"/>
    <n v="120"/>
    <x v="172"/>
    <x v="0"/>
  </r>
  <r>
    <x v="16"/>
    <x v="0"/>
    <x v="18"/>
    <n v="8975.44"/>
    <n v="137"/>
    <x v="173"/>
    <x v="0"/>
  </r>
  <r>
    <x v="16"/>
    <x v="0"/>
    <x v="14"/>
    <n v="11116"/>
    <n v="432"/>
    <x v="294"/>
    <x v="0"/>
  </r>
  <r>
    <x v="16"/>
    <x v="0"/>
    <x v="14"/>
    <n v="11597.46"/>
    <n v="462"/>
    <x v="295"/>
    <x v="0"/>
  </r>
  <r>
    <x v="16"/>
    <x v="0"/>
    <x v="14"/>
    <n v="13331.77"/>
    <n v="443"/>
    <x v="296"/>
    <x v="0"/>
  </r>
  <r>
    <x v="16"/>
    <x v="0"/>
    <x v="20"/>
    <n v="679"/>
    <n v="56"/>
    <x v="90"/>
    <x v="0"/>
  </r>
  <r>
    <x v="16"/>
    <x v="0"/>
    <x v="20"/>
    <n v="770.25"/>
    <n v="61"/>
    <x v="91"/>
    <x v="0"/>
  </r>
  <r>
    <x v="16"/>
    <x v="0"/>
    <x v="20"/>
    <n v="813.41"/>
    <n v="58"/>
    <x v="92"/>
    <x v="0"/>
  </r>
  <r>
    <x v="16"/>
    <x v="0"/>
    <x v="13"/>
    <n v="8715"/>
    <n v="168"/>
    <x v="84"/>
    <x v="0"/>
  </r>
  <r>
    <x v="16"/>
    <x v="0"/>
    <x v="13"/>
    <n v="8879.7199999999993"/>
    <n v="177"/>
    <x v="85"/>
    <x v="0"/>
  </r>
  <r>
    <x v="16"/>
    <x v="0"/>
    <x v="13"/>
    <n v="10089.49"/>
    <n v="168"/>
    <x v="86"/>
    <x v="0"/>
  </r>
  <r>
    <x v="16"/>
    <x v="1"/>
    <x v="17"/>
    <n v="4830"/>
    <n v="50"/>
    <x v="423"/>
    <x v="0"/>
  </r>
  <r>
    <x v="16"/>
    <x v="1"/>
    <x v="17"/>
    <n v="4950.21"/>
    <n v="54"/>
    <x v="424"/>
    <x v="0"/>
  </r>
  <r>
    <x v="16"/>
    <x v="1"/>
    <x v="17"/>
    <n v="5598.05"/>
    <n v="51"/>
    <x v="425"/>
    <x v="0"/>
  </r>
  <r>
    <x v="16"/>
    <x v="1"/>
    <x v="8"/>
    <n v="16702"/>
    <n v="198"/>
    <x v="162"/>
    <x v="0"/>
  </r>
  <r>
    <x v="16"/>
    <x v="1"/>
    <x v="8"/>
    <n v="17073.990000000002"/>
    <n v="218"/>
    <x v="163"/>
    <x v="0"/>
  </r>
  <r>
    <x v="16"/>
    <x v="1"/>
    <x v="8"/>
    <n v="19449.02"/>
    <n v="204"/>
    <x v="164"/>
    <x v="0"/>
  </r>
  <r>
    <x v="16"/>
    <x v="1"/>
    <x v="3"/>
    <n v="3073"/>
    <n v="302"/>
    <x v="342"/>
    <x v="0"/>
  </r>
  <r>
    <x v="16"/>
    <x v="1"/>
    <x v="3"/>
    <n v="3377.41"/>
    <n v="325"/>
    <x v="343"/>
    <x v="0"/>
  </r>
  <r>
    <x v="16"/>
    <x v="1"/>
    <x v="3"/>
    <n v="3597.37"/>
    <n v="288"/>
    <x v="344"/>
    <x v="0"/>
  </r>
  <r>
    <x v="16"/>
    <x v="1"/>
    <x v="19"/>
    <n v="826"/>
    <n v="149"/>
    <x v="81"/>
    <x v="0"/>
  </r>
  <r>
    <x v="16"/>
    <x v="1"/>
    <x v="19"/>
    <n v="840.71"/>
    <n v="162"/>
    <x v="82"/>
    <x v="0"/>
  </r>
  <r>
    <x v="16"/>
    <x v="1"/>
    <x v="19"/>
    <n v="881.49"/>
    <n v="152"/>
    <x v="83"/>
    <x v="0"/>
  </r>
  <r>
    <x v="16"/>
    <x v="1"/>
    <x v="18"/>
    <n v="16016"/>
    <n v="28"/>
    <x v="180"/>
    <x v="0"/>
  </r>
  <r>
    <x v="16"/>
    <x v="1"/>
    <x v="18"/>
    <n v="17680.189999999999"/>
    <n v="27"/>
    <x v="181"/>
    <x v="0"/>
  </r>
  <r>
    <x v="16"/>
    <x v="1"/>
    <x v="18"/>
    <n v="17518.04"/>
    <n v="28"/>
    <x v="182"/>
    <x v="0"/>
  </r>
  <r>
    <x v="16"/>
    <x v="1"/>
    <x v="6"/>
    <n v="7532"/>
    <n v="44"/>
    <x v="21"/>
    <x v="0"/>
  </r>
  <r>
    <x v="16"/>
    <x v="1"/>
    <x v="6"/>
    <n v="8106.62"/>
    <n v="47"/>
    <x v="22"/>
    <x v="0"/>
  </r>
  <r>
    <x v="16"/>
    <x v="1"/>
    <x v="6"/>
    <n v="8041.25"/>
    <n v="43"/>
    <x v="23"/>
    <x v="0"/>
  </r>
  <r>
    <x v="16"/>
    <x v="1"/>
    <x v="12"/>
    <n v="8099"/>
    <n v="118"/>
    <x v="318"/>
    <x v="0"/>
  </r>
  <r>
    <x v="16"/>
    <x v="1"/>
    <x v="12"/>
    <n v="8762.75"/>
    <n v="115"/>
    <x v="319"/>
    <x v="0"/>
  </r>
  <r>
    <x v="16"/>
    <x v="1"/>
    <x v="12"/>
    <n v="8929.57"/>
    <n v="121"/>
    <x v="320"/>
    <x v="0"/>
  </r>
  <r>
    <x v="16"/>
    <x v="2"/>
    <x v="7"/>
    <n v="3640"/>
    <n v="106"/>
    <x v="270"/>
    <x v="0"/>
  </r>
  <r>
    <x v="16"/>
    <x v="2"/>
    <x v="7"/>
    <n v="3967.25"/>
    <n v="101"/>
    <x v="271"/>
    <x v="0"/>
  </r>
  <r>
    <x v="16"/>
    <x v="2"/>
    <x v="7"/>
    <n v="3878.6"/>
    <n v="108"/>
    <x v="272"/>
    <x v="0"/>
  </r>
  <r>
    <x v="16"/>
    <x v="2"/>
    <x v="17"/>
    <n v="2303"/>
    <n v="244"/>
    <x v="12"/>
    <x v="0"/>
  </r>
  <r>
    <x v="16"/>
    <x v="2"/>
    <x v="17"/>
    <n v="2455.13"/>
    <n v="236"/>
    <x v="13"/>
    <x v="0"/>
  </r>
  <r>
    <x v="16"/>
    <x v="2"/>
    <x v="17"/>
    <n v="2411.9299999999998"/>
    <n v="248"/>
    <x v="14"/>
    <x v="0"/>
  </r>
  <r>
    <x v="16"/>
    <x v="2"/>
    <x v="8"/>
    <n v="1687"/>
    <n v="520"/>
    <x v="117"/>
    <x v="0"/>
  </r>
  <r>
    <x v="16"/>
    <x v="2"/>
    <x v="8"/>
    <n v="1732.04"/>
    <n v="531"/>
    <x v="118"/>
    <x v="0"/>
  </r>
  <r>
    <x v="16"/>
    <x v="2"/>
    <x v="8"/>
    <n v="1855.03"/>
    <n v="563"/>
    <x v="119"/>
    <x v="0"/>
  </r>
  <r>
    <x v="16"/>
    <x v="2"/>
    <x v="2"/>
    <n v="3297"/>
    <n v="149"/>
    <x v="354"/>
    <x v="0"/>
  </r>
  <r>
    <x v="16"/>
    <x v="2"/>
    <x v="2"/>
    <n v="3574.12"/>
    <n v="149"/>
    <x v="355"/>
    <x v="0"/>
  </r>
  <r>
    <x v="16"/>
    <x v="2"/>
    <x v="2"/>
    <n v="3677.47"/>
    <n v="152"/>
    <x v="356"/>
    <x v="0"/>
  </r>
  <r>
    <x v="16"/>
    <x v="2"/>
    <x v="9"/>
    <n v="476"/>
    <n v="125"/>
    <x v="360"/>
    <x v="0"/>
  </r>
  <r>
    <x v="16"/>
    <x v="2"/>
    <x v="9"/>
    <n v="487.06"/>
    <n v="123"/>
    <x v="361"/>
    <x v="0"/>
  </r>
  <r>
    <x v="16"/>
    <x v="2"/>
    <x v="9"/>
    <n v="513.42999999999995"/>
    <n v="131"/>
    <x v="362"/>
    <x v="0"/>
  </r>
  <r>
    <x v="16"/>
    <x v="2"/>
    <x v="4"/>
    <n v="7532"/>
    <n v="234"/>
    <x v="123"/>
    <x v="0"/>
  </r>
  <r>
    <x v="16"/>
    <x v="2"/>
    <x v="4"/>
    <n v="8105.37"/>
    <n v="255"/>
    <x v="124"/>
    <x v="0"/>
  </r>
  <r>
    <x v="16"/>
    <x v="2"/>
    <x v="4"/>
    <n v="8328.52"/>
    <n v="238"/>
    <x v="125"/>
    <x v="0"/>
  </r>
  <r>
    <x v="16"/>
    <x v="2"/>
    <x v="10"/>
    <n v="5334"/>
    <n v="80"/>
    <x v="159"/>
    <x v="0"/>
  </r>
  <r>
    <x v="16"/>
    <x v="2"/>
    <x v="10"/>
    <n v="5344.21"/>
    <n v="80"/>
    <x v="160"/>
    <x v="0"/>
  </r>
  <r>
    <x v="16"/>
    <x v="2"/>
    <x v="10"/>
    <n v="6069.93"/>
    <n v="80"/>
    <x v="161"/>
    <x v="0"/>
  </r>
  <r>
    <x v="16"/>
    <x v="2"/>
    <x v="18"/>
    <n v="966"/>
    <n v="107"/>
    <x v="231"/>
    <x v="0"/>
  </r>
  <r>
    <x v="16"/>
    <x v="2"/>
    <x v="18"/>
    <n v="975.67"/>
    <n v="105"/>
    <x v="232"/>
    <x v="0"/>
  </r>
  <r>
    <x v="16"/>
    <x v="2"/>
    <x v="18"/>
    <n v="1142.4100000000001"/>
    <n v="111"/>
    <x v="233"/>
    <x v="0"/>
  </r>
  <r>
    <x v="16"/>
    <x v="2"/>
    <x v="16"/>
    <n v="2870"/>
    <n v="120"/>
    <x v="261"/>
    <x v="0"/>
  </r>
  <r>
    <x v="16"/>
    <x v="2"/>
    <x v="16"/>
    <n v="3012.68"/>
    <n v="129"/>
    <x v="262"/>
    <x v="0"/>
  </r>
  <r>
    <x v="16"/>
    <x v="2"/>
    <x v="16"/>
    <n v="3105.45"/>
    <n v="116"/>
    <x v="263"/>
    <x v="0"/>
  </r>
  <r>
    <x v="16"/>
    <x v="2"/>
    <x v="14"/>
    <n v="9408"/>
    <n v="138"/>
    <x v="90"/>
    <x v="0"/>
  </r>
  <r>
    <x v="16"/>
    <x v="2"/>
    <x v="14"/>
    <n v="10587.71"/>
    <n v="134"/>
    <x v="91"/>
    <x v="0"/>
  </r>
  <r>
    <x v="16"/>
    <x v="2"/>
    <x v="14"/>
    <n v="11315.16"/>
    <n v="134"/>
    <x v="92"/>
    <x v="0"/>
  </r>
  <r>
    <x v="16"/>
    <x v="2"/>
    <x v="20"/>
    <n v="8183"/>
    <n v="254"/>
    <x v="288"/>
    <x v="0"/>
  </r>
  <r>
    <x v="16"/>
    <x v="2"/>
    <x v="20"/>
    <n v="8216.56"/>
    <n v="257"/>
    <x v="289"/>
    <x v="0"/>
  </r>
  <r>
    <x v="16"/>
    <x v="2"/>
    <x v="20"/>
    <n v="9118.67"/>
    <n v="253"/>
    <x v="290"/>
    <x v="0"/>
  </r>
  <r>
    <x v="16"/>
    <x v="2"/>
    <x v="12"/>
    <n v="2464"/>
    <n v="8"/>
    <x v="402"/>
    <x v="0"/>
  </r>
  <r>
    <x v="16"/>
    <x v="2"/>
    <x v="12"/>
    <n v="2525.98"/>
    <n v="8"/>
    <x v="403"/>
    <x v="0"/>
  </r>
  <r>
    <x v="16"/>
    <x v="2"/>
    <x v="12"/>
    <n v="2797.19"/>
    <n v="9"/>
    <x v="404"/>
    <x v="0"/>
  </r>
  <r>
    <x v="16"/>
    <x v="3"/>
    <x v="8"/>
    <n v="147"/>
    <n v="72"/>
    <x v="180"/>
    <x v="0"/>
  </r>
  <r>
    <x v="16"/>
    <x v="3"/>
    <x v="8"/>
    <n v="147.82"/>
    <n v="74"/>
    <x v="181"/>
    <x v="0"/>
  </r>
  <r>
    <x v="16"/>
    <x v="3"/>
    <x v="8"/>
    <n v="170.24"/>
    <n v="75"/>
    <x v="182"/>
    <x v="0"/>
  </r>
  <r>
    <x v="16"/>
    <x v="3"/>
    <x v="3"/>
    <n v="2912"/>
    <n v="110"/>
    <x v="153"/>
    <x v="0"/>
  </r>
  <r>
    <x v="16"/>
    <x v="3"/>
    <x v="3"/>
    <n v="2964.2"/>
    <n v="105"/>
    <x v="154"/>
    <x v="0"/>
  </r>
  <r>
    <x v="16"/>
    <x v="3"/>
    <x v="3"/>
    <n v="3389.96"/>
    <n v="115"/>
    <x v="155"/>
    <x v="0"/>
  </r>
  <r>
    <x v="16"/>
    <x v="3"/>
    <x v="4"/>
    <n v="15855"/>
    <n v="111"/>
    <x v="138"/>
    <x v="0"/>
  </r>
  <r>
    <x v="16"/>
    <x v="3"/>
    <x v="4"/>
    <n v="17584.16"/>
    <n v="110"/>
    <x v="139"/>
    <x v="0"/>
  </r>
  <r>
    <x v="16"/>
    <x v="3"/>
    <x v="4"/>
    <n v="18385.439999999999"/>
    <n v="116"/>
    <x v="140"/>
    <x v="0"/>
  </r>
  <r>
    <x v="16"/>
    <x v="3"/>
    <x v="5"/>
    <n v="1358"/>
    <n v="106"/>
    <x v="21"/>
    <x v="0"/>
  </r>
  <r>
    <x v="16"/>
    <x v="3"/>
    <x v="5"/>
    <n v="1445.14"/>
    <n v="108"/>
    <x v="22"/>
    <x v="0"/>
  </r>
  <r>
    <x v="16"/>
    <x v="3"/>
    <x v="5"/>
    <n v="1527.99"/>
    <n v="107"/>
    <x v="23"/>
    <x v="0"/>
  </r>
  <r>
    <x v="16"/>
    <x v="3"/>
    <x v="12"/>
    <n v="10633"/>
    <n v="277"/>
    <x v="264"/>
    <x v="0"/>
  </r>
  <r>
    <x v="16"/>
    <x v="3"/>
    <x v="12"/>
    <n v="12030.46"/>
    <n v="296"/>
    <x v="265"/>
    <x v="0"/>
  </r>
  <r>
    <x v="16"/>
    <x v="3"/>
    <x v="12"/>
    <n v="12265.45"/>
    <n v="268"/>
    <x v="266"/>
    <x v="0"/>
  </r>
  <r>
    <x v="16"/>
    <x v="3"/>
    <x v="15"/>
    <n v="658"/>
    <n v="65"/>
    <x v="30"/>
    <x v="0"/>
  </r>
  <r>
    <x v="16"/>
    <x v="3"/>
    <x v="15"/>
    <n v="731.19"/>
    <n v="69"/>
    <x v="31"/>
    <x v="0"/>
  </r>
  <r>
    <x v="16"/>
    <x v="3"/>
    <x v="15"/>
    <n v="695.32"/>
    <n v="68"/>
    <x v="32"/>
    <x v="0"/>
  </r>
  <r>
    <x v="16"/>
    <x v="3"/>
    <x v="13"/>
    <n v="7609"/>
    <n v="150"/>
    <x v="282"/>
    <x v="0"/>
  </r>
  <r>
    <x v="16"/>
    <x v="3"/>
    <x v="13"/>
    <n v="7899.31"/>
    <n v="148"/>
    <x v="283"/>
    <x v="0"/>
  </r>
  <r>
    <x v="16"/>
    <x v="3"/>
    <x v="13"/>
    <n v="8575.27"/>
    <n v="165"/>
    <x v="284"/>
    <x v="0"/>
  </r>
  <r>
    <x v="16"/>
    <x v="4"/>
    <x v="1"/>
    <n v="3997"/>
    <n v="228"/>
    <x v="153"/>
    <x v="0"/>
  </r>
  <r>
    <x v="16"/>
    <x v="4"/>
    <x v="1"/>
    <n v="4188.43"/>
    <n v="235"/>
    <x v="154"/>
    <x v="0"/>
  </r>
  <r>
    <x v="16"/>
    <x v="4"/>
    <x v="1"/>
    <n v="4811.88"/>
    <n v="242"/>
    <x v="155"/>
    <x v="0"/>
  </r>
  <r>
    <x v="16"/>
    <x v="4"/>
    <x v="17"/>
    <n v="3507"/>
    <n v="114"/>
    <x v="420"/>
    <x v="0"/>
  </r>
  <r>
    <x v="16"/>
    <x v="4"/>
    <x v="17"/>
    <n v="3927.83"/>
    <n v="123"/>
    <x v="421"/>
    <x v="0"/>
  </r>
  <r>
    <x v="16"/>
    <x v="4"/>
    <x v="17"/>
    <n v="3672.65"/>
    <n v="124"/>
    <x v="422"/>
    <x v="0"/>
  </r>
  <r>
    <x v="16"/>
    <x v="4"/>
    <x v="21"/>
    <n v="9506"/>
    <n v="212"/>
    <x v="156"/>
    <x v="0"/>
  </r>
  <r>
    <x v="16"/>
    <x v="4"/>
    <x v="21"/>
    <n v="10355.42"/>
    <n v="215"/>
    <x v="157"/>
    <x v="0"/>
  </r>
  <r>
    <x v="16"/>
    <x v="4"/>
    <x v="21"/>
    <n v="10920.7"/>
    <n v="210"/>
    <x v="158"/>
    <x v="0"/>
  </r>
  <r>
    <x v="16"/>
    <x v="4"/>
    <x v="4"/>
    <n v="1792"/>
    <n v="23"/>
    <x v="18"/>
    <x v="0"/>
  </r>
  <r>
    <x v="16"/>
    <x v="4"/>
    <x v="4"/>
    <n v="1858.71"/>
    <n v="24"/>
    <x v="19"/>
    <x v="0"/>
  </r>
  <r>
    <x v="16"/>
    <x v="4"/>
    <x v="4"/>
    <n v="1886.06"/>
    <n v="23"/>
    <x v="20"/>
    <x v="0"/>
  </r>
  <r>
    <x v="16"/>
    <x v="4"/>
    <x v="10"/>
    <n v="4606"/>
    <n v="57"/>
    <x v="177"/>
    <x v="0"/>
  </r>
  <r>
    <x v="16"/>
    <x v="4"/>
    <x v="10"/>
    <n v="5029.3500000000004"/>
    <n v="61"/>
    <x v="178"/>
    <x v="0"/>
  </r>
  <r>
    <x v="16"/>
    <x v="4"/>
    <x v="10"/>
    <n v="5054.5600000000004"/>
    <n v="60"/>
    <x v="179"/>
    <x v="0"/>
  </r>
  <r>
    <x v="16"/>
    <x v="4"/>
    <x v="19"/>
    <n v="13006"/>
    <n v="482"/>
    <x v="378"/>
    <x v="0"/>
  </r>
  <r>
    <x v="16"/>
    <x v="4"/>
    <x v="19"/>
    <n v="14592.11"/>
    <n v="509"/>
    <x v="379"/>
    <x v="0"/>
  </r>
  <r>
    <x v="16"/>
    <x v="4"/>
    <x v="19"/>
    <n v="15540.41"/>
    <n v="520"/>
    <x v="380"/>
    <x v="0"/>
  </r>
  <r>
    <x v="16"/>
    <x v="4"/>
    <x v="14"/>
    <n v="3640"/>
    <n v="3"/>
    <x v="309"/>
    <x v="0"/>
  </r>
  <r>
    <x v="16"/>
    <x v="4"/>
    <x v="14"/>
    <n v="3911.85"/>
    <n v="3"/>
    <x v="310"/>
    <x v="0"/>
  </r>
  <r>
    <x v="16"/>
    <x v="4"/>
    <x v="14"/>
    <n v="4010.08"/>
    <n v="3"/>
    <x v="311"/>
    <x v="0"/>
  </r>
  <r>
    <x v="16"/>
    <x v="4"/>
    <x v="12"/>
    <n v="5929"/>
    <n v="175"/>
    <x v="468"/>
    <x v="0"/>
  </r>
  <r>
    <x v="16"/>
    <x v="4"/>
    <x v="12"/>
    <n v="6787.72"/>
    <n v="192"/>
    <x v="469"/>
    <x v="0"/>
  </r>
  <r>
    <x v="16"/>
    <x v="4"/>
    <x v="12"/>
    <n v="6883.75"/>
    <n v="182"/>
    <x v="470"/>
    <x v="0"/>
  </r>
  <r>
    <x v="16"/>
    <x v="5"/>
    <x v="0"/>
    <n v="6188"/>
    <n v="223"/>
    <x v="408"/>
    <x v="0"/>
  </r>
  <r>
    <x v="16"/>
    <x v="5"/>
    <x v="0"/>
    <n v="6387.65"/>
    <n v="227"/>
    <x v="409"/>
    <x v="0"/>
  </r>
  <r>
    <x v="16"/>
    <x v="5"/>
    <x v="0"/>
    <n v="7203.64"/>
    <n v="234"/>
    <x v="410"/>
    <x v="0"/>
  </r>
  <r>
    <x v="16"/>
    <x v="5"/>
    <x v="17"/>
    <n v="7714"/>
    <n v="238"/>
    <x v="144"/>
    <x v="0"/>
  </r>
  <r>
    <x v="16"/>
    <x v="5"/>
    <x v="17"/>
    <n v="8250.66"/>
    <n v="258"/>
    <x v="145"/>
    <x v="0"/>
  </r>
  <r>
    <x v="16"/>
    <x v="5"/>
    <x v="17"/>
    <n v="8853.16"/>
    <n v="261"/>
    <x v="146"/>
    <x v="0"/>
  </r>
  <r>
    <x v="16"/>
    <x v="5"/>
    <x v="8"/>
    <n v="938"/>
    <n v="16"/>
    <x v="0"/>
    <x v="0"/>
  </r>
  <r>
    <x v="16"/>
    <x v="5"/>
    <x v="8"/>
    <n v="1021.27"/>
    <n v="17"/>
    <x v="1"/>
    <x v="0"/>
  </r>
  <r>
    <x v="16"/>
    <x v="5"/>
    <x v="8"/>
    <n v="1083.76"/>
    <n v="16"/>
    <x v="2"/>
    <x v="0"/>
  </r>
  <r>
    <x v="16"/>
    <x v="5"/>
    <x v="2"/>
    <n v="5180"/>
    <n v="233"/>
    <x v="312"/>
    <x v="0"/>
  </r>
  <r>
    <x v="16"/>
    <x v="5"/>
    <x v="2"/>
    <n v="5425.24"/>
    <n v="234"/>
    <x v="313"/>
    <x v="0"/>
  </r>
  <r>
    <x v="16"/>
    <x v="5"/>
    <x v="2"/>
    <n v="5930.01"/>
    <n v="252"/>
    <x v="314"/>
    <x v="0"/>
  </r>
  <r>
    <x v="16"/>
    <x v="5"/>
    <x v="4"/>
    <n v="6454"/>
    <n v="160"/>
    <x v="357"/>
    <x v="0"/>
  </r>
  <r>
    <x v="16"/>
    <x v="5"/>
    <x v="4"/>
    <n v="7013.61"/>
    <n v="170"/>
    <x v="358"/>
    <x v="0"/>
  </r>
  <r>
    <x v="16"/>
    <x v="5"/>
    <x v="4"/>
    <n v="7720.37"/>
    <n v="156"/>
    <x v="359"/>
    <x v="0"/>
  </r>
  <r>
    <x v="16"/>
    <x v="5"/>
    <x v="19"/>
    <n v="4816"/>
    <n v="145"/>
    <x v="258"/>
    <x v="0"/>
  </r>
  <r>
    <x v="16"/>
    <x v="5"/>
    <x v="19"/>
    <n v="5220.6899999999996"/>
    <n v="154"/>
    <x v="259"/>
    <x v="0"/>
  </r>
  <r>
    <x v="16"/>
    <x v="5"/>
    <x v="19"/>
    <n v="5301.93"/>
    <n v="155"/>
    <x v="260"/>
    <x v="0"/>
  </r>
  <r>
    <x v="16"/>
    <x v="5"/>
    <x v="5"/>
    <n v="17318"/>
    <n v="87"/>
    <x v="39"/>
    <x v="0"/>
  </r>
  <r>
    <x v="16"/>
    <x v="5"/>
    <x v="5"/>
    <n v="17297.66"/>
    <n v="96"/>
    <x v="40"/>
    <x v="0"/>
  </r>
  <r>
    <x v="16"/>
    <x v="5"/>
    <x v="5"/>
    <n v="19995.68"/>
    <n v="94"/>
    <x v="41"/>
    <x v="0"/>
  </r>
  <r>
    <x v="16"/>
    <x v="5"/>
    <x v="14"/>
    <n v="1379"/>
    <n v="138"/>
    <x v="129"/>
    <x v="0"/>
  </r>
  <r>
    <x v="16"/>
    <x v="5"/>
    <x v="14"/>
    <n v="1425.81"/>
    <n v="133"/>
    <x v="130"/>
    <x v="0"/>
  </r>
  <r>
    <x v="16"/>
    <x v="5"/>
    <x v="14"/>
    <n v="1539.14"/>
    <n v="143"/>
    <x v="131"/>
    <x v="0"/>
  </r>
  <r>
    <x v="16"/>
    <x v="5"/>
    <x v="11"/>
    <n v="9870"/>
    <n v="152"/>
    <x v="33"/>
    <x v="0"/>
  </r>
  <r>
    <x v="16"/>
    <x v="5"/>
    <x v="11"/>
    <n v="10630.08"/>
    <n v="155"/>
    <x v="34"/>
    <x v="0"/>
  </r>
  <r>
    <x v="16"/>
    <x v="5"/>
    <x v="11"/>
    <n v="10772.46"/>
    <n v="150"/>
    <x v="35"/>
    <x v="0"/>
  </r>
  <r>
    <x v="16"/>
    <x v="5"/>
    <x v="15"/>
    <n v="77"/>
    <n v="69"/>
    <x v="294"/>
    <x v="1"/>
  </r>
  <r>
    <x v="16"/>
    <x v="5"/>
    <x v="15"/>
    <n v="87.52"/>
    <n v="69"/>
    <x v="295"/>
    <x v="1"/>
  </r>
  <r>
    <x v="16"/>
    <x v="5"/>
    <x v="15"/>
    <n v="90.36"/>
    <n v="73"/>
    <x v="296"/>
    <x v="1"/>
  </r>
  <r>
    <x v="16"/>
    <x v="5"/>
    <x v="13"/>
    <n v="9422"/>
    <n v="22"/>
    <x v="414"/>
    <x v="0"/>
  </r>
  <r>
    <x v="16"/>
    <x v="5"/>
    <x v="13"/>
    <n v="10305.4"/>
    <n v="22"/>
    <x v="415"/>
    <x v="0"/>
  </r>
  <r>
    <x v="16"/>
    <x v="5"/>
    <x v="13"/>
    <n v="11257.11"/>
    <n v="21"/>
    <x v="416"/>
    <x v="0"/>
  </r>
  <r>
    <x v="17"/>
    <x v="0"/>
    <x v="0"/>
    <n v="7350"/>
    <n v="6"/>
    <x v="87"/>
    <x v="0"/>
  </r>
  <r>
    <x v="17"/>
    <x v="0"/>
    <x v="0"/>
    <n v="7473.14"/>
    <n v="6"/>
    <x v="88"/>
    <x v="0"/>
  </r>
  <r>
    <x v="17"/>
    <x v="0"/>
    <x v="0"/>
    <n v="8295.8799999999992"/>
    <n v="6"/>
    <x v="89"/>
    <x v="0"/>
  </r>
  <r>
    <x v="17"/>
    <x v="0"/>
    <x v="7"/>
    <n v="3710"/>
    <n v="260"/>
    <x v="231"/>
    <x v="0"/>
  </r>
  <r>
    <x v="17"/>
    <x v="0"/>
    <x v="7"/>
    <n v="3740.76"/>
    <n v="255"/>
    <x v="232"/>
    <x v="0"/>
  </r>
  <r>
    <x v="17"/>
    <x v="0"/>
    <x v="7"/>
    <n v="4196.2299999999996"/>
    <n v="256"/>
    <x v="233"/>
    <x v="0"/>
  </r>
  <r>
    <x v="17"/>
    <x v="0"/>
    <x v="1"/>
    <n v="1575"/>
    <n v="329"/>
    <x v="288"/>
    <x v="0"/>
  </r>
  <r>
    <x v="17"/>
    <x v="0"/>
    <x v="1"/>
    <n v="1758.62"/>
    <n v="329"/>
    <x v="289"/>
    <x v="0"/>
  </r>
  <r>
    <x v="17"/>
    <x v="0"/>
    <x v="1"/>
    <n v="1677.71"/>
    <n v="325"/>
    <x v="290"/>
    <x v="0"/>
  </r>
  <r>
    <x v="17"/>
    <x v="0"/>
    <x v="17"/>
    <n v="4326"/>
    <n v="154"/>
    <x v="309"/>
    <x v="0"/>
  </r>
  <r>
    <x v="17"/>
    <x v="0"/>
    <x v="17"/>
    <n v="4822.5"/>
    <n v="159"/>
    <x v="310"/>
    <x v="0"/>
  </r>
  <r>
    <x v="17"/>
    <x v="0"/>
    <x v="17"/>
    <n v="4911.08"/>
    <n v="163"/>
    <x v="311"/>
    <x v="0"/>
  </r>
  <r>
    <x v="17"/>
    <x v="0"/>
    <x v="21"/>
    <n v="2058"/>
    <n v="72"/>
    <x v="21"/>
    <x v="0"/>
  </r>
  <r>
    <x v="17"/>
    <x v="0"/>
    <x v="21"/>
    <n v="2106.9299999999998"/>
    <n v="69"/>
    <x v="22"/>
    <x v="0"/>
  </r>
  <r>
    <x v="17"/>
    <x v="0"/>
    <x v="21"/>
    <n v="2442.36"/>
    <n v="78"/>
    <x v="23"/>
    <x v="0"/>
  </r>
  <r>
    <x v="17"/>
    <x v="0"/>
    <x v="19"/>
    <n v="5579"/>
    <n v="92"/>
    <x v="456"/>
    <x v="0"/>
  </r>
  <r>
    <x v="17"/>
    <x v="0"/>
    <x v="19"/>
    <n v="5715.07"/>
    <n v="90"/>
    <x v="457"/>
    <x v="0"/>
  </r>
  <r>
    <x v="17"/>
    <x v="0"/>
    <x v="19"/>
    <n v="6105.6"/>
    <n v="90"/>
    <x v="458"/>
    <x v="0"/>
  </r>
  <r>
    <x v="17"/>
    <x v="0"/>
    <x v="16"/>
    <n v="2751"/>
    <n v="153"/>
    <x v="102"/>
    <x v="0"/>
  </r>
  <r>
    <x v="17"/>
    <x v="0"/>
    <x v="16"/>
    <n v="2766.65"/>
    <n v="148"/>
    <x v="103"/>
    <x v="0"/>
  </r>
  <r>
    <x v="17"/>
    <x v="0"/>
    <x v="16"/>
    <n v="3072.89"/>
    <n v="166"/>
    <x v="104"/>
    <x v="0"/>
  </r>
  <r>
    <x v="17"/>
    <x v="0"/>
    <x v="14"/>
    <n v="6713"/>
    <n v="398"/>
    <x v="231"/>
    <x v="0"/>
  </r>
  <r>
    <x v="17"/>
    <x v="0"/>
    <x v="14"/>
    <n v="7556.55"/>
    <n v="404"/>
    <x v="232"/>
    <x v="0"/>
  </r>
  <r>
    <x v="17"/>
    <x v="0"/>
    <x v="14"/>
    <n v="7166.62"/>
    <n v="381"/>
    <x v="233"/>
    <x v="0"/>
  </r>
  <r>
    <x v="17"/>
    <x v="0"/>
    <x v="11"/>
    <n v="10794"/>
    <n v="50"/>
    <x v="186"/>
    <x v="0"/>
  </r>
  <r>
    <x v="17"/>
    <x v="0"/>
    <x v="11"/>
    <n v="11542.54"/>
    <n v="49"/>
    <x v="187"/>
    <x v="0"/>
  </r>
  <r>
    <x v="17"/>
    <x v="0"/>
    <x v="11"/>
    <n v="12094.34"/>
    <n v="52"/>
    <x v="188"/>
    <x v="0"/>
  </r>
  <r>
    <x v="17"/>
    <x v="0"/>
    <x v="20"/>
    <n v="6321"/>
    <n v="88"/>
    <x v="381"/>
    <x v="0"/>
  </r>
  <r>
    <x v="17"/>
    <x v="0"/>
    <x v="20"/>
    <n v="7033.52"/>
    <n v="94"/>
    <x v="382"/>
    <x v="0"/>
  </r>
  <r>
    <x v="17"/>
    <x v="0"/>
    <x v="20"/>
    <n v="7023.94"/>
    <n v="89"/>
    <x v="383"/>
    <x v="0"/>
  </r>
  <r>
    <x v="17"/>
    <x v="0"/>
    <x v="15"/>
    <n v="7182"/>
    <n v="408"/>
    <x v="414"/>
    <x v="0"/>
  </r>
  <r>
    <x v="17"/>
    <x v="0"/>
    <x v="15"/>
    <n v="7616.38"/>
    <n v="392"/>
    <x v="415"/>
    <x v="0"/>
  </r>
  <r>
    <x v="17"/>
    <x v="0"/>
    <x v="15"/>
    <n v="8519.77"/>
    <n v="443"/>
    <x v="416"/>
    <x v="0"/>
  </r>
  <r>
    <x v="17"/>
    <x v="1"/>
    <x v="7"/>
    <n v="10927"/>
    <n v="141"/>
    <x v="480"/>
    <x v="0"/>
  </r>
  <r>
    <x v="17"/>
    <x v="1"/>
    <x v="7"/>
    <n v="12100.65"/>
    <n v="142"/>
    <x v="481"/>
    <x v="0"/>
  </r>
  <r>
    <x v="17"/>
    <x v="1"/>
    <x v="7"/>
    <n v="12634.72"/>
    <n v="145"/>
    <x v="482"/>
    <x v="0"/>
  </r>
  <r>
    <x v="17"/>
    <x v="1"/>
    <x v="1"/>
    <n v="7504"/>
    <n v="101"/>
    <x v="258"/>
    <x v="0"/>
  </r>
  <r>
    <x v="17"/>
    <x v="1"/>
    <x v="1"/>
    <n v="8373.42"/>
    <n v="108"/>
    <x v="259"/>
    <x v="0"/>
  </r>
  <r>
    <x v="17"/>
    <x v="1"/>
    <x v="1"/>
    <n v="8081.58"/>
    <n v="105"/>
    <x v="260"/>
    <x v="0"/>
  </r>
  <r>
    <x v="17"/>
    <x v="1"/>
    <x v="2"/>
    <n v="7602"/>
    <n v="102"/>
    <x v="183"/>
    <x v="0"/>
  </r>
  <r>
    <x v="17"/>
    <x v="1"/>
    <x v="2"/>
    <n v="8282.93"/>
    <n v="107"/>
    <x v="184"/>
    <x v="0"/>
  </r>
  <r>
    <x v="17"/>
    <x v="1"/>
    <x v="2"/>
    <n v="8192.6"/>
    <n v="100"/>
    <x v="185"/>
    <x v="0"/>
  </r>
  <r>
    <x v="17"/>
    <x v="1"/>
    <x v="21"/>
    <n v="3458"/>
    <n v="294"/>
    <x v="495"/>
    <x v="0"/>
  </r>
  <r>
    <x v="17"/>
    <x v="1"/>
    <x v="21"/>
    <n v="3451.24"/>
    <n v="283"/>
    <x v="496"/>
    <x v="0"/>
  </r>
  <r>
    <x v="17"/>
    <x v="1"/>
    <x v="21"/>
    <n v="3766.32"/>
    <n v="300"/>
    <x v="497"/>
    <x v="0"/>
  </r>
  <r>
    <x v="17"/>
    <x v="1"/>
    <x v="18"/>
    <n v="3612"/>
    <n v="82"/>
    <x v="168"/>
    <x v="0"/>
  </r>
  <r>
    <x v="17"/>
    <x v="1"/>
    <x v="18"/>
    <n v="3907.5"/>
    <n v="86"/>
    <x v="169"/>
    <x v="0"/>
  </r>
  <r>
    <x v="17"/>
    <x v="1"/>
    <x v="18"/>
    <n v="4285.13"/>
    <n v="87"/>
    <x v="170"/>
    <x v="0"/>
  </r>
  <r>
    <x v="17"/>
    <x v="1"/>
    <x v="6"/>
    <n v="14763"/>
    <n v="113"/>
    <x v="186"/>
    <x v="0"/>
  </r>
  <r>
    <x v="17"/>
    <x v="1"/>
    <x v="6"/>
    <n v="15276.46"/>
    <n v="121"/>
    <x v="187"/>
    <x v="0"/>
  </r>
  <r>
    <x v="17"/>
    <x v="1"/>
    <x v="6"/>
    <n v="17813.77"/>
    <n v="120"/>
    <x v="188"/>
    <x v="0"/>
  </r>
  <r>
    <x v="17"/>
    <x v="2"/>
    <x v="21"/>
    <n v="3500"/>
    <n v="145"/>
    <x v="96"/>
    <x v="0"/>
  </r>
  <r>
    <x v="17"/>
    <x v="2"/>
    <x v="21"/>
    <n v="3720.22"/>
    <n v="141"/>
    <x v="97"/>
    <x v="0"/>
  </r>
  <r>
    <x v="17"/>
    <x v="2"/>
    <x v="21"/>
    <n v="3764.59"/>
    <n v="158"/>
    <x v="98"/>
    <x v="0"/>
  </r>
  <r>
    <x v="17"/>
    <x v="2"/>
    <x v="16"/>
    <n v="3836"/>
    <n v="71"/>
    <x v="84"/>
    <x v="0"/>
  </r>
  <r>
    <x v="17"/>
    <x v="2"/>
    <x v="16"/>
    <n v="4090.16"/>
    <n v="75"/>
    <x v="85"/>
    <x v="0"/>
  </r>
  <r>
    <x v="17"/>
    <x v="2"/>
    <x v="16"/>
    <n v="4016.89"/>
    <n v="71"/>
    <x v="86"/>
    <x v="0"/>
  </r>
  <r>
    <x v="17"/>
    <x v="2"/>
    <x v="11"/>
    <n v="4781"/>
    <n v="38"/>
    <x v="207"/>
    <x v="0"/>
  </r>
  <r>
    <x v="17"/>
    <x v="2"/>
    <x v="11"/>
    <n v="5418.75"/>
    <n v="37"/>
    <x v="208"/>
    <x v="0"/>
  </r>
  <r>
    <x v="17"/>
    <x v="2"/>
    <x v="11"/>
    <n v="5401.01"/>
    <n v="41"/>
    <x v="209"/>
    <x v="0"/>
  </r>
  <r>
    <x v="17"/>
    <x v="2"/>
    <x v="20"/>
    <n v="4221"/>
    <n v="9"/>
    <x v="180"/>
    <x v="0"/>
  </r>
  <r>
    <x v="17"/>
    <x v="2"/>
    <x v="20"/>
    <n v="4409.21"/>
    <n v="10"/>
    <x v="181"/>
    <x v="0"/>
  </r>
  <r>
    <x v="17"/>
    <x v="2"/>
    <x v="20"/>
    <n v="4758.6899999999996"/>
    <n v="10"/>
    <x v="182"/>
    <x v="0"/>
  </r>
  <r>
    <x v="17"/>
    <x v="3"/>
    <x v="7"/>
    <n v="13356"/>
    <n v="93"/>
    <x v="297"/>
    <x v="0"/>
  </r>
  <r>
    <x v="17"/>
    <x v="3"/>
    <x v="7"/>
    <n v="13370.34"/>
    <n v="94"/>
    <x v="298"/>
    <x v="0"/>
  </r>
  <r>
    <x v="17"/>
    <x v="3"/>
    <x v="7"/>
    <n v="14193.58"/>
    <n v="102"/>
    <x v="299"/>
    <x v="0"/>
  </r>
  <r>
    <x v="17"/>
    <x v="3"/>
    <x v="9"/>
    <n v="3374"/>
    <n v="151"/>
    <x v="402"/>
    <x v="0"/>
  </r>
  <r>
    <x v="17"/>
    <x v="3"/>
    <x v="9"/>
    <n v="3782.83"/>
    <n v="150"/>
    <x v="403"/>
    <x v="0"/>
  </r>
  <r>
    <x v="17"/>
    <x v="3"/>
    <x v="9"/>
    <n v="4005.08"/>
    <n v="150"/>
    <x v="404"/>
    <x v="0"/>
  </r>
  <r>
    <x v="17"/>
    <x v="3"/>
    <x v="19"/>
    <n v="5677"/>
    <n v="21"/>
    <x v="60"/>
    <x v="0"/>
  </r>
  <r>
    <x v="17"/>
    <x v="3"/>
    <x v="19"/>
    <n v="5766.51"/>
    <n v="21"/>
    <x v="61"/>
    <x v="0"/>
  </r>
  <r>
    <x v="17"/>
    <x v="3"/>
    <x v="19"/>
    <n v="6764.17"/>
    <n v="20"/>
    <x v="62"/>
    <x v="0"/>
  </r>
  <r>
    <x v="17"/>
    <x v="3"/>
    <x v="18"/>
    <n v="12558"/>
    <n v="403"/>
    <x v="141"/>
    <x v="0"/>
  </r>
  <r>
    <x v="17"/>
    <x v="3"/>
    <x v="18"/>
    <n v="14002.42"/>
    <n v="388"/>
    <x v="142"/>
    <x v="0"/>
  </r>
  <r>
    <x v="17"/>
    <x v="3"/>
    <x v="18"/>
    <n v="13541.21"/>
    <n v="434"/>
    <x v="143"/>
    <x v="0"/>
  </r>
  <r>
    <x v="17"/>
    <x v="3"/>
    <x v="16"/>
    <n v="7413"/>
    <n v="4"/>
    <x v="264"/>
    <x v="0"/>
  </r>
  <r>
    <x v="17"/>
    <x v="3"/>
    <x v="16"/>
    <n v="8502.77"/>
    <n v="4"/>
    <x v="265"/>
    <x v="0"/>
  </r>
  <r>
    <x v="17"/>
    <x v="3"/>
    <x v="16"/>
    <n v="8888.61"/>
    <n v="4"/>
    <x v="266"/>
    <x v="0"/>
  </r>
  <r>
    <x v="17"/>
    <x v="3"/>
    <x v="6"/>
    <n v="5152"/>
    <n v="333"/>
    <x v="147"/>
    <x v="0"/>
  </r>
  <r>
    <x v="17"/>
    <x v="3"/>
    <x v="6"/>
    <n v="5360.89"/>
    <n v="340"/>
    <x v="148"/>
    <x v="0"/>
  </r>
  <r>
    <x v="17"/>
    <x v="3"/>
    <x v="6"/>
    <n v="6030.31"/>
    <n v="351"/>
    <x v="149"/>
    <x v="0"/>
  </r>
  <r>
    <x v="17"/>
    <x v="3"/>
    <x v="20"/>
    <n v="9226"/>
    <n v="415"/>
    <x v="279"/>
    <x v="0"/>
  </r>
  <r>
    <x v="17"/>
    <x v="3"/>
    <x v="20"/>
    <n v="9672.76"/>
    <n v="411"/>
    <x v="280"/>
    <x v="0"/>
  </r>
  <r>
    <x v="17"/>
    <x v="3"/>
    <x v="20"/>
    <n v="10858.21"/>
    <n v="451"/>
    <x v="281"/>
    <x v="0"/>
  </r>
  <r>
    <x v="17"/>
    <x v="3"/>
    <x v="13"/>
    <n v="10794"/>
    <n v="51"/>
    <x v="183"/>
    <x v="0"/>
  </r>
  <r>
    <x v="17"/>
    <x v="3"/>
    <x v="13"/>
    <n v="11510.71"/>
    <n v="56"/>
    <x v="184"/>
    <x v="0"/>
  </r>
  <r>
    <x v="17"/>
    <x v="3"/>
    <x v="13"/>
    <n v="11572.5"/>
    <n v="51"/>
    <x v="185"/>
    <x v="0"/>
  </r>
  <r>
    <x v="17"/>
    <x v="4"/>
    <x v="7"/>
    <n v="5397"/>
    <n v="239"/>
    <x v="39"/>
    <x v="0"/>
  </r>
  <r>
    <x v="17"/>
    <x v="4"/>
    <x v="7"/>
    <n v="5961.02"/>
    <n v="241"/>
    <x v="40"/>
    <x v="0"/>
  </r>
  <r>
    <x v="17"/>
    <x v="4"/>
    <x v="7"/>
    <n v="5931.82"/>
    <n v="243"/>
    <x v="41"/>
    <x v="0"/>
  </r>
  <r>
    <x v="17"/>
    <x v="4"/>
    <x v="17"/>
    <n v="10479"/>
    <n v="45"/>
    <x v="207"/>
    <x v="0"/>
  </r>
  <r>
    <x v="17"/>
    <x v="4"/>
    <x v="17"/>
    <n v="11796.63"/>
    <n v="45"/>
    <x v="208"/>
    <x v="0"/>
  </r>
  <r>
    <x v="17"/>
    <x v="4"/>
    <x v="17"/>
    <n v="11496.42"/>
    <n v="49"/>
    <x v="209"/>
    <x v="0"/>
  </r>
  <r>
    <x v="17"/>
    <x v="4"/>
    <x v="9"/>
    <n v="161"/>
    <n v="145"/>
    <x v="231"/>
    <x v="0"/>
  </r>
  <r>
    <x v="17"/>
    <x v="4"/>
    <x v="9"/>
    <n v="172.51"/>
    <n v="152"/>
    <x v="232"/>
    <x v="0"/>
  </r>
  <r>
    <x v="17"/>
    <x v="4"/>
    <x v="9"/>
    <n v="190.24"/>
    <n v="156"/>
    <x v="233"/>
    <x v="0"/>
  </r>
  <r>
    <x v="17"/>
    <x v="4"/>
    <x v="21"/>
    <n v="10164"/>
    <n v="134"/>
    <x v="156"/>
    <x v="0"/>
  </r>
  <r>
    <x v="17"/>
    <x v="4"/>
    <x v="21"/>
    <n v="10400.66"/>
    <n v="144"/>
    <x v="157"/>
    <x v="0"/>
  </r>
  <r>
    <x v="17"/>
    <x v="4"/>
    <x v="21"/>
    <n v="11786.42"/>
    <n v="147"/>
    <x v="158"/>
    <x v="0"/>
  </r>
  <r>
    <x v="17"/>
    <x v="4"/>
    <x v="19"/>
    <n v="8512"/>
    <n v="189"/>
    <x v="456"/>
    <x v="0"/>
  </r>
  <r>
    <x v="17"/>
    <x v="4"/>
    <x v="19"/>
    <n v="9538.2099999999991"/>
    <n v="198"/>
    <x v="457"/>
    <x v="0"/>
  </r>
  <r>
    <x v="17"/>
    <x v="4"/>
    <x v="19"/>
    <n v="9099.26"/>
    <n v="199"/>
    <x v="458"/>
    <x v="0"/>
  </r>
  <r>
    <x v="17"/>
    <x v="4"/>
    <x v="11"/>
    <n v="6965"/>
    <n v="163"/>
    <x v="33"/>
    <x v="0"/>
  </r>
  <r>
    <x v="17"/>
    <x v="4"/>
    <x v="11"/>
    <n v="7805.9"/>
    <n v="179"/>
    <x v="34"/>
    <x v="0"/>
  </r>
  <r>
    <x v="17"/>
    <x v="4"/>
    <x v="11"/>
    <n v="7943.17"/>
    <n v="174"/>
    <x v="35"/>
    <x v="0"/>
  </r>
  <r>
    <x v="17"/>
    <x v="4"/>
    <x v="6"/>
    <n v="7756"/>
    <n v="85"/>
    <x v="420"/>
    <x v="0"/>
  </r>
  <r>
    <x v="17"/>
    <x v="4"/>
    <x v="6"/>
    <n v="7916.13"/>
    <n v="84"/>
    <x v="421"/>
    <x v="0"/>
  </r>
  <r>
    <x v="17"/>
    <x v="4"/>
    <x v="6"/>
    <n v="8698.4699999999993"/>
    <n v="89"/>
    <x v="422"/>
    <x v="0"/>
  </r>
  <r>
    <x v="17"/>
    <x v="4"/>
    <x v="20"/>
    <n v="7357"/>
    <n v="341"/>
    <x v="330"/>
    <x v="0"/>
  </r>
  <r>
    <x v="17"/>
    <x v="4"/>
    <x v="20"/>
    <n v="7361.93"/>
    <n v="344"/>
    <x v="331"/>
    <x v="0"/>
  </r>
  <r>
    <x v="17"/>
    <x v="4"/>
    <x v="20"/>
    <n v="8442.19"/>
    <n v="347"/>
    <x v="332"/>
    <x v="0"/>
  </r>
  <r>
    <x v="17"/>
    <x v="4"/>
    <x v="12"/>
    <n v="14539"/>
    <n v="84"/>
    <x v="78"/>
    <x v="0"/>
  </r>
  <r>
    <x v="17"/>
    <x v="4"/>
    <x v="12"/>
    <n v="14769.97"/>
    <n v="87"/>
    <x v="79"/>
    <x v="0"/>
  </r>
  <r>
    <x v="17"/>
    <x v="4"/>
    <x v="12"/>
    <n v="16733.759999999998"/>
    <n v="88"/>
    <x v="80"/>
    <x v="0"/>
  </r>
  <r>
    <x v="17"/>
    <x v="5"/>
    <x v="8"/>
    <n v="4571"/>
    <n v="430"/>
    <x v="387"/>
    <x v="0"/>
  </r>
  <r>
    <x v="17"/>
    <x v="5"/>
    <x v="8"/>
    <n v="4676.32"/>
    <n v="440"/>
    <x v="388"/>
    <x v="0"/>
  </r>
  <r>
    <x v="17"/>
    <x v="5"/>
    <x v="8"/>
    <n v="5432.84"/>
    <n v="450"/>
    <x v="389"/>
    <x v="0"/>
  </r>
  <r>
    <x v="17"/>
    <x v="5"/>
    <x v="2"/>
    <n v="10143"/>
    <n v="24"/>
    <x v="492"/>
    <x v="0"/>
  </r>
  <r>
    <x v="17"/>
    <x v="5"/>
    <x v="2"/>
    <n v="11103.47"/>
    <n v="24"/>
    <x v="493"/>
    <x v="0"/>
  </r>
  <r>
    <x v="17"/>
    <x v="5"/>
    <x v="2"/>
    <n v="11863.69"/>
    <n v="24"/>
    <x v="494"/>
    <x v="0"/>
  </r>
  <r>
    <x v="17"/>
    <x v="5"/>
    <x v="3"/>
    <n v="5621"/>
    <n v="140"/>
    <x v="183"/>
    <x v="0"/>
  </r>
  <r>
    <x v="17"/>
    <x v="5"/>
    <x v="3"/>
    <n v="6067.19"/>
    <n v="151"/>
    <x v="184"/>
    <x v="0"/>
  </r>
  <r>
    <x v="17"/>
    <x v="5"/>
    <x v="3"/>
    <n v="6541.75"/>
    <n v="141"/>
    <x v="185"/>
    <x v="0"/>
  </r>
  <r>
    <x v="17"/>
    <x v="5"/>
    <x v="21"/>
    <n v="5446"/>
    <n v="132"/>
    <x v="90"/>
    <x v="0"/>
  </r>
  <r>
    <x v="17"/>
    <x v="5"/>
    <x v="21"/>
    <n v="6016.32"/>
    <n v="143"/>
    <x v="91"/>
    <x v="0"/>
  </r>
  <r>
    <x v="17"/>
    <x v="5"/>
    <x v="21"/>
    <n v="6025.6"/>
    <n v="137"/>
    <x v="92"/>
    <x v="0"/>
  </r>
  <r>
    <x v="17"/>
    <x v="5"/>
    <x v="10"/>
    <n v="8883"/>
    <n v="200"/>
    <x v="411"/>
    <x v="0"/>
  </r>
  <r>
    <x v="17"/>
    <x v="5"/>
    <x v="10"/>
    <n v="9108.33"/>
    <n v="213"/>
    <x v="412"/>
    <x v="0"/>
  </r>
  <r>
    <x v="17"/>
    <x v="5"/>
    <x v="10"/>
    <n v="9446.67"/>
    <n v="193"/>
    <x v="413"/>
    <x v="0"/>
  </r>
  <r>
    <x v="17"/>
    <x v="5"/>
    <x v="14"/>
    <n v="7742"/>
    <n v="138"/>
    <x v="54"/>
    <x v="0"/>
  </r>
  <r>
    <x v="17"/>
    <x v="5"/>
    <x v="14"/>
    <n v="8258.3700000000008"/>
    <n v="132"/>
    <x v="55"/>
    <x v="0"/>
  </r>
  <r>
    <x v="17"/>
    <x v="5"/>
    <x v="14"/>
    <n v="9205.15"/>
    <n v="144"/>
    <x v="56"/>
    <x v="0"/>
  </r>
  <r>
    <x v="17"/>
    <x v="5"/>
    <x v="13"/>
    <n v="12250"/>
    <n v="213"/>
    <x v="255"/>
    <x v="0"/>
  </r>
  <r>
    <x v="17"/>
    <x v="5"/>
    <x v="13"/>
    <n v="12571.07"/>
    <n v="226"/>
    <x v="256"/>
    <x v="0"/>
  </r>
  <r>
    <x v="17"/>
    <x v="5"/>
    <x v="13"/>
    <n v="14360.42"/>
    <n v="218"/>
    <x v="257"/>
    <x v="0"/>
  </r>
  <r>
    <x v="18"/>
    <x v="0"/>
    <x v="1"/>
    <n v="2541"/>
    <n v="53"/>
    <x v="330"/>
    <x v="0"/>
  </r>
  <r>
    <x v="18"/>
    <x v="0"/>
    <x v="1"/>
    <n v="2714.76"/>
    <n v="52"/>
    <x v="331"/>
    <x v="0"/>
  </r>
  <r>
    <x v="18"/>
    <x v="0"/>
    <x v="1"/>
    <n v="2665.28"/>
    <n v="54"/>
    <x v="332"/>
    <x v="0"/>
  </r>
  <r>
    <x v="18"/>
    <x v="0"/>
    <x v="2"/>
    <n v="7882"/>
    <n v="125"/>
    <x v="309"/>
    <x v="0"/>
  </r>
  <r>
    <x v="18"/>
    <x v="0"/>
    <x v="2"/>
    <n v="8522.7999999999993"/>
    <n v="137"/>
    <x v="310"/>
    <x v="0"/>
  </r>
  <r>
    <x v="18"/>
    <x v="0"/>
    <x v="2"/>
    <n v="8273.83"/>
    <n v="130"/>
    <x v="311"/>
    <x v="0"/>
  </r>
  <r>
    <x v="18"/>
    <x v="0"/>
    <x v="21"/>
    <n v="15750"/>
    <n v="92"/>
    <x v="411"/>
    <x v="0"/>
  </r>
  <r>
    <x v="18"/>
    <x v="0"/>
    <x v="21"/>
    <n v="16230.41"/>
    <n v="94"/>
    <x v="412"/>
    <x v="0"/>
  </r>
  <r>
    <x v="18"/>
    <x v="0"/>
    <x v="21"/>
    <n v="18473.63"/>
    <n v="88"/>
    <x v="413"/>
    <x v="0"/>
  </r>
  <r>
    <x v="18"/>
    <x v="0"/>
    <x v="10"/>
    <n v="9527"/>
    <n v="222"/>
    <x v="183"/>
    <x v="0"/>
  </r>
  <r>
    <x v="18"/>
    <x v="0"/>
    <x v="10"/>
    <n v="10856.55"/>
    <n v="229"/>
    <x v="184"/>
    <x v="0"/>
  </r>
  <r>
    <x v="18"/>
    <x v="0"/>
    <x v="10"/>
    <n v="11293.17"/>
    <n v="219"/>
    <x v="185"/>
    <x v="0"/>
  </r>
  <r>
    <x v="18"/>
    <x v="0"/>
    <x v="18"/>
    <n v="2779"/>
    <n v="104"/>
    <x v="114"/>
    <x v="0"/>
  </r>
  <r>
    <x v="18"/>
    <x v="0"/>
    <x v="18"/>
    <n v="2829.57"/>
    <n v="106"/>
    <x v="115"/>
    <x v="0"/>
  </r>
  <r>
    <x v="18"/>
    <x v="0"/>
    <x v="18"/>
    <n v="3112.2"/>
    <n v="107"/>
    <x v="116"/>
    <x v="0"/>
  </r>
  <r>
    <x v="18"/>
    <x v="0"/>
    <x v="14"/>
    <n v="14658"/>
    <n v="275"/>
    <x v="414"/>
    <x v="0"/>
  </r>
  <r>
    <x v="18"/>
    <x v="0"/>
    <x v="14"/>
    <n v="16112.73"/>
    <n v="282"/>
    <x v="415"/>
    <x v="0"/>
  </r>
  <r>
    <x v="18"/>
    <x v="0"/>
    <x v="14"/>
    <n v="15825.08"/>
    <n v="284"/>
    <x v="416"/>
    <x v="0"/>
  </r>
  <r>
    <x v="18"/>
    <x v="0"/>
    <x v="20"/>
    <n v="8400"/>
    <n v="27"/>
    <x v="6"/>
    <x v="0"/>
  </r>
  <r>
    <x v="18"/>
    <x v="0"/>
    <x v="20"/>
    <n v="9479.65"/>
    <n v="26"/>
    <x v="7"/>
    <x v="0"/>
  </r>
  <r>
    <x v="18"/>
    <x v="0"/>
    <x v="20"/>
    <n v="8818.17"/>
    <n v="29"/>
    <x v="8"/>
    <x v="0"/>
  </r>
  <r>
    <x v="18"/>
    <x v="0"/>
    <x v="12"/>
    <n v="4158"/>
    <n v="109"/>
    <x v="96"/>
    <x v="0"/>
  </r>
  <r>
    <x v="18"/>
    <x v="0"/>
    <x v="12"/>
    <n v="4454.71"/>
    <n v="117"/>
    <x v="97"/>
    <x v="0"/>
  </r>
  <r>
    <x v="18"/>
    <x v="0"/>
    <x v="12"/>
    <n v="4786.05"/>
    <n v="107"/>
    <x v="98"/>
    <x v="0"/>
  </r>
  <r>
    <x v="18"/>
    <x v="0"/>
    <x v="15"/>
    <n v="5439"/>
    <n v="287"/>
    <x v="378"/>
    <x v="0"/>
  </r>
  <r>
    <x v="18"/>
    <x v="0"/>
    <x v="15"/>
    <n v="6054.04"/>
    <n v="287"/>
    <x v="379"/>
    <x v="0"/>
  </r>
  <r>
    <x v="18"/>
    <x v="0"/>
    <x v="15"/>
    <n v="6476.09"/>
    <n v="304"/>
    <x v="380"/>
    <x v="0"/>
  </r>
  <r>
    <x v="18"/>
    <x v="1"/>
    <x v="1"/>
    <n v="1428"/>
    <n v="424"/>
    <x v="18"/>
    <x v="0"/>
  </r>
  <r>
    <x v="18"/>
    <x v="1"/>
    <x v="1"/>
    <n v="1639.01"/>
    <n v="430"/>
    <x v="19"/>
    <x v="0"/>
  </r>
  <r>
    <x v="18"/>
    <x v="1"/>
    <x v="1"/>
    <n v="1664.68"/>
    <n v="465"/>
    <x v="20"/>
    <x v="0"/>
  </r>
  <r>
    <x v="18"/>
    <x v="1"/>
    <x v="2"/>
    <n v="4214"/>
    <n v="35"/>
    <x v="99"/>
    <x v="0"/>
  </r>
  <r>
    <x v="18"/>
    <x v="1"/>
    <x v="2"/>
    <n v="4753.93"/>
    <n v="37"/>
    <x v="100"/>
    <x v="0"/>
  </r>
  <r>
    <x v="18"/>
    <x v="1"/>
    <x v="2"/>
    <n v="4871.07"/>
    <n v="33"/>
    <x v="101"/>
    <x v="0"/>
  </r>
  <r>
    <x v="18"/>
    <x v="1"/>
    <x v="9"/>
    <n v="4844"/>
    <n v="539"/>
    <x v="345"/>
    <x v="0"/>
  </r>
  <r>
    <x v="18"/>
    <x v="1"/>
    <x v="9"/>
    <n v="5194.28"/>
    <n v="547"/>
    <x v="346"/>
    <x v="0"/>
  </r>
  <r>
    <x v="18"/>
    <x v="1"/>
    <x v="9"/>
    <n v="5093.92"/>
    <n v="524"/>
    <x v="347"/>
    <x v="0"/>
  </r>
  <r>
    <x v="18"/>
    <x v="1"/>
    <x v="21"/>
    <n v="4781"/>
    <n v="241"/>
    <x v="306"/>
    <x v="0"/>
  </r>
  <r>
    <x v="18"/>
    <x v="1"/>
    <x v="21"/>
    <n v="5345.58"/>
    <n v="250"/>
    <x v="307"/>
    <x v="0"/>
  </r>
  <r>
    <x v="18"/>
    <x v="1"/>
    <x v="21"/>
    <n v="5706.43"/>
    <n v="247"/>
    <x v="308"/>
    <x v="0"/>
  </r>
  <r>
    <x v="18"/>
    <x v="1"/>
    <x v="10"/>
    <n v="1442"/>
    <n v="286"/>
    <x v="162"/>
    <x v="0"/>
  </r>
  <r>
    <x v="18"/>
    <x v="1"/>
    <x v="10"/>
    <n v="1652.61"/>
    <n v="277"/>
    <x v="163"/>
    <x v="0"/>
  </r>
  <r>
    <x v="18"/>
    <x v="1"/>
    <x v="10"/>
    <n v="1671.64"/>
    <n v="277"/>
    <x v="164"/>
    <x v="0"/>
  </r>
  <r>
    <x v="18"/>
    <x v="1"/>
    <x v="5"/>
    <n v="1435"/>
    <n v="112"/>
    <x v="414"/>
    <x v="0"/>
  </r>
  <r>
    <x v="18"/>
    <x v="1"/>
    <x v="5"/>
    <n v="1583.57"/>
    <n v="122"/>
    <x v="415"/>
    <x v="0"/>
  </r>
  <r>
    <x v="18"/>
    <x v="1"/>
    <x v="5"/>
    <n v="1540.11"/>
    <n v="117"/>
    <x v="416"/>
    <x v="0"/>
  </r>
  <r>
    <x v="18"/>
    <x v="1"/>
    <x v="14"/>
    <n v="3577"/>
    <n v="178"/>
    <x v="408"/>
    <x v="0"/>
  </r>
  <r>
    <x v="18"/>
    <x v="1"/>
    <x v="14"/>
    <n v="3820.94"/>
    <n v="179"/>
    <x v="409"/>
    <x v="0"/>
  </r>
  <r>
    <x v="18"/>
    <x v="1"/>
    <x v="14"/>
    <n v="4173.7299999999996"/>
    <n v="175"/>
    <x v="410"/>
    <x v="0"/>
  </r>
  <r>
    <x v="18"/>
    <x v="1"/>
    <x v="12"/>
    <n v="1939"/>
    <n v="98"/>
    <x v="348"/>
    <x v="0"/>
  </r>
  <r>
    <x v="18"/>
    <x v="1"/>
    <x v="12"/>
    <n v="2056.92"/>
    <n v="103"/>
    <x v="349"/>
    <x v="0"/>
  </r>
  <r>
    <x v="18"/>
    <x v="1"/>
    <x v="12"/>
    <n v="2202.46"/>
    <n v="97"/>
    <x v="350"/>
    <x v="0"/>
  </r>
  <r>
    <x v="18"/>
    <x v="1"/>
    <x v="13"/>
    <n v="3381"/>
    <n v="72"/>
    <x v="321"/>
    <x v="0"/>
  </r>
  <r>
    <x v="18"/>
    <x v="1"/>
    <x v="13"/>
    <n v="3398.51"/>
    <n v="74"/>
    <x v="322"/>
    <x v="0"/>
  </r>
  <r>
    <x v="18"/>
    <x v="1"/>
    <x v="13"/>
    <n v="3799.5"/>
    <n v="71"/>
    <x v="323"/>
    <x v="0"/>
  </r>
  <r>
    <x v="18"/>
    <x v="2"/>
    <x v="0"/>
    <n v="588"/>
    <n v="139"/>
    <x v="492"/>
    <x v="0"/>
  </r>
  <r>
    <x v="18"/>
    <x v="2"/>
    <x v="0"/>
    <n v="664.82"/>
    <n v="147"/>
    <x v="493"/>
    <x v="0"/>
  </r>
  <r>
    <x v="18"/>
    <x v="2"/>
    <x v="0"/>
    <n v="631.02"/>
    <n v="140"/>
    <x v="494"/>
    <x v="0"/>
  </r>
  <r>
    <x v="18"/>
    <x v="2"/>
    <x v="4"/>
    <n v="3948"/>
    <n v="142"/>
    <x v="414"/>
    <x v="0"/>
  </r>
  <r>
    <x v="18"/>
    <x v="2"/>
    <x v="4"/>
    <n v="4525.72"/>
    <n v="146"/>
    <x v="415"/>
    <x v="0"/>
  </r>
  <r>
    <x v="18"/>
    <x v="2"/>
    <x v="4"/>
    <n v="4650.58"/>
    <n v="143"/>
    <x v="416"/>
    <x v="0"/>
  </r>
  <r>
    <x v="18"/>
    <x v="2"/>
    <x v="10"/>
    <n v="10437"/>
    <n v="46"/>
    <x v="192"/>
    <x v="0"/>
  </r>
  <r>
    <x v="18"/>
    <x v="2"/>
    <x v="10"/>
    <n v="11032.79"/>
    <n v="49"/>
    <x v="193"/>
    <x v="0"/>
  </r>
  <r>
    <x v="18"/>
    <x v="2"/>
    <x v="10"/>
    <n v="11720.11"/>
    <n v="48"/>
    <x v="194"/>
    <x v="0"/>
  </r>
  <r>
    <x v="18"/>
    <x v="2"/>
    <x v="20"/>
    <n v="1400"/>
    <n v="2"/>
    <x v="66"/>
    <x v="0"/>
  </r>
  <r>
    <x v="18"/>
    <x v="2"/>
    <x v="20"/>
    <n v="1516.56"/>
    <n v="2"/>
    <x v="67"/>
    <x v="0"/>
  </r>
  <r>
    <x v="18"/>
    <x v="2"/>
    <x v="20"/>
    <n v="1676.82"/>
    <n v="2"/>
    <x v="68"/>
    <x v="0"/>
  </r>
  <r>
    <x v="18"/>
    <x v="2"/>
    <x v="13"/>
    <n v="819"/>
    <n v="213"/>
    <x v="357"/>
    <x v="0"/>
  </r>
  <r>
    <x v="18"/>
    <x v="2"/>
    <x v="13"/>
    <n v="872.83"/>
    <n v="224"/>
    <x v="358"/>
    <x v="0"/>
  </r>
  <r>
    <x v="18"/>
    <x v="2"/>
    <x v="13"/>
    <n v="969.15"/>
    <n v="233"/>
    <x v="359"/>
    <x v="0"/>
  </r>
  <r>
    <x v="18"/>
    <x v="3"/>
    <x v="1"/>
    <n v="7714"/>
    <n v="106"/>
    <x v="270"/>
    <x v="0"/>
  </r>
  <r>
    <x v="18"/>
    <x v="3"/>
    <x v="1"/>
    <n v="8167.18"/>
    <n v="102"/>
    <x v="271"/>
    <x v="0"/>
  </r>
  <r>
    <x v="18"/>
    <x v="3"/>
    <x v="1"/>
    <n v="8775.4500000000007"/>
    <n v="113"/>
    <x v="272"/>
    <x v="0"/>
  </r>
  <r>
    <x v="18"/>
    <x v="3"/>
    <x v="8"/>
    <n v="483"/>
    <n v="228"/>
    <x v="255"/>
    <x v="0"/>
  </r>
  <r>
    <x v="18"/>
    <x v="3"/>
    <x v="8"/>
    <n v="501.79"/>
    <n v="241"/>
    <x v="256"/>
    <x v="0"/>
  </r>
  <r>
    <x v="18"/>
    <x v="3"/>
    <x v="8"/>
    <n v="567.91"/>
    <n v="225"/>
    <x v="257"/>
    <x v="0"/>
  </r>
  <r>
    <x v="18"/>
    <x v="3"/>
    <x v="5"/>
    <n v="9436"/>
    <n v="11"/>
    <x v="282"/>
    <x v="0"/>
  </r>
  <r>
    <x v="18"/>
    <x v="3"/>
    <x v="5"/>
    <n v="10229.99"/>
    <n v="12"/>
    <x v="283"/>
    <x v="0"/>
  </r>
  <r>
    <x v="18"/>
    <x v="3"/>
    <x v="5"/>
    <n v="10927.22"/>
    <n v="11"/>
    <x v="284"/>
    <x v="0"/>
  </r>
  <r>
    <x v="18"/>
    <x v="3"/>
    <x v="16"/>
    <n v="1316"/>
    <n v="107"/>
    <x v="48"/>
    <x v="0"/>
  </r>
  <r>
    <x v="18"/>
    <x v="3"/>
    <x v="16"/>
    <n v="1461.99"/>
    <n v="109"/>
    <x v="49"/>
    <x v="0"/>
  </r>
  <r>
    <x v="18"/>
    <x v="3"/>
    <x v="16"/>
    <n v="1386.1"/>
    <n v="104"/>
    <x v="50"/>
    <x v="0"/>
  </r>
  <r>
    <x v="18"/>
    <x v="3"/>
    <x v="14"/>
    <n v="6510"/>
    <n v="23"/>
    <x v="402"/>
    <x v="0"/>
  </r>
  <r>
    <x v="18"/>
    <x v="3"/>
    <x v="14"/>
    <n v="6811.37"/>
    <n v="25"/>
    <x v="403"/>
    <x v="0"/>
  </r>
  <r>
    <x v="18"/>
    <x v="3"/>
    <x v="14"/>
    <n v="7459.88"/>
    <n v="23"/>
    <x v="404"/>
    <x v="0"/>
  </r>
  <r>
    <x v="18"/>
    <x v="3"/>
    <x v="11"/>
    <n v="5075"/>
    <n v="256"/>
    <x v="450"/>
    <x v="0"/>
  </r>
  <r>
    <x v="18"/>
    <x v="3"/>
    <x v="11"/>
    <n v="5098.29"/>
    <n v="276"/>
    <x v="451"/>
    <x v="0"/>
  </r>
  <r>
    <x v="18"/>
    <x v="3"/>
    <x v="11"/>
    <n v="5318"/>
    <n v="281"/>
    <x v="452"/>
    <x v="0"/>
  </r>
  <r>
    <x v="18"/>
    <x v="3"/>
    <x v="13"/>
    <n v="3171"/>
    <n v="246"/>
    <x v="291"/>
    <x v="0"/>
  </r>
  <r>
    <x v="18"/>
    <x v="3"/>
    <x v="13"/>
    <n v="3364.28"/>
    <n v="265"/>
    <x v="292"/>
    <x v="0"/>
  </r>
  <r>
    <x v="18"/>
    <x v="3"/>
    <x v="13"/>
    <n v="3356.27"/>
    <n v="238"/>
    <x v="293"/>
    <x v="0"/>
  </r>
  <r>
    <x v="18"/>
    <x v="4"/>
    <x v="0"/>
    <n v="5502"/>
    <n v="99"/>
    <x v="174"/>
    <x v="0"/>
  </r>
  <r>
    <x v="18"/>
    <x v="4"/>
    <x v="0"/>
    <n v="6160.89"/>
    <n v="95"/>
    <x v="175"/>
    <x v="0"/>
  </r>
  <r>
    <x v="18"/>
    <x v="4"/>
    <x v="0"/>
    <n v="6654.14"/>
    <n v="102"/>
    <x v="176"/>
    <x v="0"/>
  </r>
  <r>
    <x v="18"/>
    <x v="4"/>
    <x v="4"/>
    <n v="3423"/>
    <n v="100"/>
    <x v="120"/>
    <x v="0"/>
  </r>
  <r>
    <x v="18"/>
    <x v="4"/>
    <x v="4"/>
    <n v="3666.04"/>
    <n v="107"/>
    <x v="121"/>
    <x v="0"/>
  </r>
  <r>
    <x v="18"/>
    <x v="4"/>
    <x v="4"/>
    <n v="3780.02"/>
    <n v="97"/>
    <x v="122"/>
    <x v="0"/>
  </r>
  <r>
    <x v="18"/>
    <x v="4"/>
    <x v="5"/>
    <n v="8379"/>
    <n v="43"/>
    <x v="300"/>
    <x v="0"/>
  </r>
  <r>
    <x v="18"/>
    <x v="4"/>
    <x v="5"/>
    <n v="8519.3700000000008"/>
    <n v="45"/>
    <x v="301"/>
    <x v="0"/>
  </r>
  <r>
    <x v="18"/>
    <x v="4"/>
    <x v="5"/>
    <n v="9852.89"/>
    <n v="43"/>
    <x v="302"/>
    <x v="0"/>
  </r>
  <r>
    <x v="18"/>
    <x v="4"/>
    <x v="18"/>
    <n v="3563"/>
    <n v="284"/>
    <x v="315"/>
    <x v="0"/>
  </r>
  <r>
    <x v="18"/>
    <x v="4"/>
    <x v="18"/>
    <n v="3737.68"/>
    <n v="282"/>
    <x v="316"/>
    <x v="0"/>
  </r>
  <r>
    <x v="18"/>
    <x v="4"/>
    <x v="18"/>
    <n v="3951.74"/>
    <n v="287"/>
    <x v="317"/>
    <x v="0"/>
  </r>
  <r>
    <x v="18"/>
    <x v="4"/>
    <x v="16"/>
    <n v="6384"/>
    <n v="2"/>
    <x v="378"/>
    <x v="0"/>
  </r>
  <r>
    <x v="18"/>
    <x v="4"/>
    <x v="16"/>
    <n v="6540.3"/>
    <n v="2"/>
    <x v="379"/>
    <x v="0"/>
  </r>
  <r>
    <x v="18"/>
    <x v="4"/>
    <x v="16"/>
    <n v="6767.42"/>
    <n v="2"/>
    <x v="380"/>
    <x v="0"/>
  </r>
  <r>
    <x v="18"/>
    <x v="5"/>
    <x v="0"/>
    <n v="1736"/>
    <n v="13"/>
    <x v="159"/>
    <x v="0"/>
  </r>
  <r>
    <x v="18"/>
    <x v="5"/>
    <x v="0"/>
    <n v="1960.1"/>
    <n v="14"/>
    <x v="160"/>
    <x v="0"/>
  </r>
  <r>
    <x v="18"/>
    <x v="5"/>
    <x v="0"/>
    <n v="1945.05"/>
    <n v="14"/>
    <x v="161"/>
    <x v="0"/>
  </r>
  <r>
    <x v="18"/>
    <x v="5"/>
    <x v="1"/>
    <n v="2632"/>
    <n v="108"/>
    <x v="24"/>
    <x v="0"/>
  </r>
  <r>
    <x v="18"/>
    <x v="5"/>
    <x v="1"/>
    <n v="2700.61"/>
    <n v="112"/>
    <x v="25"/>
    <x v="0"/>
  </r>
  <r>
    <x v="18"/>
    <x v="5"/>
    <x v="1"/>
    <n v="2847.18"/>
    <n v="115"/>
    <x v="26"/>
    <x v="0"/>
  </r>
  <r>
    <x v="18"/>
    <x v="5"/>
    <x v="2"/>
    <n v="6986"/>
    <n v="368"/>
    <x v="147"/>
    <x v="0"/>
  </r>
  <r>
    <x v="18"/>
    <x v="5"/>
    <x v="2"/>
    <n v="7613.37"/>
    <n v="370"/>
    <x v="148"/>
    <x v="0"/>
  </r>
  <r>
    <x v="18"/>
    <x v="5"/>
    <x v="2"/>
    <n v="7400.07"/>
    <n v="383"/>
    <x v="149"/>
    <x v="0"/>
  </r>
  <r>
    <x v="18"/>
    <x v="5"/>
    <x v="10"/>
    <n v="6328"/>
    <n v="51"/>
    <x v="459"/>
    <x v="0"/>
  </r>
  <r>
    <x v="18"/>
    <x v="5"/>
    <x v="10"/>
    <n v="7219.96"/>
    <n v="53"/>
    <x v="460"/>
    <x v="0"/>
  </r>
  <r>
    <x v="18"/>
    <x v="5"/>
    <x v="10"/>
    <n v="7511.77"/>
    <n v="49"/>
    <x v="461"/>
    <x v="0"/>
  </r>
  <r>
    <x v="18"/>
    <x v="5"/>
    <x v="5"/>
    <n v="5425"/>
    <n v="96"/>
    <x v="123"/>
    <x v="0"/>
  </r>
  <r>
    <x v="18"/>
    <x v="5"/>
    <x v="5"/>
    <n v="6136.99"/>
    <n v="94"/>
    <x v="124"/>
    <x v="0"/>
  </r>
  <r>
    <x v="18"/>
    <x v="5"/>
    <x v="5"/>
    <n v="5910.67"/>
    <n v="100"/>
    <x v="125"/>
    <x v="0"/>
  </r>
  <r>
    <x v="18"/>
    <x v="5"/>
    <x v="6"/>
    <n v="1162"/>
    <n v="18"/>
    <x v="93"/>
    <x v="0"/>
  </r>
  <r>
    <x v="18"/>
    <x v="5"/>
    <x v="6"/>
    <n v="1337.36"/>
    <n v="18"/>
    <x v="94"/>
    <x v="0"/>
  </r>
  <r>
    <x v="18"/>
    <x v="5"/>
    <x v="6"/>
    <n v="1263.98"/>
    <n v="19"/>
    <x v="95"/>
    <x v="0"/>
  </r>
  <r>
    <x v="19"/>
    <x v="0"/>
    <x v="3"/>
    <n v="5810"/>
    <n v="101"/>
    <x v="162"/>
    <x v="0"/>
  </r>
  <r>
    <x v="19"/>
    <x v="0"/>
    <x v="3"/>
    <n v="5891.94"/>
    <n v="109"/>
    <x v="163"/>
    <x v="0"/>
  </r>
  <r>
    <x v="19"/>
    <x v="0"/>
    <x v="3"/>
    <n v="6224.33"/>
    <n v="100"/>
    <x v="164"/>
    <x v="0"/>
  </r>
  <r>
    <x v="19"/>
    <x v="0"/>
    <x v="21"/>
    <n v="11298"/>
    <n v="41"/>
    <x v="267"/>
    <x v="0"/>
  </r>
  <r>
    <x v="19"/>
    <x v="0"/>
    <x v="21"/>
    <n v="12624.64"/>
    <n v="41"/>
    <x v="268"/>
    <x v="0"/>
  </r>
  <r>
    <x v="19"/>
    <x v="0"/>
    <x v="21"/>
    <n v="11987.26"/>
    <n v="41"/>
    <x v="269"/>
    <x v="0"/>
  </r>
  <r>
    <x v="19"/>
    <x v="0"/>
    <x v="5"/>
    <n v="13076"/>
    <n v="236"/>
    <x v="69"/>
    <x v="0"/>
  </r>
  <r>
    <x v="19"/>
    <x v="0"/>
    <x v="5"/>
    <n v="14939.24"/>
    <n v="238"/>
    <x v="70"/>
    <x v="0"/>
  </r>
  <r>
    <x v="19"/>
    <x v="0"/>
    <x v="5"/>
    <n v="15245.95"/>
    <n v="233"/>
    <x v="71"/>
    <x v="0"/>
  </r>
  <r>
    <x v="19"/>
    <x v="0"/>
    <x v="18"/>
    <n v="2464"/>
    <n v="387"/>
    <x v="261"/>
    <x v="0"/>
  </r>
  <r>
    <x v="19"/>
    <x v="0"/>
    <x v="18"/>
    <n v="2673.47"/>
    <n v="375"/>
    <x v="262"/>
    <x v="0"/>
  </r>
  <r>
    <x v="19"/>
    <x v="0"/>
    <x v="18"/>
    <n v="2715.92"/>
    <n v="423"/>
    <x v="263"/>
    <x v="0"/>
  </r>
  <r>
    <x v="19"/>
    <x v="0"/>
    <x v="11"/>
    <n v="273"/>
    <n v="174"/>
    <x v="54"/>
    <x v="0"/>
  </r>
  <r>
    <x v="19"/>
    <x v="0"/>
    <x v="11"/>
    <n v="305.79000000000002"/>
    <n v="189"/>
    <x v="55"/>
    <x v="0"/>
  </r>
  <r>
    <x v="19"/>
    <x v="0"/>
    <x v="11"/>
    <n v="295.62"/>
    <n v="182"/>
    <x v="56"/>
    <x v="0"/>
  </r>
  <r>
    <x v="19"/>
    <x v="0"/>
    <x v="12"/>
    <n v="3745"/>
    <n v="170"/>
    <x v="27"/>
    <x v="0"/>
  </r>
  <r>
    <x v="19"/>
    <x v="0"/>
    <x v="12"/>
    <n v="3967.85"/>
    <n v="163"/>
    <x v="28"/>
    <x v="0"/>
  </r>
  <r>
    <x v="19"/>
    <x v="0"/>
    <x v="12"/>
    <n v="4059.92"/>
    <n v="179"/>
    <x v="29"/>
    <x v="0"/>
  </r>
  <r>
    <x v="19"/>
    <x v="0"/>
    <x v="15"/>
    <n v="13125"/>
    <n v="275"/>
    <x v="153"/>
    <x v="0"/>
  </r>
  <r>
    <x v="19"/>
    <x v="0"/>
    <x v="15"/>
    <n v="14193.67"/>
    <n v="302"/>
    <x v="154"/>
    <x v="0"/>
  </r>
  <r>
    <x v="19"/>
    <x v="0"/>
    <x v="15"/>
    <n v="14687.62"/>
    <n v="293"/>
    <x v="155"/>
    <x v="0"/>
  </r>
  <r>
    <x v="19"/>
    <x v="1"/>
    <x v="9"/>
    <n v="1372"/>
    <n v="614"/>
    <x v="63"/>
    <x v="0"/>
  </r>
  <r>
    <x v="19"/>
    <x v="1"/>
    <x v="9"/>
    <n v="1510.58"/>
    <n v="602"/>
    <x v="64"/>
    <x v="0"/>
  </r>
  <r>
    <x v="19"/>
    <x v="1"/>
    <x v="9"/>
    <n v="1543.77"/>
    <n v="674"/>
    <x v="65"/>
    <x v="0"/>
  </r>
  <r>
    <x v="19"/>
    <x v="1"/>
    <x v="21"/>
    <n v="2639"/>
    <n v="406"/>
    <x v="183"/>
    <x v="0"/>
  </r>
  <r>
    <x v="19"/>
    <x v="1"/>
    <x v="21"/>
    <n v="2790.72"/>
    <n v="435"/>
    <x v="184"/>
    <x v="0"/>
  </r>
  <r>
    <x v="19"/>
    <x v="1"/>
    <x v="21"/>
    <n v="2937.62"/>
    <n v="389"/>
    <x v="185"/>
    <x v="0"/>
  </r>
  <r>
    <x v="19"/>
    <x v="1"/>
    <x v="18"/>
    <n v="2436"/>
    <n v="309"/>
    <x v="465"/>
    <x v="0"/>
  </r>
  <r>
    <x v="19"/>
    <x v="1"/>
    <x v="18"/>
    <n v="2618.15"/>
    <n v="312"/>
    <x v="466"/>
    <x v="0"/>
  </r>
  <r>
    <x v="19"/>
    <x v="1"/>
    <x v="18"/>
    <n v="2672.67"/>
    <n v="317"/>
    <x v="467"/>
    <x v="0"/>
  </r>
  <r>
    <x v="19"/>
    <x v="1"/>
    <x v="14"/>
    <n v="2723"/>
    <n v="425"/>
    <x v="444"/>
    <x v="0"/>
  </r>
  <r>
    <x v="19"/>
    <x v="1"/>
    <x v="14"/>
    <n v="2896.97"/>
    <n v="456"/>
    <x v="445"/>
    <x v="0"/>
  </r>
  <r>
    <x v="19"/>
    <x v="1"/>
    <x v="14"/>
    <n v="3040.05"/>
    <n v="426"/>
    <x v="446"/>
    <x v="0"/>
  </r>
  <r>
    <x v="19"/>
    <x v="1"/>
    <x v="6"/>
    <n v="6594"/>
    <n v="91"/>
    <x v="366"/>
    <x v="0"/>
  </r>
  <r>
    <x v="19"/>
    <x v="1"/>
    <x v="6"/>
    <n v="7504.86"/>
    <n v="97"/>
    <x v="367"/>
    <x v="0"/>
  </r>
  <r>
    <x v="19"/>
    <x v="1"/>
    <x v="6"/>
    <n v="7032.54"/>
    <n v="87"/>
    <x v="368"/>
    <x v="0"/>
  </r>
  <r>
    <x v="19"/>
    <x v="1"/>
    <x v="15"/>
    <n v="3528"/>
    <n v="336"/>
    <x v="27"/>
    <x v="0"/>
  </r>
  <r>
    <x v="19"/>
    <x v="1"/>
    <x v="15"/>
    <n v="3563.09"/>
    <n v="344"/>
    <x v="28"/>
    <x v="0"/>
  </r>
  <r>
    <x v="19"/>
    <x v="1"/>
    <x v="15"/>
    <n v="3939.95"/>
    <n v="365"/>
    <x v="29"/>
    <x v="0"/>
  </r>
  <r>
    <x v="19"/>
    <x v="2"/>
    <x v="1"/>
    <n v="2205"/>
    <n v="179"/>
    <x v="126"/>
    <x v="0"/>
  </r>
  <r>
    <x v="19"/>
    <x v="2"/>
    <x v="1"/>
    <n v="2439.06"/>
    <n v="175"/>
    <x v="127"/>
    <x v="0"/>
  </r>
  <r>
    <x v="19"/>
    <x v="2"/>
    <x v="1"/>
    <n v="2553.41"/>
    <n v="183"/>
    <x v="128"/>
    <x v="0"/>
  </r>
  <r>
    <x v="19"/>
    <x v="2"/>
    <x v="17"/>
    <n v="10766"/>
    <n v="157"/>
    <x v="447"/>
    <x v="0"/>
  </r>
  <r>
    <x v="19"/>
    <x v="2"/>
    <x v="17"/>
    <n v="11252.11"/>
    <n v="159"/>
    <x v="448"/>
    <x v="0"/>
  </r>
  <r>
    <x v="19"/>
    <x v="2"/>
    <x v="17"/>
    <n v="12398.37"/>
    <n v="161"/>
    <x v="449"/>
    <x v="0"/>
  </r>
  <r>
    <x v="19"/>
    <x v="2"/>
    <x v="8"/>
    <n v="2639"/>
    <n v="179"/>
    <x v="306"/>
    <x v="0"/>
  </r>
  <r>
    <x v="19"/>
    <x v="2"/>
    <x v="8"/>
    <n v="2800.67"/>
    <n v="190"/>
    <x v="307"/>
    <x v="0"/>
  </r>
  <r>
    <x v="19"/>
    <x v="2"/>
    <x v="8"/>
    <n v="2816.85"/>
    <n v="188"/>
    <x v="308"/>
    <x v="0"/>
  </r>
  <r>
    <x v="19"/>
    <x v="2"/>
    <x v="9"/>
    <n v="4361"/>
    <n v="81"/>
    <x v="360"/>
    <x v="0"/>
  </r>
  <r>
    <x v="19"/>
    <x v="2"/>
    <x v="9"/>
    <n v="4997.82"/>
    <n v="83"/>
    <x v="361"/>
    <x v="0"/>
  </r>
  <r>
    <x v="19"/>
    <x v="2"/>
    <x v="9"/>
    <n v="5077.5"/>
    <n v="81"/>
    <x v="362"/>
    <x v="0"/>
  </r>
  <r>
    <x v="19"/>
    <x v="2"/>
    <x v="10"/>
    <n v="3472"/>
    <n v="96"/>
    <x v="162"/>
    <x v="0"/>
  </r>
  <r>
    <x v="19"/>
    <x v="2"/>
    <x v="10"/>
    <n v="3883.32"/>
    <n v="94"/>
    <x v="163"/>
    <x v="0"/>
  </r>
  <r>
    <x v="19"/>
    <x v="2"/>
    <x v="10"/>
    <n v="4067.36"/>
    <n v="94"/>
    <x v="164"/>
    <x v="0"/>
  </r>
  <r>
    <x v="19"/>
    <x v="2"/>
    <x v="19"/>
    <n v="4753"/>
    <n v="151"/>
    <x v="282"/>
    <x v="0"/>
  </r>
  <r>
    <x v="19"/>
    <x v="2"/>
    <x v="19"/>
    <n v="5312.5"/>
    <n v="160"/>
    <x v="283"/>
    <x v="0"/>
  </r>
  <r>
    <x v="19"/>
    <x v="2"/>
    <x v="19"/>
    <n v="5385.55"/>
    <n v="161"/>
    <x v="284"/>
    <x v="0"/>
  </r>
  <r>
    <x v="19"/>
    <x v="2"/>
    <x v="6"/>
    <n v="6489"/>
    <n v="146"/>
    <x v="315"/>
    <x v="0"/>
  </r>
  <r>
    <x v="19"/>
    <x v="2"/>
    <x v="6"/>
    <n v="6761.28"/>
    <n v="145"/>
    <x v="316"/>
    <x v="0"/>
  </r>
  <r>
    <x v="19"/>
    <x v="2"/>
    <x v="6"/>
    <n v="7803.84"/>
    <n v="157"/>
    <x v="317"/>
    <x v="0"/>
  </r>
  <r>
    <x v="19"/>
    <x v="3"/>
    <x v="7"/>
    <n v="8603"/>
    <n v="352"/>
    <x v="45"/>
    <x v="0"/>
  </r>
  <r>
    <x v="19"/>
    <x v="3"/>
    <x v="7"/>
    <n v="8973.0499999999993"/>
    <n v="360"/>
    <x v="46"/>
    <x v="0"/>
  </r>
  <r>
    <x v="19"/>
    <x v="3"/>
    <x v="7"/>
    <n v="9036.58"/>
    <n v="377"/>
    <x v="47"/>
    <x v="0"/>
  </r>
  <r>
    <x v="19"/>
    <x v="3"/>
    <x v="1"/>
    <n v="1218"/>
    <n v="149"/>
    <x v="57"/>
    <x v="0"/>
  </r>
  <r>
    <x v="19"/>
    <x v="3"/>
    <x v="1"/>
    <n v="1368.27"/>
    <n v="163"/>
    <x v="58"/>
    <x v="0"/>
  </r>
  <r>
    <x v="19"/>
    <x v="3"/>
    <x v="1"/>
    <n v="1312.23"/>
    <n v="164"/>
    <x v="59"/>
    <x v="0"/>
  </r>
  <r>
    <x v="19"/>
    <x v="3"/>
    <x v="8"/>
    <n v="1561"/>
    <n v="44"/>
    <x v="429"/>
    <x v="0"/>
  </r>
  <r>
    <x v="19"/>
    <x v="3"/>
    <x v="8"/>
    <n v="1558.87"/>
    <n v="46"/>
    <x v="430"/>
    <x v="0"/>
  </r>
  <r>
    <x v="19"/>
    <x v="3"/>
    <x v="8"/>
    <n v="1642.32"/>
    <n v="43"/>
    <x v="431"/>
    <x v="0"/>
  </r>
  <r>
    <x v="19"/>
    <x v="3"/>
    <x v="10"/>
    <n v="4914"/>
    <n v="31"/>
    <x v="60"/>
    <x v="0"/>
  </r>
  <r>
    <x v="19"/>
    <x v="3"/>
    <x v="10"/>
    <n v="5254.38"/>
    <n v="31"/>
    <x v="61"/>
    <x v="0"/>
  </r>
  <r>
    <x v="19"/>
    <x v="3"/>
    <x v="10"/>
    <n v="5902.91"/>
    <n v="31"/>
    <x v="62"/>
    <x v="0"/>
  </r>
  <r>
    <x v="19"/>
    <x v="3"/>
    <x v="19"/>
    <n v="8939"/>
    <n v="4"/>
    <x v="135"/>
    <x v="0"/>
  </r>
  <r>
    <x v="19"/>
    <x v="3"/>
    <x v="19"/>
    <n v="10100.950000000001"/>
    <n v="4"/>
    <x v="136"/>
    <x v="0"/>
  </r>
  <r>
    <x v="19"/>
    <x v="3"/>
    <x v="19"/>
    <n v="9693.3700000000008"/>
    <n v="4"/>
    <x v="137"/>
    <x v="0"/>
  </r>
  <r>
    <x v="19"/>
    <x v="3"/>
    <x v="18"/>
    <n v="7490"/>
    <n v="315"/>
    <x v="444"/>
    <x v="0"/>
  </r>
  <r>
    <x v="19"/>
    <x v="3"/>
    <x v="18"/>
    <n v="7940.49"/>
    <n v="328"/>
    <x v="445"/>
    <x v="0"/>
  </r>
  <r>
    <x v="19"/>
    <x v="3"/>
    <x v="18"/>
    <n v="8408.1200000000008"/>
    <n v="318"/>
    <x v="446"/>
    <x v="0"/>
  </r>
  <r>
    <x v="19"/>
    <x v="3"/>
    <x v="11"/>
    <n v="8624"/>
    <n v="50"/>
    <x v="42"/>
    <x v="0"/>
  </r>
  <r>
    <x v="19"/>
    <x v="3"/>
    <x v="11"/>
    <n v="9489.27"/>
    <n v="54"/>
    <x v="43"/>
    <x v="0"/>
  </r>
  <r>
    <x v="19"/>
    <x v="3"/>
    <x v="11"/>
    <n v="10337.23"/>
    <n v="49"/>
    <x v="44"/>
    <x v="0"/>
  </r>
  <r>
    <x v="19"/>
    <x v="3"/>
    <x v="6"/>
    <n v="8379"/>
    <n v="173"/>
    <x v="240"/>
    <x v="0"/>
  </r>
  <r>
    <x v="19"/>
    <x v="3"/>
    <x v="6"/>
    <n v="8549.84"/>
    <n v="169"/>
    <x v="241"/>
    <x v="0"/>
  </r>
  <r>
    <x v="19"/>
    <x v="3"/>
    <x v="6"/>
    <n v="8950.59"/>
    <n v="189"/>
    <x v="242"/>
    <x v="0"/>
  </r>
  <r>
    <x v="19"/>
    <x v="3"/>
    <x v="12"/>
    <n v="8484"/>
    <n v="57"/>
    <x v="75"/>
    <x v="0"/>
  </r>
  <r>
    <x v="19"/>
    <x v="3"/>
    <x v="12"/>
    <n v="9689.7000000000007"/>
    <n v="58"/>
    <x v="76"/>
    <x v="0"/>
  </r>
  <r>
    <x v="19"/>
    <x v="3"/>
    <x v="12"/>
    <n v="9057.64"/>
    <n v="56"/>
    <x v="77"/>
    <x v="0"/>
  </r>
  <r>
    <x v="19"/>
    <x v="4"/>
    <x v="0"/>
    <n v="2989"/>
    <n v="124"/>
    <x v="75"/>
    <x v="0"/>
  </r>
  <r>
    <x v="19"/>
    <x v="4"/>
    <x v="0"/>
    <n v="3288.29"/>
    <n v="133"/>
    <x v="76"/>
    <x v="0"/>
  </r>
  <r>
    <x v="19"/>
    <x v="4"/>
    <x v="0"/>
    <n v="3506.38"/>
    <n v="126"/>
    <x v="77"/>
    <x v="0"/>
  </r>
  <r>
    <x v="19"/>
    <x v="4"/>
    <x v="17"/>
    <n v="8113"/>
    <n v="194"/>
    <x v="162"/>
    <x v="0"/>
  </r>
  <r>
    <x v="19"/>
    <x v="4"/>
    <x v="17"/>
    <n v="9124.16"/>
    <n v="209"/>
    <x v="163"/>
    <x v="0"/>
  </r>
  <r>
    <x v="19"/>
    <x v="4"/>
    <x v="17"/>
    <n v="8551.6"/>
    <n v="208"/>
    <x v="164"/>
    <x v="0"/>
  </r>
  <r>
    <x v="19"/>
    <x v="4"/>
    <x v="3"/>
    <n v="252"/>
    <n v="154"/>
    <x v="345"/>
    <x v="0"/>
  </r>
  <r>
    <x v="19"/>
    <x v="4"/>
    <x v="3"/>
    <n v="254.16"/>
    <n v="161"/>
    <x v="346"/>
    <x v="0"/>
  </r>
  <r>
    <x v="19"/>
    <x v="4"/>
    <x v="3"/>
    <n v="302.25"/>
    <n v="154"/>
    <x v="347"/>
    <x v="0"/>
  </r>
  <r>
    <x v="19"/>
    <x v="4"/>
    <x v="9"/>
    <n v="3549"/>
    <n v="112"/>
    <x v="126"/>
    <x v="0"/>
  </r>
  <r>
    <x v="19"/>
    <x v="4"/>
    <x v="9"/>
    <n v="3651.49"/>
    <n v="112"/>
    <x v="127"/>
    <x v="0"/>
  </r>
  <r>
    <x v="19"/>
    <x v="4"/>
    <x v="9"/>
    <n v="4198.08"/>
    <n v="107"/>
    <x v="128"/>
    <x v="0"/>
  </r>
  <r>
    <x v="19"/>
    <x v="4"/>
    <x v="4"/>
    <n v="973"/>
    <n v="28"/>
    <x v="141"/>
    <x v="0"/>
  </r>
  <r>
    <x v="19"/>
    <x v="4"/>
    <x v="4"/>
    <n v="1016.77"/>
    <n v="28"/>
    <x v="142"/>
    <x v="0"/>
  </r>
  <r>
    <x v="19"/>
    <x v="4"/>
    <x v="4"/>
    <n v="1135.1600000000001"/>
    <n v="27"/>
    <x v="143"/>
    <x v="0"/>
  </r>
  <r>
    <x v="19"/>
    <x v="4"/>
    <x v="5"/>
    <n v="10983"/>
    <n v="179"/>
    <x v="345"/>
    <x v="0"/>
  </r>
  <r>
    <x v="19"/>
    <x v="4"/>
    <x v="5"/>
    <n v="12449.46"/>
    <n v="177"/>
    <x v="346"/>
    <x v="0"/>
  </r>
  <r>
    <x v="19"/>
    <x v="4"/>
    <x v="5"/>
    <n v="11735.75"/>
    <n v="185"/>
    <x v="347"/>
    <x v="0"/>
  </r>
  <r>
    <x v="19"/>
    <x v="4"/>
    <x v="14"/>
    <n v="11319"/>
    <n v="12"/>
    <x v="270"/>
    <x v="0"/>
  </r>
  <r>
    <x v="19"/>
    <x v="4"/>
    <x v="14"/>
    <n v="11882.82"/>
    <n v="13"/>
    <x v="271"/>
    <x v="0"/>
  </r>
  <r>
    <x v="19"/>
    <x v="4"/>
    <x v="14"/>
    <n v="13072.74"/>
    <n v="11"/>
    <x v="272"/>
    <x v="0"/>
  </r>
  <r>
    <x v="19"/>
    <x v="4"/>
    <x v="12"/>
    <n v="18991"/>
    <n v="88"/>
    <x v="285"/>
    <x v="0"/>
  </r>
  <r>
    <x v="19"/>
    <x v="4"/>
    <x v="12"/>
    <n v="21251.67"/>
    <n v="91"/>
    <x v="286"/>
    <x v="0"/>
  </r>
  <r>
    <x v="19"/>
    <x v="4"/>
    <x v="12"/>
    <n v="22558.880000000001"/>
    <n v="84"/>
    <x v="287"/>
    <x v="0"/>
  </r>
  <r>
    <x v="19"/>
    <x v="5"/>
    <x v="0"/>
    <n v="1064"/>
    <n v="106"/>
    <x v="300"/>
    <x v="0"/>
  </r>
  <r>
    <x v="19"/>
    <x v="5"/>
    <x v="0"/>
    <n v="1114.1300000000001"/>
    <n v="106"/>
    <x v="301"/>
    <x v="0"/>
  </r>
  <r>
    <x v="19"/>
    <x v="5"/>
    <x v="0"/>
    <n v="1117.77"/>
    <n v="114"/>
    <x v="302"/>
    <x v="0"/>
  </r>
  <r>
    <x v="19"/>
    <x v="5"/>
    <x v="17"/>
    <n v="4151"/>
    <n v="296"/>
    <x v="165"/>
    <x v="0"/>
  </r>
  <r>
    <x v="19"/>
    <x v="5"/>
    <x v="17"/>
    <n v="4646.91"/>
    <n v="317"/>
    <x v="166"/>
    <x v="0"/>
  </r>
  <r>
    <x v="19"/>
    <x v="5"/>
    <x v="17"/>
    <n v="4861.33"/>
    <n v="286"/>
    <x v="167"/>
    <x v="0"/>
  </r>
  <r>
    <x v="19"/>
    <x v="5"/>
    <x v="8"/>
    <n v="4753"/>
    <n v="163"/>
    <x v="57"/>
    <x v="0"/>
  </r>
  <r>
    <x v="19"/>
    <x v="5"/>
    <x v="8"/>
    <n v="5481.18"/>
    <n v="159"/>
    <x v="58"/>
    <x v="0"/>
  </r>
  <r>
    <x v="19"/>
    <x v="5"/>
    <x v="8"/>
    <n v="5611.65"/>
    <n v="159"/>
    <x v="59"/>
    <x v="0"/>
  </r>
  <r>
    <x v="19"/>
    <x v="5"/>
    <x v="2"/>
    <n v="7798"/>
    <n v="167"/>
    <x v="291"/>
    <x v="0"/>
  </r>
  <r>
    <x v="19"/>
    <x v="5"/>
    <x v="2"/>
    <n v="8012.72"/>
    <n v="163"/>
    <x v="292"/>
    <x v="0"/>
  </r>
  <r>
    <x v="19"/>
    <x v="5"/>
    <x v="2"/>
    <n v="9376.61"/>
    <n v="167"/>
    <x v="293"/>
    <x v="0"/>
  </r>
  <r>
    <x v="19"/>
    <x v="5"/>
    <x v="3"/>
    <n v="8470"/>
    <n v="9"/>
    <x v="207"/>
    <x v="0"/>
  </r>
  <r>
    <x v="19"/>
    <x v="5"/>
    <x v="3"/>
    <n v="9718.8700000000008"/>
    <n v="10"/>
    <x v="208"/>
    <x v="0"/>
  </r>
  <r>
    <x v="19"/>
    <x v="5"/>
    <x v="3"/>
    <n v="9831.9699999999993"/>
    <n v="9"/>
    <x v="209"/>
    <x v="0"/>
  </r>
  <r>
    <x v="19"/>
    <x v="5"/>
    <x v="14"/>
    <n v="7595"/>
    <n v="181"/>
    <x v="312"/>
    <x v="0"/>
  </r>
  <r>
    <x v="19"/>
    <x v="5"/>
    <x v="14"/>
    <n v="8692.64"/>
    <n v="184"/>
    <x v="313"/>
    <x v="0"/>
  </r>
  <r>
    <x v="19"/>
    <x v="5"/>
    <x v="14"/>
    <n v="9001.89"/>
    <n v="193"/>
    <x v="314"/>
    <x v="0"/>
  </r>
  <r>
    <x v="19"/>
    <x v="5"/>
    <x v="6"/>
    <n v="693"/>
    <n v="350"/>
    <x v="300"/>
    <x v="0"/>
  </r>
  <r>
    <x v="19"/>
    <x v="5"/>
    <x v="6"/>
    <n v="695.96"/>
    <n v="363"/>
    <x v="301"/>
    <x v="0"/>
  </r>
  <r>
    <x v="19"/>
    <x v="5"/>
    <x v="6"/>
    <n v="782.24"/>
    <n v="348"/>
    <x v="302"/>
    <x v="0"/>
  </r>
  <r>
    <x v="19"/>
    <x v="5"/>
    <x v="20"/>
    <n v="6069"/>
    <n v="151"/>
    <x v="93"/>
    <x v="0"/>
  </r>
  <r>
    <x v="19"/>
    <x v="5"/>
    <x v="20"/>
    <n v="6206.9"/>
    <n v="149"/>
    <x v="94"/>
    <x v="0"/>
  </r>
  <r>
    <x v="19"/>
    <x v="5"/>
    <x v="20"/>
    <n v="6873.56"/>
    <n v="152"/>
    <x v="95"/>
    <x v="0"/>
  </r>
  <r>
    <x v="20"/>
    <x v="0"/>
    <x v="0"/>
    <n v="721"/>
    <n v="151"/>
    <x v="228"/>
    <x v="0"/>
  </r>
  <r>
    <x v="20"/>
    <x v="0"/>
    <x v="0"/>
    <n v="733.08"/>
    <n v="147"/>
    <x v="229"/>
    <x v="0"/>
  </r>
  <r>
    <x v="20"/>
    <x v="0"/>
    <x v="0"/>
    <n v="813.58"/>
    <n v="163"/>
    <x v="230"/>
    <x v="0"/>
  </r>
  <r>
    <x v="20"/>
    <x v="0"/>
    <x v="1"/>
    <n v="6944"/>
    <n v="27"/>
    <x v="108"/>
    <x v="0"/>
  </r>
  <r>
    <x v="20"/>
    <x v="0"/>
    <x v="1"/>
    <n v="7956.28"/>
    <n v="27"/>
    <x v="109"/>
    <x v="0"/>
  </r>
  <r>
    <x v="20"/>
    <x v="0"/>
    <x v="1"/>
    <n v="7488.06"/>
    <n v="28"/>
    <x v="110"/>
    <x v="0"/>
  </r>
  <r>
    <x v="20"/>
    <x v="0"/>
    <x v="2"/>
    <n v="6034"/>
    <n v="223"/>
    <x v="72"/>
    <x v="0"/>
  </r>
  <r>
    <x v="20"/>
    <x v="0"/>
    <x v="2"/>
    <n v="6421.18"/>
    <n v="242"/>
    <x v="73"/>
    <x v="0"/>
  </r>
  <r>
    <x v="20"/>
    <x v="0"/>
    <x v="2"/>
    <n v="6827.53"/>
    <n v="241"/>
    <x v="74"/>
    <x v="0"/>
  </r>
  <r>
    <x v="20"/>
    <x v="0"/>
    <x v="5"/>
    <n v="3906"/>
    <n v="76"/>
    <x v="207"/>
    <x v="0"/>
  </r>
  <r>
    <x v="20"/>
    <x v="0"/>
    <x v="5"/>
    <n v="4194.4399999999996"/>
    <n v="80"/>
    <x v="208"/>
    <x v="0"/>
  </r>
  <r>
    <x v="20"/>
    <x v="0"/>
    <x v="5"/>
    <n v="4626.87"/>
    <n v="78"/>
    <x v="209"/>
    <x v="0"/>
  </r>
  <r>
    <x v="20"/>
    <x v="0"/>
    <x v="18"/>
    <n v="7672"/>
    <n v="254"/>
    <x v="432"/>
    <x v="0"/>
  </r>
  <r>
    <x v="20"/>
    <x v="0"/>
    <x v="18"/>
    <n v="8497.7199999999993"/>
    <n v="276"/>
    <x v="433"/>
    <x v="0"/>
  </r>
  <r>
    <x v="20"/>
    <x v="0"/>
    <x v="18"/>
    <n v="9231.31"/>
    <n v="278"/>
    <x v="434"/>
    <x v="0"/>
  </r>
  <r>
    <x v="20"/>
    <x v="0"/>
    <x v="20"/>
    <n v="1043"/>
    <n v="120"/>
    <x v="258"/>
    <x v="0"/>
  </r>
  <r>
    <x v="20"/>
    <x v="0"/>
    <x v="20"/>
    <n v="1044.3499999999999"/>
    <n v="126"/>
    <x v="259"/>
    <x v="0"/>
  </r>
  <r>
    <x v="20"/>
    <x v="0"/>
    <x v="20"/>
    <n v="1157.8800000000001"/>
    <n v="114"/>
    <x v="260"/>
    <x v="0"/>
  </r>
  <r>
    <x v="20"/>
    <x v="0"/>
    <x v="15"/>
    <n v="11389"/>
    <n v="26"/>
    <x v="168"/>
    <x v="0"/>
  </r>
  <r>
    <x v="20"/>
    <x v="0"/>
    <x v="15"/>
    <n v="12412.53"/>
    <n v="25"/>
    <x v="169"/>
    <x v="0"/>
  </r>
  <r>
    <x v="20"/>
    <x v="0"/>
    <x v="15"/>
    <n v="12897.53"/>
    <n v="25"/>
    <x v="170"/>
    <x v="0"/>
  </r>
  <r>
    <x v="20"/>
    <x v="1"/>
    <x v="0"/>
    <n v="6615"/>
    <n v="137"/>
    <x v="393"/>
    <x v="0"/>
  </r>
  <r>
    <x v="20"/>
    <x v="1"/>
    <x v="0"/>
    <n v="7164.51"/>
    <n v="140"/>
    <x v="394"/>
    <x v="0"/>
  </r>
  <r>
    <x v="20"/>
    <x v="1"/>
    <x v="0"/>
    <n v="7301.81"/>
    <n v="134"/>
    <x v="395"/>
    <x v="0"/>
  </r>
  <r>
    <x v="20"/>
    <x v="1"/>
    <x v="17"/>
    <n v="3605"/>
    <n v="403"/>
    <x v="309"/>
    <x v="0"/>
  </r>
  <r>
    <x v="20"/>
    <x v="1"/>
    <x v="17"/>
    <n v="4033.53"/>
    <n v="430"/>
    <x v="310"/>
    <x v="0"/>
  </r>
  <r>
    <x v="20"/>
    <x v="1"/>
    <x v="17"/>
    <n v="4151.7"/>
    <n v="424"/>
    <x v="311"/>
    <x v="0"/>
  </r>
  <r>
    <x v="20"/>
    <x v="1"/>
    <x v="10"/>
    <n v="6111"/>
    <n v="591"/>
    <x v="243"/>
    <x v="0"/>
  </r>
  <r>
    <x v="20"/>
    <x v="1"/>
    <x v="10"/>
    <n v="6211.75"/>
    <n v="561"/>
    <x v="244"/>
    <x v="0"/>
  </r>
  <r>
    <x v="20"/>
    <x v="1"/>
    <x v="10"/>
    <n v="6409.31"/>
    <n v="621"/>
    <x v="245"/>
    <x v="0"/>
  </r>
  <r>
    <x v="20"/>
    <x v="1"/>
    <x v="19"/>
    <n v="1869"/>
    <n v="158"/>
    <x v="444"/>
    <x v="0"/>
  </r>
  <r>
    <x v="20"/>
    <x v="1"/>
    <x v="19"/>
    <n v="1896.64"/>
    <n v="161"/>
    <x v="445"/>
    <x v="0"/>
  </r>
  <r>
    <x v="20"/>
    <x v="1"/>
    <x v="19"/>
    <n v="2187.5"/>
    <n v="159"/>
    <x v="446"/>
    <x v="0"/>
  </r>
  <r>
    <x v="20"/>
    <x v="1"/>
    <x v="14"/>
    <n v="8757"/>
    <n v="338"/>
    <x v="375"/>
    <x v="0"/>
  </r>
  <r>
    <x v="20"/>
    <x v="1"/>
    <x v="14"/>
    <n v="8909.75"/>
    <n v="355"/>
    <x v="376"/>
    <x v="0"/>
  </r>
  <r>
    <x v="20"/>
    <x v="1"/>
    <x v="14"/>
    <n v="10257.74"/>
    <n v="328"/>
    <x v="377"/>
    <x v="0"/>
  </r>
  <r>
    <x v="20"/>
    <x v="1"/>
    <x v="11"/>
    <n v="1232"/>
    <n v="74"/>
    <x v="186"/>
    <x v="0"/>
  </r>
  <r>
    <x v="20"/>
    <x v="1"/>
    <x v="11"/>
    <n v="1310.04"/>
    <n v="71"/>
    <x v="187"/>
    <x v="0"/>
  </r>
  <r>
    <x v="20"/>
    <x v="1"/>
    <x v="11"/>
    <n v="1392.99"/>
    <n v="70"/>
    <x v="188"/>
    <x v="0"/>
  </r>
  <r>
    <x v="20"/>
    <x v="1"/>
    <x v="6"/>
    <n v="12425"/>
    <n v="167"/>
    <x v="90"/>
    <x v="0"/>
  </r>
  <r>
    <x v="20"/>
    <x v="1"/>
    <x v="6"/>
    <n v="12397.06"/>
    <n v="179"/>
    <x v="91"/>
    <x v="0"/>
  </r>
  <r>
    <x v="20"/>
    <x v="1"/>
    <x v="6"/>
    <n v="14291.3"/>
    <n v="179"/>
    <x v="92"/>
    <x v="0"/>
  </r>
  <r>
    <x v="20"/>
    <x v="1"/>
    <x v="20"/>
    <n v="1750"/>
    <n v="208"/>
    <x v="288"/>
    <x v="0"/>
  </r>
  <r>
    <x v="20"/>
    <x v="1"/>
    <x v="20"/>
    <n v="1902.47"/>
    <n v="217"/>
    <x v="289"/>
    <x v="0"/>
  </r>
  <r>
    <x v="20"/>
    <x v="1"/>
    <x v="20"/>
    <n v="1941.25"/>
    <n v="221"/>
    <x v="290"/>
    <x v="0"/>
  </r>
  <r>
    <x v="20"/>
    <x v="2"/>
    <x v="1"/>
    <n v="8981"/>
    <n v="130"/>
    <x v="186"/>
    <x v="0"/>
  </r>
  <r>
    <x v="20"/>
    <x v="2"/>
    <x v="1"/>
    <n v="9072.4599999999991"/>
    <n v="142"/>
    <x v="187"/>
    <x v="0"/>
  </r>
  <r>
    <x v="20"/>
    <x v="2"/>
    <x v="1"/>
    <n v="9928.42"/>
    <n v="130"/>
    <x v="188"/>
    <x v="0"/>
  </r>
  <r>
    <x v="20"/>
    <x v="2"/>
    <x v="17"/>
    <n v="10255"/>
    <n v="11"/>
    <x v="120"/>
    <x v="0"/>
  </r>
  <r>
    <x v="20"/>
    <x v="2"/>
    <x v="17"/>
    <n v="10914.36"/>
    <n v="11"/>
    <x v="121"/>
    <x v="0"/>
  </r>
  <r>
    <x v="20"/>
    <x v="2"/>
    <x v="17"/>
    <n v="12232.97"/>
    <n v="11"/>
    <x v="122"/>
    <x v="0"/>
  </r>
  <r>
    <x v="20"/>
    <x v="2"/>
    <x v="21"/>
    <n v="49"/>
    <n v="363"/>
    <x v="45"/>
    <x v="1"/>
  </r>
  <r>
    <x v="20"/>
    <x v="2"/>
    <x v="21"/>
    <n v="53.85"/>
    <n v="399"/>
    <x v="46"/>
    <x v="1"/>
  </r>
  <r>
    <x v="20"/>
    <x v="2"/>
    <x v="21"/>
    <n v="53.31"/>
    <n v="371"/>
    <x v="47"/>
    <x v="1"/>
  </r>
  <r>
    <x v="20"/>
    <x v="2"/>
    <x v="4"/>
    <n v="16380"/>
    <n v="130"/>
    <x v="33"/>
    <x v="0"/>
  </r>
  <r>
    <x v="20"/>
    <x v="2"/>
    <x v="4"/>
    <n v="18220.59"/>
    <n v="139"/>
    <x v="34"/>
    <x v="0"/>
  </r>
  <r>
    <x v="20"/>
    <x v="2"/>
    <x v="4"/>
    <n v="19390.61"/>
    <n v="141"/>
    <x v="35"/>
    <x v="0"/>
  </r>
  <r>
    <x v="20"/>
    <x v="2"/>
    <x v="10"/>
    <n v="5663"/>
    <n v="322"/>
    <x v="135"/>
    <x v="0"/>
  </r>
  <r>
    <x v="20"/>
    <x v="2"/>
    <x v="10"/>
    <n v="5973.24"/>
    <n v="337"/>
    <x v="136"/>
    <x v="0"/>
  </r>
  <r>
    <x v="20"/>
    <x v="2"/>
    <x v="10"/>
    <n v="6096.53"/>
    <n v="344"/>
    <x v="137"/>
    <x v="0"/>
  </r>
  <r>
    <x v="20"/>
    <x v="2"/>
    <x v="11"/>
    <n v="6181"/>
    <n v="56"/>
    <x v="42"/>
    <x v="0"/>
  </r>
  <r>
    <x v="20"/>
    <x v="2"/>
    <x v="11"/>
    <n v="6665.87"/>
    <n v="60"/>
    <x v="43"/>
    <x v="0"/>
  </r>
  <r>
    <x v="20"/>
    <x v="2"/>
    <x v="11"/>
    <n v="6468.82"/>
    <n v="59"/>
    <x v="44"/>
    <x v="0"/>
  </r>
  <r>
    <x v="20"/>
    <x v="2"/>
    <x v="20"/>
    <n v="6832"/>
    <n v="46"/>
    <x v="189"/>
    <x v="0"/>
  </r>
  <r>
    <x v="20"/>
    <x v="2"/>
    <x v="20"/>
    <n v="6826.32"/>
    <n v="44"/>
    <x v="190"/>
    <x v="0"/>
  </r>
  <r>
    <x v="20"/>
    <x v="2"/>
    <x v="20"/>
    <n v="7620.86"/>
    <n v="46"/>
    <x v="191"/>
    <x v="0"/>
  </r>
  <r>
    <x v="20"/>
    <x v="2"/>
    <x v="12"/>
    <n v="10101"/>
    <n v="108"/>
    <x v="396"/>
    <x v="0"/>
  </r>
  <r>
    <x v="20"/>
    <x v="2"/>
    <x v="12"/>
    <n v="10759.61"/>
    <n v="107"/>
    <x v="397"/>
    <x v="0"/>
  </r>
  <r>
    <x v="20"/>
    <x v="2"/>
    <x v="12"/>
    <n v="10901.65"/>
    <n v="116"/>
    <x v="398"/>
    <x v="0"/>
  </r>
  <r>
    <x v="20"/>
    <x v="2"/>
    <x v="15"/>
    <n v="11137"/>
    <n v="88"/>
    <x v="390"/>
    <x v="0"/>
  </r>
  <r>
    <x v="20"/>
    <x v="2"/>
    <x v="15"/>
    <n v="12531.37"/>
    <n v="86"/>
    <x v="391"/>
    <x v="0"/>
  </r>
  <r>
    <x v="20"/>
    <x v="2"/>
    <x v="15"/>
    <n v="13189.14"/>
    <n v="95"/>
    <x v="392"/>
    <x v="0"/>
  </r>
  <r>
    <x v="20"/>
    <x v="3"/>
    <x v="1"/>
    <n v="3381"/>
    <n v="417"/>
    <x v="402"/>
    <x v="0"/>
  </r>
  <r>
    <x v="20"/>
    <x v="3"/>
    <x v="1"/>
    <n v="3432.3"/>
    <n v="452"/>
    <x v="403"/>
    <x v="0"/>
  </r>
  <r>
    <x v="20"/>
    <x v="3"/>
    <x v="1"/>
    <n v="4040.65"/>
    <n v="423"/>
    <x v="404"/>
    <x v="0"/>
  </r>
  <r>
    <x v="20"/>
    <x v="3"/>
    <x v="3"/>
    <n v="11823"/>
    <n v="47"/>
    <x v="6"/>
    <x v="0"/>
  </r>
  <r>
    <x v="20"/>
    <x v="3"/>
    <x v="3"/>
    <n v="12073.18"/>
    <n v="51"/>
    <x v="7"/>
    <x v="0"/>
  </r>
  <r>
    <x v="20"/>
    <x v="3"/>
    <x v="3"/>
    <n v="14234.61"/>
    <n v="45"/>
    <x v="8"/>
    <x v="0"/>
  </r>
  <r>
    <x v="20"/>
    <x v="3"/>
    <x v="18"/>
    <n v="4494"/>
    <n v="187"/>
    <x v="150"/>
    <x v="0"/>
  </r>
  <r>
    <x v="20"/>
    <x v="3"/>
    <x v="18"/>
    <n v="4484.03"/>
    <n v="201"/>
    <x v="151"/>
    <x v="0"/>
  </r>
  <r>
    <x v="20"/>
    <x v="3"/>
    <x v="18"/>
    <n v="5074.8599999999997"/>
    <n v="201"/>
    <x v="152"/>
    <x v="0"/>
  </r>
  <r>
    <x v="20"/>
    <x v="3"/>
    <x v="11"/>
    <n v="15316"/>
    <n v="270"/>
    <x v="258"/>
    <x v="0"/>
  </r>
  <r>
    <x v="20"/>
    <x v="3"/>
    <x v="11"/>
    <n v="16765.07"/>
    <n v="261"/>
    <x v="259"/>
    <x v="0"/>
  </r>
  <r>
    <x v="20"/>
    <x v="3"/>
    <x v="11"/>
    <n v="17102.97"/>
    <n v="267"/>
    <x v="260"/>
    <x v="0"/>
  </r>
  <r>
    <x v="20"/>
    <x v="3"/>
    <x v="20"/>
    <n v="4550"/>
    <n v="281"/>
    <x v="285"/>
    <x v="0"/>
  </r>
  <r>
    <x v="20"/>
    <x v="3"/>
    <x v="20"/>
    <n v="4908.71"/>
    <n v="288"/>
    <x v="286"/>
    <x v="0"/>
  </r>
  <r>
    <x v="20"/>
    <x v="3"/>
    <x v="20"/>
    <n v="5129.71"/>
    <n v="270"/>
    <x v="287"/>
    <x v="0"/>
  </r>
  <r>
    <x v="20"/>
    <x v="3"/>
    <x v="12"/>
    <n v="8673"/>
    <n v="60"/>
    <x v="180"/>
    <x v="0"/>
  </r>
  <r>
    <x v="20"/>
    <x v="3"/>
    <x v="12"/>
    <n v="9545.0300000000007"/>
    <n v="64"/>
    <x v="181"/>
    <x v="0"/>
  </r>
  <r>
    <x v="20"/>
    <x v="3"/>
    <x v="12"/>
    <n v="9261.26"/>
    <n v="65"/>
    <x v="182"/>
    <x v="0"/>
  </r>
  <r>
    <x v="20"/>
    <x v="3"/>
    <x v="15"/>
    <n v="1617"/>
    <n v="13"/>
    <x v="453"/>
    <x v="0"/>
  </r>
  <r>
    <x v="20"/>
    <x v="3"/>
    <x v="15"/>
    <n v="1793.67"/>
    <n v="13"/>
    <x v="454"/>
    <x v="0"/>
  </r>
  <r>
    <x v="20"/>
    <x v="3"/>
    <x v="15"/>
    <n v="1826.32"/>
    <n v="13"/>
    <x v="455"/>
    <x v="0"/>
  </r>
  <r>
    <x v="20"/>
    <x v="3"/>
    <x v="13"/>
    <n v="4361"/>
    <n v="40"/>
    <x v="345"/>
    <x v="0"/>
  </r>
  <r>
    <x v="20"/>
    <x v="3"/>
    <x v="13"/>
    <n v="4612.08"/>
    <n v="38"/>
    <x v="346"/>
    <x v="0"/>
  </r>
  <r>
    <x v="20"/>
    <x v="3"/>
    <x v="13"/>
    <n v="4822.33"/>
    <n v="42"/>
    <x v="347"/>
    <x v="0"/>
  </r>
  <r>
    <x v="20"/>
    <x v="4"/>
    <x v="7"/>
    <n v="6223"/>
    <n v="181"/>
    <x v="360"/>
    <x v="0"/>
  </r>
  <r>
    <x v="20"/>
    <x v="4"/>
    <x v="7"/>
    <n v="6800.26"/>
    <n v="187"/>
    <x v="361"/>
    <x v="0"/>
  </r>
  <r>
    <x v="20"/>
    <x v="4"/>
    <x v="7"/>
    <n v="7431"/>
    <n v="180"/>
    <x v="362"/>
    <x v="0"/>
  </r>
  <r>
    <x v="20"/>
    <x v="4"/>
    <x v="17"/>
    <n v="13685"/>
    <n v="176"/>
    <x v="177"/>
    <x v="0"/>
  </r>
  <r>
    <x v="20"/>
    <x v="4"/>
    <x v="17"/>
    <n v="14673.2"/>
    <n v="175"/>
    <x v="178"/>
    <x v="0"/>
  </r>
  <r>
    <x v="20"/>
    <x v="4"/>
    <x v="17"/>
    <n v="15900.6"/>
    <n v="188"/>
    <x v="179"/>
    <x v="0"/>
  </r>
  <r>
    <x v="20"/>
    <x v="4"/>
    <x v="8"/>
    <n v="2345"/>
    <n v="104"/>
    <x v="417"/>
    <x v="0"/>
  </r>
  <r>
    <x v="20"/>
    <x v="4"/>
    <x v="8"/>
    <n v="2587.7600000000002"/>
    <n v="108"/>
    <x v="418"/>
    <x v="0"/>
  </r>
  <r>
    <x v="20"/>
    <x v="4"/>
    <x v="8"/>
    <n v="2555.9499999999998"/>
    <n v="109"/>
    <x v="419"/>
    <x v="0"/>
  </r>
  <r>
    <x v="20"/>
    <x v="4"/>
    <x v="21"/>
    <n v="9324"/>
    <n v="41"/>
    <x v="318"/>
    <x v="0"/>
  </r>
  <r>
    <x v="20"/>
    <x v="4"/>
    <x v="21"/>
    <n v="10370.44"/>
    <n v="44"/>
    <x v="319"/>
    <x v="0"/>
  </r>
  <r>
    <x v="20"/>
    <x v="4"/>
    <x v="21"/>
    <n v="10751.19"/>
    <n v="44"/>
    <x v="320"/>
    <x v="0"/>
  </r>
  <r>
    <x v="20"/>
    <x v="4"/>
    <x v="18"/>
    <n v="6468"/>
    <n v="223"/>
    <x v="306"/>
    <x v="0"/>
  </r>
  <r>
    <x v="20"/>
    <x v="4"/>
    <x v="18"/>
    <n v="6853.82"/>
    <n v="220"/>
    <x v="307"/>
    <x v="0"/>
  </r>
  <r>
    <x v="20"/>
    <x v="4"/>
    <x v="18"/>
    <n v="6831.03"/>
    <n v="243"/>
    <x v="308"/>
    <x v="0"/>
  </r>
  <r>
    <x v="20"/>
    <x v="4"/>
    <x v="14"/>
    <n v="7315"/>
    <n v="237"/>
    <x v="231"/>
    <x v="0"/>
  </r>
  <r>
    <x v="20"/>
    <x v="4"/>
    <x v="14"/>
    <n v="8431.83"/>
    <n v="251"/>
    <x v="232"/>
    <x v="0"/>
  </r>
  <r>
    <x v="20"/>
    <x v="4"/>
    <x v="14"/>
    <n v="8250.0300000000007"/>
    <n v="228"/>
    <x v="233"/>
    <x v="0"/>
  </r>
  <r>
    <x v="20"/>
    <x v="4"/>
    <x v="11"/>
    <n v="7980"/>
    <n v="157"/>
    <x v="108"/>
    <x v="0"/>
  </r>
  <r>
    <x v="20"/>
    <x v="4"/>
    <x v="11"/>
    <n v="8839.7199999999993"/>
    <n v="170"/>
    <x v="109"/>
    <x v="0"/>
  </r>
  <r>
    <x v="20"/>
    <x v="4"/>
    <x v="11"/>
    <n v="8471.68"/>
    <n v="162"/>
    <x v="110"/>
    <x v="0"/>
  </r>
  <r>
    <x v="20"/>
    <x v="4"/>
    <x v="20"/>
    <n v="4599"/>
    <n v="323"/>
    <x v="21"/>
    <x v="0"/>
  </r>
  <r>
    <x v="20"/>
    <x v="4"/>
    <x v="20"/>
    <n v="4611.37"/>
    <n v="322"/>
    <x v="22"/>
    <x v="0"/>
  </r>
  <r>
    <x v="20"/>
    <x v="4"/>
    <x v="20"/>
    <n v="5477.33"/>
    <n v="341"/>
    <x v="23"/>
    <x v="0"/>
  </r>
  <r>
    <x v="20"/>
    <x v="4"/>
    <x v="12"/>
    <n v="9625"/>
    <n v="313"/>
    <x v="492"/>
    <x v="0"/>
  </r>
  <r>
    <x v="20"/>
    <x v="4"/>
    <x v="12"/>
    <n v="10573.5"/>
    <n v="338"/>
    <x v="493"/>
    <x v="0"/>
  </r>
  <r>
    <x v="20"/>
    <x v="4"/>
    <x v="12"/>
    <n v="11264.45"/>
    <n v="340"/>
    <x v="494"/>
    <x v="0"/>
  </r>
  <r>
    <x v="20"/>
    <x v="4"/>
    <x v="13"/>
    <n v="1715"/>
    <n v="286"/>
    <x v="210"/>
    <x v="0"/>
  </r>
  <r>
    <x v="20"/>
    <x v="4"/>
    <x v="13"/>
    <n v="1746.01"/>
    <n v="280"/>
    <x v="211"/>
    <x v="0"/>
  </r>
  <r>
    <x v="20"/>
    <x v="4"/>
    <x v="13"/>
    <n v="1998.41"/>
    <n v="303"/>
    <x v="212"/>
    <x v="0"/>
  </r>
  <r>
    <x v="20"/>
    <x v="5"/>
    <x v="2"/>
    <n v="6440"/>
    <n v="141"/>
    <x v="243"/>
    <x v="0"/>
  </r>
  <r>
    <x v="20"/>
    <x v="5"/>
    <x v="2"/>
    <n v="7107.55"/>
    <n v="142"/>
    <x v="244"/>
    <x v="0"/>
  </r>
  <r>
    <x v="20"/>
    <x v="5"/>
    <x v="2"/>
    <n v="7640.61"/>
    <n v="154"/>
    <x v="245"/>
    <x v="0"/>
  </r>
  <r>
    <x v="20"/>
    <x v="5"/>
    <x v="3"/>
    <n v="8001"/>
    <n v="120"/>
    <x v="420"/>
    <x v="0"/>
  </r>
  <r>
    <x v="20"/>
    <x v="5"/>
    <x v="3"/>
    <n v="9154.17"/>
    <n v="123"/>
    <x v="421"/>
    <x v="0"/>
  </r>
  <r>
    <x v="20"/>
    <x v="5"/>
    <x v="3"/>
    <n v="8485.1"/>
    <n v="120"/>
    <x v="422"/>
    <x v="0"/>
  </r>
  <r>
    <x v="20"/>
    <x v="5"/>
    <x v="4"/>
    <n v="7714"/>
    <n v="44"/>
    <x v="264"/>
    <x v="0"/>
  </r>
  <r>
    <x v="20"/>
    <x v="5"/>
    <x v="4"/>
    <n v="8280.6200000000008"/>
    <n v="47"/>
    <x v="265"/>
    <x v="0"/>
  </r>
  <r>
    <x v="20"/>
    <x v="5"/>
    <x v="4"/>
    <n v="9306.64"/>
    <n v="48"/>
    <x v="266"/>
    <x v="0"/>
  </r>
  <r>
    <x v="20"/>
    <x v="5"/>
    <x v="5"/>
    <n v="4340"/>
    <n v="86"/>
    <x v="87"/>
    <x v="0"/>
  </r>
  <r>
    <x v="20"/>
    <x v="5"/>
    <x v="5"/>
    <n v="4742.3500000000004"/>
    <n v="83"/>
    <x v="88"/>
    <x v="0"/>
  </r>
  <r>
    <x v="20"/>
    <x v="5"/>
    <x v="5"/>
    <n v="5050.53"/>
    <n v="85"/>
    <x v="89"/>
    <x v="0"/>
  </r>
  <r>
    <x v="20"/>
    <x v="5"/>
    <x v="18"/>
    <n v="1736"/>
    <n v="79"/>
    <x v="75"/>
    <x v="0"/>
  </r>
  <r>
    <x v="20"/>
    <x v="5"/>
    <x v="18"/>
    <n v="1868.25"/>
    <n v="82"/>
    <x v="76"/>
    <x v="0"/>
  </r>
  <r>
    <x v="20"/>
    <x v="5"/>
    <x v="18"/>
    <n v="1815.29"/>
    <n v="79"/>
    <x v="77"/>
    <x v="0"/>
  </r>
  <r>
    <x v="20"/>
    <x v="5"/>
    <x v="12"/>
    <n v="3577"/>
    <n v="158"/>
    <x v="78"/>
    <x v="0"/>
  </r>
  <r>
    <x v="20"/>
    <x v="5"/>
    <x v="12"/>
    <n v="3632.32"/>
    <n v="169"/>
    <x v="79"/>
    <x v="0"/>
  </r>
  <r>
    <x v="20"/>
    <x v="5"/>
    <x v="12"/>
    <n v="4011.83"/>
    <n v="169"/>
    <x v="80"/>
    <x v="0"/>
  </r>
  <r>
    <x v="20"/>
    <x v="5"/>
    <x v="15"/>
    <n v="5691"/>
    <n v="417"/>
    <x v="396"/>
    <x v="0"/>
  </r>
  <r>
    <x v="20"/>
    <x v="5"/>
    <x v="15"/>
    <n v="6315.14"/>
    <n v="398"/>
    <x v="397"/>
    <x v="0"/>
  </r>
  <r>
    <x v="20"/>
    <x v="5"/>
    <x v="15"/>
    <n v="6660.69"/>
    <n v="418"/>
    <x v="398"/>
    <x v="0"/>
  </r>
  <r>
    <x v="21"/>
    <x v="0"/>
    <x v="0"/>
    <n v="3010"/>
    <n v="40"/>
    <x v="459"/>
    <x v="0"/>
  </r>
  <r>
    <x v="21"/>
    <x v="0"/>
    <x v="0"/>
    <n v="3067.9"/>
    <n v="42"/>
    <x v="460"/>
    <x v="0"/>
  </r>
  <r>
    <x v="21"/>
    <x v="0"/>
    <x v="0"/>
    <n v="3375.83"/>
    <n v="41"/>
    <x v="461"/>
    <x v="0"/>
  </r>
  <r>
    <x v="21"/>
    <x v="0"/>
    <x v="3"/>
    <n v="2786"/>
    <n v="51"/>
    <x v="183"/>
    <x v="0"/>
  </r>
  <r>
    <x v="21"/>
    <x v="0"/>
    <x v="3"/>
    <n v="2820.41"/>
    <n v="50"/>
    <x v="184"/>
    <x v="0"/>
  </r>
  <r>
    <x v="21"/>
    <x v="0"/>
    <x v="3"/>
    <n v="3170.18"/>
    <n v="49"/>
    <x v="185"/>
    <x v="0"/>
  </r>
  <r>
    <x v="21"/>
    <x v="0"/>
    <x v="4"/>
    <n v="11550"/>
    <n v="396"/>
    <x v="174"/>
    <x v="0"/>
  </r>
  <r>
    <x v="21"/>
    <x v="0"/>
    <x v="4"/>
    <n v="11630.38"/>
    <n v="431"/>
    <x v="175"/>
    <x v="0"/>
  </r>
  <r>
    <x v="21"/>
    <x v="0"/>
    <x v="4"/>
    <n v="13699.76"/>
    <n v="389"/>
    <x v="176"/>
    <x v="0"/>
  </r>
  <r>
    <x v="21"/>
    <x v="0"/>
    <x v="5"/>
    <n v="4396"/>
    <n v="131"/>
    <x v="240"/>
    <x v="0"/>
  </r>
  <r>
    <x v="21"/>
    <x v="0"/>
    <x v="5"/>
    <n v="4806.6499999999996"/>
    <n v="132"/>
    <x v="241"/>
    <x v="0"/>
  </r>
  <r>
    <x v="21"/>
    <x v="0"/>
    <x v="5"/>
    <n v="5245.6"/>
    <n v="144"/>
    <x v="242"/>
    <x v="0"/>
  </r>
  <r>
    <x v="21"/>
    <x v="0"/>
    <x v="11"/>
    <n v="994"/>
    <n v="105"/>
    <x v="207"/>
    <x v="0"/>
  </r>
  <r>
    <x v="21"/>
    <x v="0"/>
    <x v="11"/>
    <n v="1123.58"/>
    <n v="114"/>
    <x v="208"/>
    <x v="0"/>
  </r>
  <r>
    <x v="21"/>
    <x v="0"/>
    <x v="11"/>
    <n v="1082.69"/>
    <n v="106"/>
    <x v="209"/>
    <x v="0"/>
  </r>
  <r>
    <x v="21"/>
    <x v="0"/>
    <x v="20"/>
    <n v="6916"/>
    <n v="259"/>
    <x v="468"/>
    <x v="0"/>
  </r>
  <r>
    <x v="21"/>
    <x v="0"/>
    <x v="20"/>
    <n v="7773.64"/>
    <n v="247"/>
    <x v="469"/>
    <x v="0"/>
  </r>
  <r>
    <x v="21"/>
    <x v="0"/>
    <x v="20"/>
    <n v="7884.86"/>
    <n v="266"/>
    <x v="470"/>
    <x v="0"/>
  </r>
  <r>
    <x v="21"/>
    <x v="0"/>
    <x v="12"/>
    <n v="3969"/>
    <n v="243"/>
    <x v="57"/>
    <x v="0"/>
  </r>
  <r>
    <x v="21"/>
    <x v="0"/>
    <x v="12"/>
    <n v="4207.22"/>
    <n v="255"/>
    <x v="58"/>
    <x v="0"/>
  </r>
  <r>
    <x v="21"/>
    <x v="0"/>
    <x v="12"/>
    <n v="4739.3900000000003"/>
    <n v="236"/>
    <x v="59"/>
    <x v="0"/>
  </r>
  <r>
    <x v="21"/>
    <x v="0"/>
    <x v="13"/>
    <n v="6818"/>
    <n v="102"/>
    <x v="348"/>
    <x v="0"/>
  </r>
  <r>
    <x v="21"/>
    <x v="0"/>
    <x v="13"/>
    <n v="7467.74"/>
    <n v="111"/>
    <x v="349"/>
    <x v="0"/>
  </r>
  <r>
    <x v="21"/>
    <x v="0"/>
    <x v="13"/>
    <n v="7326.91"/>
    <n v="102"/>
    <x v="350"/>
    <x v="0"/>
  </r>
  <r>
    <x v="21"/>
    <x v="1"/>
    <x v="17"/>
    <n v="5096"/>
    <n v="142"/>
    <x v="66"/>
    <x v="0"/>
  </r>
  <r>
    <x v="21"/>
    <x v="1"/>
    <x v="17"/>
    <n v="5566.57"/>
    <n v="140"/>
    <x v="67"/>
    <x v="0"/>
  </r>
  <r>
    <x v="21"/>
    <x v="1"/>
    <x v="17"/>
    <n v="5545.62"/>
    <n v="139"/>
    <x v="68"/>
    <x v="0"/>
  </r>
  <r>
    <x v="21"/>
    <x v="1"/>
    <x v="9"/>
    <n v="7119"/>
    <n v="101"/>
    <x v="309"/>
    <x v="0"/>
  </r>
  <r>
    <x v="21"/>
    <x v="1"/>
    <x v="9"/>
    <n v="8145.99"/>
    <n v="100"/>
    <x v="310"/>
    <x v="0"/>
  </r>
  <r>
    <x v="21"/>
    <x v="1"/>
    <x v="9"/>
    <n v="7951.43"/>
    <n v="109"/>
    <x v="311"/>
    <x v="0"/>
  </r>
  <r>
    <x v="21"/>
    <x v="1"/>
    <x v="4"/>
    <n v="9884"/>
    <n v="200"/>
    <x v="303"/>
    <x v="0"/>
  </r>
  <r>
    <x v="21"/>
    <x v="1"/>
    <x v="4"/>
    <n v="10415.77"/>
    <n v="200"/>
    <x v="304"/>
    <x v="0"/>
  </r>
  <r>
    <x v="21"/>
    <x v="1"/>
    <x v="4"/>
    <n v="10772"/>
    <n v="192"/>
    <x v="305"/>
    <x v="0"/>
  </r>
  <r>
    <x v="21"/>
    <x v="1"/>
    <x v="19"/>
    <n v="483"/>
    <n v="185"/>
    <x v="84"/>
    <x v="0"/>
  </r>
  <r>
    <x v="21"/>
    <x v="1"/>
    <x v="19"/>
    <n v="518.07000000000005"/>
    <n v="192"/>
    <x v="85"/>
    <x v="0"/>
  </r>
  <r>
    <x v="21"/>
    <x v="1"/>
    <x v="19"/>
    <n v="570.58000000000004"/>
    <n v="191"/>
    <x v="86"/>
    <x v="0"/>
  </r>
  <r>
    <x v="21"/>
    <x v="1"/>
    <x v="15"/>
    <n v="2520"/>
    <n v="156"/>
    <x v="102"/>
    <x v="0"/>
  </r>
  <r>
    <x v="21"/>
    <x v="1"/>
    <x v="15"/>
    <n v="2883.71"/>
    <n v="163"/>
    <x v="103"/>
    <x v="0"/>
  </r>
  <r>
    <x v="21"/>
    <x v="1"/>
    <x v="15"/>
    <n v="2702.08"/>
    <n v="164"/>
    <x v="104"/>
    <x v="0"/>
  </r>
  <r>
    <x v="21"/>
    <x v="2"/>
    <x v="8"/>
    <n v="4739"/>
    <n v="204"/>
    <x v="66"/>
    <x v="0"/>
  </r>
  <r>
    <x v="21"/>
    <x v="2"/>
    <x v="8"/>
    <n v="5423.54"/>
    <n v="203"/>
    <x v="67"/>
    <x v="0"/>
  </r>
  <r>
    <x v="21"/>
    <x v="2"/>
    <x v="8"/>
    <n v="5256.03"/>
    <n v="201"/>
    <x v="68"/>
    <x v="0"/>
  </r>
  <r>
    <x v="21"/>
    <x v="2"/>
    <x v="2"/>
    <n v="3395"/>
    <n v="99"/>
    <x v="267"/>
    <x v="0"/>
  </r>
  <r>
    <x v="21"/>
    <x v="2"/>
    <x v="2"/>
    <n v="3791.66"/>
    <n v="100"/>
    <x v="268"/>
    <x v="0"/>
  </r>
  <r>
    <x v="21"/>
    <x v="2"/>
    <x v="2"/>
    <n v="3589.91"/>
    <n v="106"/>
    <x v="269"/>
    <x v="0"/>
  </r>
  <r>
    <x v="21"/>
    <x v="2"/>
    <x v="16"/>
    <n v="15491"/>
    <n v="85"/>
    <x v="207"/>
    <x v="0"/>
  </r>
  <r>
    <x v="21"/>
    <x v="2"/>
    <x v="16"/>
    <n v="15473"/>
    <n v="91"/>
    <x v="208"/>
    <x v="0"/>
  </r>
  <r>
    <x v="21"/>
    <x v="2"/>
    <x v="16"/>
    <n v="16520.75"/>
    <n v="84"/>
    <x v="209"/>
    <x v="0"/>
  </r>
  <r>
    <x v="21"/>
    <x v="2"/>
    <x v="12"/>
    <n v="1638"/>
    <n v="81"/>
    <x v="228"/>
    <x v="0"/>
  </r>
  <r>
    <x v="21"/>
    <x v="2"/>
    <x v="12"/>
    <n v="1871.33"/>
    <n v="88"/>
    <x v="229"/>
    <x v="0"/>
  </r>
  <r>
    <x v="21"/>
    <x v="2"/>
    <x v="12"/>
    <n v="1961.82"/>
    <n v="80"/>
    <x v="230"/>
    <x v="0"/>
  </r>
  <r>
    <x v="21"/>
    <x v="2"/>
    <x v="15"/>
    <n v="8064"/>
    <n v="134"/>
    <x v="36"/>
    <x v="0"/>
  </r>
  <r>
    <x v="21"/>
    <x v="2"/>
    <x v="15"/>
    <n v="8586.0400000000009"/>
    <n v="144"/>
    <x v="37"/>
    <x v="0"/>
  </r>
  <r>
    <x v="21"/>
    <x v="2"/>
    <x v="15"/>
    <n v="8972.7900000000009"/>
    <n v="134"/>
    <x v="38"/>
    <x v="0"/>
  </r>
  <r>
    <x v="21"/>
    <x v="3"/>
    <x v="7"/>
    <n v="679"/>
    <n v="280"/>
    <x v="84"/>
    <x v="0"/>
  </r>
  <r>
    <x v="21"/>
    <x v="3"/>
    <x v="7"/>
    <n v="773.73"/>
    <n v="280"/>
    <x v="85"/>
    <x v="0"/>
  </r>
  <r>
    <x v="21"/>
    <x v="3"/>
    <x v="7"/>
    <n v="791.19"/>
    <n v="280"/>
    <x v="86"/>
    <x v="0"/>
  </r>
  <r>
    <x v="21"/>
    <x v="3"/>
    <x v="17"/>
    <n v="3164"/>
    <n v="84"/>
    <x v="384"/>
    <x v="0"/>
  </r>
  <r>
    <x v="21"/>
    <x v="3"/>
    <x v="17"/>
    <n v="3550.76"/>
    <n v="85"/>
    <x v="385"/>
    <x v="0"/>
  </r>
  <r>
    <x v="21"/>
    <x v="3"/>
    <x v="17"/>
    <n v="3822.64"/>
    <n v="85"/>
    <x v="386"/>
    <x v="0"/>
  </r>
  <r>
    <x v="21"/>
    <x v="3"/>
    <x v="8"/>
    <n v="1099"/>
    <n v="92"/>
    <x v="180"/>
    <x v="0"/>
  </r>
  <r>
    <x v="21"/>
    <x v="3"/>
    <x v="8"/>
    <n v="1127.5"/>
    <n v="88"/>
    <x v="181"/>
    <x v="0"/>
  </r>
  <r>
    <x v="21"/>
    <x v="3"/>
    <x v="8"/>
    <n v="1245.9100000000001"/>
    <n v="90"/>
    <x v="182"/>
    <x v="0"/>
  </r>
  <r>
    <x v="21"/>
    <x v="3"/>
    <x v="9"/>
    <n v="13083"/>
    <n v="14"/>
    <x v="351"/>
    <x v="0"/>
  </r>
  <r>
    <x v="21"/>
    <x v="3"/>
    <x v="9"/>
    <n v="14369.4"/>
    <n v="15"/>
    <x v="352"/>
    <x v="0"/>
  </r>
  <r>
    <x v="21"/>
    <x v="3"/>
    <x v="9"/>
    <n v="14493.5"/>
    <n v="15"/>
    <x v="353"/>
    <x v="0"/>
  </r>
  <r>
    <x v="21"/>
    <x v="3"/>
    <x v="21"/>
    <n v="2093"/>
    <n v="45"/>
    <x v="90"/>
    <x v="0"/>
  </r>
  <r>
    <x v="21"/>
    <x v="3"/>
    <x v="21"/>
    <n v="2236.11"/>
    <n v="46"/>
    <x v="91"/>
    <x v="0"/>
  </r>
  <r>
    <x v="21"/>
    <x v="3"/>
    <x v="21"/>
    <n v="2278.06"/>
    <n v="49"/>
    <x v="92"/>
    <x v="0"/>
  </r>
  <r>
    <x v="21"/>
    <x v="3"/>
    <x v="10"/>
    <n v="19481"/>
    <n v="51"/>
    <x v="396"/>
    <x v="0"/>
  </r>
  <r>
    <x v="21"/>
    <x v="3"/>
    <x v="10"/>
    <n v="20470.43"/>
    <n v="54"/>
    <x v="397"/>
    <x v="0"/>
  </r>
  <r>
    <x v="21"/>
    <x v="3"/>
    <x v="10"/>
    <n v="20690.2"/>
    <n v="51"/>
    <x v="398"/>
    <x v="0"/>
  </r>
  <r>
    <x v="21"/>
    <x v="4"/>
    <x v="0"/>
    <n v="10150"/>
    <n v="68"/>
    <x v="39"/>
    <x v="0"/>
  </r>
  <r>
    <x v="21"/>
    <x v="4"/>
    <x v="0"/>
    <n v="11099.73"/>
    <n v="73"/>
    <x v="40"/>
    <x v="0"/>
  </r>
  <r>
    <x v="21"/>
    <x v="4"/>
    <x v="0"/>
    <n v="11491.21"/>
    <n v="71"/>
    <x v="41"/>
    <x v="0"/>
  </r>
  <r>
    <x v="21"/>
    <x v="4"/>
    <x v="17"/>
    <n v="12446"/>
    <n v="150"/>
    <x v="378"/>
    <x v="0"/>
  </r>
  <r>
    <x v="21"/>
    <x v="4"/>
    <x v="17"/>
    <n v="12643.1"/>
    <n v="150"/>
    <x v="379"/>
    <x v="0"/>
  </r>
  <r>
    <x v="21"/>
    <x v="4"/>
    <x v="17"/>
    <n v="14086.69"/>
    <n v="157"/>
    <x v="380"/>
    <x v="0"/>
  </r>
  <r>
    <x v="21"/>
    <x v="4"/>
    <x v="10"/>
    <n v="1379"/>
    <n v="70"/>
    <x v="375"/>
    <x v="0"/>
  </r>
  <r>
    <x v="21"/>
    <x v="4"/>
    <x v="10"/>
    <n v="1577.84"/>
    <n v="67"/>
    <x v="376"/>
    <x v="0"/>
  </r>
  <r>
    <x v="21"/>
    <x v="4"/>
    <x v="10"/>
    <n v="1608.04"/>
    <n v="75"/>
    <x v="377"/>
    <x v="0"/>
  </r>
  <r>
    <x v="21"/>
    <x v="4"/>
    <x v="12"/>
    <n v="4704"/>
    <n v="62"/>
    <x v="162"/>
    <x v="0"/>
  </r>
  <r>
    <x v="21"/>
    <x v="4"/>
    <x v="12"/>
    <n v="4866.3900000000003"/>
    <n v="65"/>
    <x v="163"/>
    <x v="0"/>
  </r>
  <r>
    <x v="21"/>
    <x v="4"/>
    <x v="12"/>
    <n v="5287.86"/>
    <n v="67"/>
    <x v="164"/>
    <x v="0"/>
  </r>
  <r>
    <x v="21"/>
    <x v="4"/>
    <x v="15"/>
    <n v="9345"/>
    <n v="133"/>
    <x v="240"/>
    <x v="0"/>
  </r>
  <r>
    <x v="21"/>
    <x v="4"/>
    <x v="15"/>
    <n v="9896.7999999999993"/>
    <n v="143"/>
    <x v="241"/>
    <x v="0"/>
  </r>
  <r>
    <x v="21"/>
    <x v="4"/>
    <x v="15"/>
    <n v="10001.950000000001"/>
    <n v="132"/>
    <x v="242"/>
    <x v="0"/>
  </r>
  <r>
    <x v="21"/>
    <x v="5"/>
    <x v="3"/>
    <n v="2863"/>
    <n v="58"/>
    <x v="225"/>
    <x v="0"/>
  </r>
  <r>
    <x v="21"/>
    <x v="5"/>
    <x v="3"/>
    <n v="3136.92"/>
    <n v="64"/>
    <x v="226"/>
    <x v="0"/>
  </r>
  <r>
    <x v="21"/>
    <x v="5"/>
    <x v="3"/>
    <n v="3083.39"/>
    <n v="55"/>
    <x v="227"/>
    <x v="0"/>
  </r>
  <r>
    <x v="21"/>
    <x v="5"/>
    <x v="4"/>
    <n v="8526"/>
    <n v="73"/>
    <x v="81"/>
    <x v="0"/>
  </r>
  <r>
    <x v="21"/>
    <x v="5"/>
    <x v="4"/>
    <n v="9170.09"/>
    <n v="79"/>
    <x v="82"/>
    <x v="0"/>
  </r>
  <r>
    <x v="21"/>
    <x v="5"/>
    <x v="4"/>
    <n v="9333.4500000000007"/>
    <n v="78"/>
    <x v="83"/>
    <x v="0"/>
  </r>
  <r>
    <x v="21"/>
    <x v="5"/>
    <x v="19"/>
    <n v="2604"/>
    <n v="65"/>
    <x v="60"/>
    <x v="0"/>
  </r>
  <r>
    <x v="21"/>
    <x v="5"/>
    <x v="19"/>
    <n v="2737.03"/>
    <n v="63"/>
    <x v="61"/>
    <x v="0"/>
  </r>
  <r>
    <x v="21"/>
    <x v="5"/>
    <x v="19"/>
    <n v="2756.63"/>
    <n v="66"/>
    <x v="62"/>
    <x v="0"/>
  </r>
  <r>
    <x v="21"/>
    <x v="5"/>
    <x v="12"/>
    <n v="15057"/>
    <n v="212"/>
    <x v="267"/>
    <x v="0"/>
  </r>
  <r>
    <x v="21"/>
    <x v="5"/>
    <x v="12"/>
    <n v="15844.58"/>
    <n v="232"/>
    <x v="268"/>
    <x v="0"/>
  </r>
  <r>
    <x v="21"/>
    <x v="5"/>
    <x v="12"/>
    <n v="17662.05"/>
    <n v="230"/>
    <x v="269"/>
    <x v="0"/>
  </r>
  <r>
    <x v="21"/>
    <x v="5"/>
    <x v="13"/>
    <n v="4704"/>
    <n v="126"/>
    <x v="498"/>
    <x v="0"/>
  </r>
  <r>
    <x v="21"/>
    <x v="5"/>
    <x v="13"/>
    <n v="5025.84"/>
    <n v="133"/>
    <x v="499"/>
    <x v="0"/>
  </r>
  <r>
    <x v="21"/>
    <x v="5"/>
    <x v="13"/>
    <n v="5520"/>
    <n v="120"/>
    <x v="500"/>
    <x v="0"/>
  </r>
  <r>
    <x v="22"/>
    <x v="0"/>
    <x v="1"/>
    <n v="4200"/>
    <n v="80"/>
    <x v="42"/>
    <x v="0"/>
  </r>
  <r>
    <x v="22"/>
    <x v="0"/>
    <x v="1"/>
    <n v="4444.72"/>
    <n v="77"/>
    <x v="43"/>
    <x v="0"/>
  </r>
  <r>
    <x v="22"/>
    <x v="0"/>
    <x v="1"/>
    <n v="4590"/>
    <n v="78"/>
    <x v="44"/>
    <x v="0"/>
  </r>
  <r>
    <x v="22"/>
    <x v="0"/>
    <x v="2"/>
    <n v="4466"/>
    <n v="74"/>
    <x v="393"/>
    <x v="0"/>
  </r>
  <r>
    <x v="22"/>
    <x v="0"/>
    <x v="2"/>
    <n v="5032.45"/>
    <n v="79"/>
    <x v="394"/>
    <x v="0"/>
  </r>
  <r>
    <x v="22"/>
    <x v="0"/>
    <x v="2"/>
    <n v="4928.3"/>
    <n v="71"/>
    <x v="395"/>
    <x v="0"/>
  </r>
  <r>
    <x v="22"/>
    <x v="0"/>
    <x v="4"/>
    <n v="12565"/>
    <n v="102"/>
    <x v="99"/>
    <x v="0"/>
  </r>
  <r>
    <x v="22"/>
    <x v="0"/>
    <x v="4"/>
    <n v="13288.65"/>
    <n v="112"/>
    <x v="100"/>
    <x v="0"/>
  </r>
  <r>
    <x v="22"/>
    <x v="0"/>
    <x v="4"/>
    <n v="14609.99"/>
    <n v="111"/>
    <x v="101"/>
    <x v="0"/>
  </r>
  <r>
    <x v="22"/>
    <x v="0"/>
    <x v="16"/>
    <n v="6797"/>
    <n v="252"/>
    <x v="195"/>
    <x v="0"/>
  </r>
  <r>
    <x v="22"/>
    <x v="0"/>
    <x v="16"/>
    <n v="7213.16"/>
    <n v="277"/>
    <x v="196"/>
    <x v="0"/>
  </r>
  <r>
    <x v="22"/>
    <x v="0"/>
    <x v="16"/>
    <n v="7189.76"/>
    <n v="262"/>
    <x v="197"/>
    <x v="0"/>
  </r>
  <r>
    <x v="22"/>
    <x v="0"/>
    <x v="11"/>
    <n v="3647"/>
    <n v="76"/>
    <x v="123"/>
    <x v="0"/>
  </r>
  <r>
    <x v="22"/>
    <x v="0"/>
    <x v="11"/>
    <n v="4111.42"/>
    <n v="81"/>
    <x v="124"/>
    <x v="0"/>
  </r>
  <r>
    <x v="22"/>
    <x v="0"/>
    <x v="11"/>
    <n v="4375.45"/>
    <n v="79"/>
    <x v="125"/>
    <x v="0"/>
  </r>
  <r>
    <x v="22"/>
    <x v="1"/>
    <x v="21"/>
    <n v="5873"/>
    <n v="249"/>
    <x v="24"/>
    <x v="0"/>
  </r>
  <r>
    <x v="22"/>
    <x v="1"/>
    <x v="21"/>
    <n v="5967.18"/>
    <n v="247"/>
    <x v="25"/>
    <x v="0"/>
  </r>
  <r>
    <x v="22"/>
    <x v="1"/>
    <x v="21"/>
    <n v="6841.28"/>
    <n v="237"/>
    <x v="26"/>
    <x v="0"/>
  </r>
  <r>
    <x v="22"/>
    <x v="1"/>
    <x v="4"/>
    <n v="6776"/>
    <n v="312"/>
    <x v="441"/>
    <x v="0"/>
  </r>
  <r>
    <x v="22"/>
    <x v="1"/>
    <x v="4"/>
    <n v="7588.41"/>
    <n v="342"/>
    <x v="442"/>
    <x v="0"/>
  </r>
  <r>
    <x v="22"/>
    <x v="1"/>
    <x v="4"/>
    <n v="8196.93"/>
    <n v="340"/>
    <x v="443"/>
    <x v="0"/>
  </r>
  <r>
    <x v="22"/>
    <x v="1"/>
    <x v="10"/>
    <n v="6237"/>
    <n v="88"/>
    <x v="366"/>
    <x v="0"/>
  </r>
  <r>
    <x v="22"/>
    <x v="1"/>
    <x v="10"/>
    <n v="7082.03"/>
    <n v="95"/>
    <x v="367"/>
    <x v="0"/>
  </r>
  <r>
    <x v="22"/>
    <x v="1"/>
    <x v="10"/>
    <n v="7026.54"/>
    <n v="95"/>
    <x v="368"/>
    <x v="0"/>
  </r>
  <r>
    <x v="22"/>
    <x v="1"/>
    <x v="18"/>
    <n v="609"/>
    <n v="32"/>
    <x v="381"/>
    <x v="0"/>
  </r>
  <r>
    <x v="22"/>
    <x v="1"/>
    <x v="18"/>
    <n v="679.94"/>
    <n v="34"/>
    <x v="382"/>
    <x v="0"/>
  </r>
  <r>
    <x v="22"/>
    <x v="1"/>
    <x v="18"/>
    <n v="723.37"/>
    <n v="33"/>
    <x v="383"/>
    <x v="0"/>
  </r>
  <r>
    <x v="22"/>
    <x v="1"/>
    <x v="14"/>
    <n v="8148"/>
    <n v="85"/>
    <x v="249"/>
    <x v="0"/>
  </r>
  <r>
    <x v="22"/>
    <x v="1"/>
    <x v="14"/>
    <n v="9315.64"/>
    <n v="88"/>
    <x v="250"/>
    <x v="0"/>
  </r>
  <r>
    <x v="22"/>
    <x v="1"/>
    <x v="14"/>
    <n v="9460.5"/>
    <n v="84"/>
    <x v="251"/>
    <x v="0"/>
  </r>
  <r>
    <x v="22"/>
    <x v="1"/>
    <x v="11"/>
    <n v="4032"/>
    <n v="82"/>
    <x v="315"/>
    <x v="0"/>
  </r>
  <r>
    <x v="22"/>
    <x v="1"/>
    <x v="11"/>
    <n v="4265.4799999999996"/>
    <n v="85"/>
    <x v="316"/>
    <x v="0"/>
  </r>
  <r>
    <x v="22"/>
    <x v="1"/>
    <x v="11"/>
    <n v="4790.71"/>
    <n v="86"/>
    <x v="317"/>
    <x v="0"/>
  </r>
  <r>
    <x v="22"/>
    <x v="1"/>
    <x v="12"/>
    <n v="9338"/>
    <n v="11"/>
    <x v="414"/>
    <x v="0"/>
  </r>
  <r>
    <x v="22"/>
    <x v="1"/>
    <x v="12"/>
    <n v="9902.0300000000007"/>
    <n v="12"/>
    <x v="415"/>
    <x v="0"/>
  </r>
  <r>
    <x v="22"/>
    <x v="1"/>
    <x v="12"/>
    <n v="10712.76"/>
    <n v="11"/>
    <x v="416"/>
    <x v="0"/>
  </r>
  <r>
    <x v="22"/>
    <x v="1"/>
    <x v="15"/>
    <n v="1652"/>
    <n v="186"/>
    <x v="249"/>
    <x v="0"/>
  </r>
  <r>
    <x v="22"/>
    <x v="1"/>
    <x v="15"/>
    <n v="1658.79"/>
    <n v="193"/>
    <x v="250"/>
    <x v="0"/>
  </r>
  <r>
    <x v="22"/>
    <x v="1"/>
    <x v="15"/>
    <n v="1800.27"/>
    <n v="191"/>
    <x v="251"/>
    <x v="0"/>
  </r>
  <r>
    <x v="22"/>
    <x v="1"/>
    <x v="13"/>
    <n v="5887"/>
    <n v="268"/>
    <x v="69"/>
    <x v="0"/>
  </r>
  <r>
    <x v="22"/>
    <x v="1"/>
    <x v="13"/>
    <n v="6594.09"/>
    <n v="270"/>
    <x v="70"/>
    <x v="0"/>
  </r>
  <r>
    <x v="22"/>
    <x v="1"/>
    <x v="13"/>
    <n v="6948.79"/>
    <n v="292"/>
    <x v="71"/>
    <x v="0"/>
  </r>
  <r>
    <x v="22"/>
    <x v="2"/>
    <x v="0"/>
    <n v="8337"/>
    <n v="12"/>
    <x v="354"/>
    <x v="0"/>
  </r>
  <r>
    <x v="22"/>
    <x v="2"/>
    <x v="0"/>
    <n v="8744.9500000000007"/>
    <n v="12"/>
    <x v="355"/>
    <x v="0"/>
  </r>
  <r>
    <x v="22"/>
    <x v="2"/>
    <x v="0"/>
    <n v="9976.2199999999993"/>
    <n v="12"/>
    <x v="356"/>
    <x v="0"/>
  </r>
  <r>
    <x v="22"/>
    <x v="2"/>
    <x v="8"/>
    <n v="2576"/>
    <n v="112"/>
    <x v="477"/>
    <x v="0"/>
  </r>
  <r>
    <x v="22"/>
    <x v="2"/>
    <x v="8"/>
    <n v="2690.14"/>
    <n v="117"/>
    <x v="478"/>
    <x v="0"/>
  </r>
  <r>
    <x v="22"/>
    <x v="2"/>
    <x v="8"/>
    <n v="3015.47"/>
    <n v="115"/>
    <x v="479"/>
    <x v="0"/>
  </r>
  <r>
    <x v="22"/>
    <x v="2"/>
    <x v="9"/>
    <n v="8911"/>
    <n v="543"/>
    <x v="57"/>
    <x v="0"/>
  </r>
  <r>
    <x v="22"/>
    <x v="2"/>
    <x v="9"/>
    <n v="9588.0300000000007"/>
    <n v="562"/>
    <x v="58"/>
    <x v="0"/>
  </r>
  <r>
    <x v="22"/>
    <x v="2"/>
    <x v="9"/>
    <n v="10139.68"/>
    <n v="552"/>
    <x v="59"/>
    <x v="0"/>
  </r>
  <r>
    <x v="22"/>
    <x v="2"/>
    <x v="4"/>
    <n v="4494"/>
    <n v="11"/>
    <x v="492"/>
    <x v="0"/>
  </r>
  <r>
    <x v="22"/>
    <x v="2"/>
    <x v="4"/>
    <n v="4591.1099999999997"/>
    <n v="11"/>
    <x v="493"/>
    <x v="0"/>
  </r>
  <r>
    <x v="22"/>
    <x v="2"/>
    <x v="4"/>
    <n v="4899.47"/>
    <n v="11"/>
    <x v="494"/>
    <x v="0"/>
  </r>
  <r>
    <x v="22"/>
    <x v="2"/>
    <x v="10"/>
    <n v="4382"/>
    <n v="303"/>
    <x v="345"/>
    <x v="0"/>
  </r>
  <r>
    <x v="22"/>
    <x v="2"/>
    <x v="10"/>
    <n v="4489.8100000000004"/>
    <n v="310"/>
    <x v="346"/>
    <x v="0"/>
  </r>
  <r>
    <x v="22"/>
    <x v="2"/>
    <x v="10"/>
    <n v="4985.8999999999996"/>
    <n v="311"/>
    <x v="347"/>
    <x v="0"/>
  </r>
  <r>
    <x v="22"/>
    <x v="2"/>
    <x v="14"/>
    <n v="4053"/>
    <n v="19"/>
    <x v="210"/>
    <x v="0"/>
  </r>
  <r>
    <x v="22"/>
    <x v="2"/>
    <x v="14"/>
    <n v="4154.4399999999996"/>
    <n v="18"/>
    <x v="211"/>
    <x v="0"/>
  </r>
  <r>
    <x v="22"/>
    <x v="2"/>
    <x v="14"/>
    <n v="4813.53"/>
    <n v="19"/>
    <x v="212"/>
    <x v="0"/>
  </r>
  <r>
    <x v="22"/>
    <x v="2"/>
    <x v="6"/>
    <n v="10283"/>
    <n v="21"/>
    <x v="96"/>
    <x v="0"/>
  </r>
  <r>
    <x v="22"/>
    <x v="2"/>
    <x v="6"/>
    <n v="11596.89"/>
    <n v="22"/>
    <x v="97"/>
    <x v="0"/>
  </r>
  <r>
    <x v="22"/>
    <x v="2"/>
    <x v="6"/>
    <n v="10759.18"/>
    <n v="20"/>
    <x v="98"/>
    <x v="0"/>
  </r>
  <r>
    <x v="22"/>
    <x v="2"/>
    <x v="12"/>
    <n v="5103"/>
    <n v="140"/>
    <x v="252"/>
    <x v="0"/>
  </r>
  <r>
    <x v="22"/>
    <x v="2"/>
    <x v="12"/>
    <n v="5118.1099999999997"/>
    <n v="137"/>
    <x v="253"/>
    <x v="0"/>
  </r>
  <r>
    <x v="22"/>
    <x v="2"/>
    <x v="12"/>
    <n v="6014.3"/>
    <n v="141"/>
    <x v="254"/>
    <x v="0"/>
  </r>
  <r>
    <x v="22"/>
    <x v="2"/>
    <x v="15"/>
    <n v="10647"/>
    <n v="173"/>
    <x v="459"/>
    <x v="0"/>
  </r>
  <r>
    <x v="22"/>
    <x v="2"/>
    <x v="15"/>
    <n v="11370.32"/>
    <n v="170"/>
    <x v="460"/>
    <x v="0"/>
  </r>
  <r>
    <x v="22"/>
    <x v="2"/>
    <x v="15"/>
    <n v="12049.05"/>
    <n v="180"/>
    <x v="461"/>
    <x v="0"/>
  </r>
  <r>
    <x v="22"/>
    <x v="3"/>
    <x v="0"/>
    <n v="4312"/>
    <n v="211"/>
    <x v="276"/>
    <x v="0"/>
  </r>
  <r>
    <x v="22"/>
    <x v="3"/>
    <x v="0"/>
    <n v="4641.29"/>
    <n v="220"/>
    <x v="277"/>
    <x v="0"/>
  </r>
  <r>
    <x v="22"/>
    <x v="3"/>
    <x v="0"/>
    <n v="4624.45"/>
    <n v="212"/>
    <x v="278"/>
    <x v="0"/>
  </r>
  <r>
    <x v="22"/>
    <x v="3"/>
    <x v="1"/>
    <n v="4844"/>
    <n v="275"/>
    <x v="189"/>
    <x v="0"/>
  </r>
  <r>
    <x v="22"/>
    <x v="3"/>
    <x v="1"/>
    <n v="5096.21"/>
    <n v="284"/>
    <x v="190"/>
    <x v="0"/>
  </r>
  <r>
    <x v="22"/>
    <x v="3"/>
    <x v="1"/>
    <n v="5220.8"/>
    <n v="267"/>
    <x v="191"/>
    <x v="0"/>
  </r>
  <r>
    <x v="22"/>
    <x v="3"/>
    <x v="17"/>
    <n v="7483"/>
    <n v="183"/>
    <x v="132"/>
    <x v="0"/>
  </r>
  <r>
    <x v="22"/>
    <x v="3"/>
    <x v="17"/>
    <n v="8610.3799999999992"/>
    <n v="188"/>
    <x v="133"/>
    <x v="0"/>
  </r>
  <r>
    <x v="22"/>
    <x v="3"/>
    <x v="17"/>
    <n v="8905.5300000000007"/>
    <n v="201"/>
    <x v="134"/>
    <x v="0"/>
  </r>
  <r>
    <x v="22"/>
    <x v="3"/>
    <x v="8"/>
    <n v="8001"/>
    <n v="10"/>
    <x v="204"/>
    <x v="0"/>
  </r>
  <r>
    <x v="22"/>
    <x v="3"/>
    <x v="8"/>
    <n v="8766.4500000000007"/>
    <n v="10"/>
    <x v="205"/>
    <x v="0"/>
  </r>
  <r>
    <x v="22"/>
    <x v="3"/>
    <x v="8"/>
    <n v="9317.33"/>
    <n v="11"/>
    <x v="206"/>
    <x v="0"/>
  </r>
  <r>
    <x v="22"/>
    <x v="3"/>
    <x v="2"/>
    <n v="2723"/>
    <n v="67"/>
    <x v="165"/>
    <x v="0"/>
  </r>
  <r>
    <x v="22"/>
    <x v="3"/>
    <x v="2"/>
    <n v="2721.46"/>
    <n v="72"/>
    <x v="166"/>
    <x v="0"/>
  </r>
  <r>
    <x v="22"/>
    <x v="3"/>
    <x v="2"/>
    <n v="2930.46"/>
    <n v="70"/>
    <x v="167"/>
    <x v="0"/>
  </r>
  <r>
    <x v="22"/>
    <x v="3"/>
    <x v="3"/>
    <n v="5313"/>
    <n v="215"/>
    <x v="297"/>
    <x v="0"/>
  </r>
  <r>
    <x v="22"/>
    <x v="3"/>
    <x v="3"/>
    <n v="5912.59"/>
    <n v="232"/>
    <x v="298"/>
    <x v="0"/>
  </r>
  <r>
    <x v="22"/>
    <x v="3"/>
    <x v="3"/>
    <n v="5954.47"/>
    <n v="236"/>
    <x v="299"/>
    <x v="0"/>
  </r>
  <r>
    <x v="22"/>
    <x v="3"/>
    <x v="18"/>
    <n v="5446"/>
    <n v="116"/>
    <x v="66"/>
    <x v="0"/>
  </r>
  <r>
    <x v="22"/>
    <x v="3"/>
    <x v="18"/>
    <n v="5857.9"/>
    <n v="111"/>
    <x v="67"/>
    <x v="0"/>
  </r>
  <r>
    <x v="22"/>
    <x v="3"/>
    <x v="18"/>
    <n v="6250.42"/>
    <n v="111"/>
    <x v="68"/>
    <x v="0"/>
  </r>
  <r>
    <x v="22"/>
    <x v="3"/>
    <x v="14"/>
    <n v="49"/>
    <n v="97"/>
    <x v="405"/>
    <x v="1"/>
  </r>
  <r>
    <x v="22"/>
    <x v="3"/>
    <x v="14"/>
    <n v="51.29"/>
    <n v="100"/>
    <x v="406"/>
    <x v="1"/>
  </r>
  <r>
    <x v="22"/>
    <x v="3"/>
    <x v="14"/>
    <n v="51.98"/>
    <n v="95"/>
    <x v="407"/>
    <x v="1"/>
  </r>
  <r>
    <x v="22"/>
    <x v="4"/>
    <x v="7"/>
    <n v="1421"/>
    <n v="284"/>
    <x v="246"/>
    <x v="0"/>
  </r>
  <r>
    <x v="22"/>
    <x v="4"/>
    <x v="7"/>
    <n v="1606.49"/>
    <n v="305"/>
    <x v="247"/>
    <x v="0"/>
  </r>
  <r>
    <x v="22"/>
    <x v="4"/>
    <x v="7"/>
    <n v="1649.57"/>
    <n v="293"/>
    <x v="248"/>
    <x v="0"/>
  </r>
  <r>
    <x v="22"/>
    <x v="4"/>
    <x v="3"/>
    <n v="14028"/>
    <n v="351"/>
    <x v="339"/>
    <x v="0"/>
  </r>
  <r>
    <x v="22"/>
    <x v="4"/>
    <x v="3"/>
    <n v="15925.17"/>
    <n v="378"/>
    <x v="340"/>
    <x v="0"/>
  </r>
  <r>
    <x v="22"/>
    <x v="4"/>
    <x v="3"/>
    <n v="16517.2"/>
    <n v="349"/>
    <x v="341"/>
    <x v="0"/>
  </r>
  <r>
    <x v="22"/>
    <x v="4"/>
    <x v="6"/>
    <n v="5691"/>
    <n v="171"/>
    <x v="372"/>
    <x v="0"/>
  </r>
  <r>
    <x v="22"/>
    <x v="4"/>
    <x v="6"/>
    <n v="6052.07"/>
    <n v="173"/>
    <x v="373"/>
    <x v="0"/>
  </r>
  <r>
    <x v="22"/>
    <x v="4"/>
    <x v="6"/>
    <n v="6770.35"/>
    <n v="173"/>
    <x v="374"/>
    <x v="0"/>
  </r>
  <r>
    <x v="22"/>
    <x v="4"/>
    <x v="20"/>
    <n v="12635"/>
    <n v="194"/>
    <x v="147"/>
    <x v="0"/>
  </r>
  <r>
    <x v="22"/>
    <x v="4"/>
    <x v="20"/>
    <n v="13351.42"/>
    <n v="198"/>
    <x v="148"/>
    <x v="0"/>
  </r>
  <r>
    <x v="22"/>
    <x v="4"/>
    <x v="20"/>
    <n v="14297.82"/>
    <n v="211"/>
    <x v="149"/>
    <x v="0"/>
  </r>
  <r>
    <x v="22"/>
    <x v="5"/>
    <x v="0"/>
    <n v="10458"/>
    <n v="316"/>
    <x v="96"/>
    <x v="0"/>
  </r>
  <r>
    <x v="22"/>
    <x v="5"/>
    <x v="0"/>
    <n v="10849.39"/>
    <n v="330"/>
    <x v="97"/>
    <x v="0"/>
  </r>
  <r>
    <x v="22"/>
    <x v="5"/>
    <x v="0"/>
    <n v="11667.94"/>
    <n v="306"/>
    <x v="98"/>
    <x v="0"/>
  </r>
  <r>
    <x v="22"/>
    <x v="5"/>
    <x v="4"/>
    <n v="3003"/>
    <n v="155"/>
    <x v="174"/>
    <x v="0"/>
  </r>
  <r>
    <x v="22"/>
    <x v="5"/>
    <x v="4"/>
    <n v="3288.77"/>
    <n v="148"/>
    <x v="175"/>
    <x v="0"/>
  </r>
  <r>
    <x v="22"/>
    <x v="5"/>
    <x v="4"/>
    <n v="3389"/>
    <n v="160"/>
    <x v="176"/>
    <x v="0"/>
  </r>
  <r>
    <x v="22"/>
    <x v="5"/>
    <x v="10"/>
    <n v="3990"/>
    <n v="155"/>
    <x v="6"/>
    <x v="0"/>
  </r>
  <r>
    <x v="22"/>
    <x v="5"/>
    <x v="10"/>
    <n v="4164.1000000000004"/>
    <n v="167"/>
    <x v="7"/>
    <x v="0"/>
  </r>
  <r>
    <x v="22"/>
    <x v="5"/>
    <x v="10"/>
    <n v="4812.71"/>
    <n v="169"/>
    <x v="8"/>
    <x v="0"/>
  </r>
  <r>
    <x v="22"/>
    <x v="5"/>
    <x v="19"/>
    <n v="5509"/>
    <n v="24"/>
    <x v="75"/>
    <x v="0"/>
  </r>
  <r>
    <x v="22"/>
    <x v="5"/>
    <x v="19"/>
    <n v="6082.19"/>
    <n v="23"/>
    <x v="76"/>
    <x v="0"/>
  </r>
  <r>
    <x v="22"/>
    <x v="5"/>
    <x v="19"/>
    <n v="6322.14"/>
    <n v="26"/>
    <x v="77"/>
    <x v="0"/>
  </r>
  <r>
    <x v="22"/>
    <x v="5"/>
    <x v="5"/>
    <n v="9583"/>
    <n v="315"/>
    <x v="447"/>
    <x v="0"/>
  </r>
  <r>
    <x v="22"/>
    <x v="5"/>
    <x v="5"/>
    <n v="10959.02"/>
    <n v="302"/>
    <x v="448"/>
    <x v="0"/>
  </r>
  <r>
    <x v="22"/>
    <x v="5"/>
    <x v="5"/>
    <n v="10245"/>
    <n v="329"/>
    <x v="449"/>
    <x v="0"/>
  </r>
  <r>
    <x v="22"/>
    <x v="5"/>
    <x v="18"/>
    <n v="2807"/>
    <n v="252"/>
    <x v="54"/>
    <x v="0"/>
  </r>
  <r>
    <x v="22"/>
    <x v="5"/>
    <x v="18"/>
    <n v="3105.38"/>
    <n v="268"/>
    <x v="55"/>
    <x v="0"/>
  </r>
  <r>
    <x v="22"/>
    <x v="5"/>
    <x v="18"/>
    <n v="3034.06"/>
    <n v="245"/>
    <x v="56"/>
    <x v="0"/>
  </r>
  <r>
    <x v="22"/>
    <x v="5"/>
    <x v="6"/>
    <n v="1736"/>
    <n v="137"/>
    <x v="291"/>
    <x v="0"/>
  </r>
  <r>
    <x v="22"/>
    <x v="5"/>
    <x v="6"/>
    <n v="1733.09"/>
    <n v="135"/>
    <x v="292"/>
    <x v="0"/>
  </r>
  <r>
    <x v="22"/>
    <x v="5"/>
    <x v="6"/>
    <n v="2010.22"/>
    <n v="144"/>
    <x v="293"/>
    <x v="0"/>
  </r>
  <r>
    <x v="22"/>
    <x v="5"/>
    <x v="12"/>
    <n v="3017"/>
    <n v="140"/>
    <x v="69"/>
    <x v="0"/>
  </r>
  <r>
    <x v="22"/>
    <x v="5"/>
    <x v="12"/>
    <n v="3041.12"/>
    <n v="148"/>
    <x v="70"/>
    <x v="0"/>
  </r>
  <r>
    <x v="22"/>
    <x v="5"/>
    <x v="12"/>
    <n v="3175.11"/>
    <n v="149"/>
    <x v="71"/>
    <x v="0"/>
  </r>
  <r>
    <x v="23"/>
    <x v="0"/>
    <x v="0"/>
    <n v="644"/>
    <n v="137"/>
    <x v="381"/>
    <x v="0"/>
  </r>
  <r>
    <x v="23"/>
    <x v="0"/>
    <x v="0"/>
    <n v="726.04"/>
    <n v="131"/>
    <x v="382"/>
    <x v="0"/>
  </r>
  <r>
    <x v="23"/>
    <x v="0"/>
    <x v="0"/>
    <n v="779.04"/>
    <n v="134"/>
    <x v="383"/>
    <x v="0"/>
  </r>
  <r>
    <x v="23"/>
    <x v="0"/>
    <x v="7"/>
    <n v="7063"/>
    <n v="104"/>
    <x v="315"/>
    <x v="0"/>
  </r>
  <r>
    <x v="23"/>
    <x v="0"/>
    <x v="7"/>
    <n v="8111.43"/>
    <n v="111"/>
    <x v="316"/>
    <x v="0"/>
  </r>
  <r>
    <x v="23"/>
    <x v="0"/>
    <x v="7"/>
    <n v="8260.58"/>
    <n v="108"/>
    <x v="317"/>
    <x v="0"/>
  </r>
  <r>
    <x v="23"/>
    <x v="0"/>
    <x v="17"/>
    <n v="112"/>
    <n v="128"/>
    <x v="51"/>
    <x v="0"/>
  </r>
  <r>
    <x v="23"/>
    <x v="0"/>
    <x v="17"/>
    <n v="114.96"/>
    <n v="132"/>
    <x v="52"/>
    <x v="0"/>
  </r>
  <r>
    <x v="23"/>
    <x v="0"/>
    <x v="17"/>
    <n v="125.37"/>
    <n v="138"/>
    <x v="53"/>
    <x v="0"/>
  </r>
  <r>
    <x v="23"/>
    <x v="0"/>
    <x v="3"/>
    <n v="13258"/>
    <n v="32"/>
    <x v="24"/>
    <x v="0"/>
  </r>
  <r>
    <x v="23"/>
    <x v="0"/>
    <x v="3"/>
    <n v="13624.31"/>
    <n v="33"/>
    <x v="25"/>
    <x v="0"/>
  </r>
  <r>
    <x v="23"/>
    <x v="0"/>
    <x v="3"/>
    <n v="14122.44"/>
    <n v="32"/>
    <x v="26"/>
    <x v="0"/>
  </r>
  <r>
    <x v="23"/>
    <x v="0"/>
    <x v="9"/>
    <n v="5936"/>
    <n v="59"/>
    <x v="441"/>
    <x v="0"/>
  </r>
  <r>
    <x v="23"/>
    <x v="0"/>
    <x v="9"/>
    <n v="6584.26"/>
    <n v="62"/>
    <x v="442"/>
    <x v="0"/>
  </r>
  <r>
    <x v="23"/>
    <x v="0"/>
    <x v="9"/>
    <n v="6898.94"/>
    <n v="58"/>
    <x v="443"/>
    <x v="0"/>
  </r>
  <r>
    <x v="23"/>
    <x v="0"/>
    <x v="18"/>
    <n v="7910"/>
    <n v="87"/>
    <x v="81"/>
    <x v="0"/>
  </r>
  <r>
    <x v="23"/>
    <x v="0"/>
    <x v="18"/>
    <n v="8895.7000000000007"/>
    <n v="91"/>
    <x v="82"/>
    <x v="0"/>
  </r>
  <r>
    <x v="23"/>
    <x v="0"/>
    <x v="18"/>
    <n v="9471.51"/>
    <n v="95"/>
    <x v="83"/>
    <x v="0"/>
  </r>
  <r>
    <x v="23"/>
    <x v="0"/>
    <x v="16"/>
    <n v="2674"/>
    <n v="295"/>
    <x v="162"/>
    <x v="0"/>
  </r>
  <r>
    <x v="23"/>
    <x v="0"/>
    <x v="16"/>
    <n v="2686.51"/>
    <n v="324"/>
    <x v="163"/>
    <x v="0"/>
  </r>
  <r>
    <x v="23"/>
    <x v="0"/>
    <x v="16"/>
    <n v="2924.06"/>
    <n v="295"/>
    <x v="164"/>
    <x v="0"/>
  </r>
  <r>
    <x v="23"/>
    <x v="0"/>
    <x v="11"/>
    <n v="19453"/>
    <n v="14"/>
    <x v="252"/>
    <x v="0"/>
  </r>
  <r>
    <x v="23"/>
    <x v="0"/>
    <x v="11"/>
    <n v="21762.799999999999"/>
    <n v="15"/>
    <x v="253"/>
    <x v="0"/>
  </r>
  <r>
    <x v="23"/>
    <x v="0"/>
    <x v="11"/>
    <n v="22943.37"/>
    <n v="14"/>
    <x v="254"/>
    <x v="0"/>
  </r>
  <r>
    <x v="23"/>
    <x v="1"/>
    <x v="0"/>
    <n v="13685"/>
    <n v="58"/>
    <x v="99"/>
    <x v="0"/>
  </r>
  <r>
    <x v="23"/>
    <x v="1"/>
    <x v="0"/>
    <n v="15567.58"/>
    <n v="57"/>
    <x v="100"/>
    <x v="0"/>
  </r>
  <r>
    <x v="23"/>
    <x v="1"/>
    <x v="0"/>
    <n v="14581.33"/>
    <n v="58"/>
    <x v="101"/>
    <x v="0"/>
  </r>
  <r>
    <x v="23"/>
    <x v="1"/>
    <x v="7"/>
    <n v="7077"/>
    <n v="77"/>
    <x v="0"/>
    <x v="0"/>
  </r>
  <r>
    <x v="23"/>
    <x v="1"/>
    <x v="7"/>
    <n v="7911.23"/>
    <n v="74"/>
    <x v="1"/>
    <x v="0"/>
  </r>
  <r>
    <x v="23"/>
    <x v="1"/>
    <x v="7"/>
    <n v="7731.47"/>
    <n v="77"/>
    <x v="2"/>
    <x v="0"/>
  </r>
  <r>
    <x v="23"/>
    <x v="1"/>
    <x v="2"/>
    <n v="3213"/>
    <n v="72"/>
    <x v="210"/>
    <x v="0"/>
  </r>
  <r>
    <x v="23"/>
    <x v="1"/>
    <x v="2"/>
    <n v="3424.66"/>
    <n v="70"/>
    <x v="211"/>
    <x v="0"/>
  </r>
  <r>
    <x v="23"/>
    <x v="1"/>
    <x v="2"/>
    <n v="3631.78"/>
    <n v="71"/>
    <x v="212"/>
    <x v="0"/>
  </r>
  <r>
    <x v="23"/>
    <x v="1"/>
    <x v="21"/>
    <n v="2282"/>
    <n v="296"/>
    <x v="273"/>
    <x v="0"/>
  </r>
  <r>
    <x v="23"/>
    <x v="1"/>
    <x v="21"/>
    <n v="2556.96"/>
    <n v="312"/>
    <x v="274"/>
    <x v="0"/>
  </r>
  <r>
    <x v="23"/>
    <x v="1"/>
    <x v="21"/>
    <n v="2727.35"/>
    <n v="293"/>
    <x v="275"/>
    <x v="0"/>
  </r>
  <r>
    <x v="23"/>
    <x v="1"/>
    <x v="4"/>
    <n v="4900"/>
    <n v="709"/>
    <x v="300"/>
    <x v="0"/>
  </r>
  <r>
    <x v="23"/>
    <x v="1"/>
    <x v="4"/>
    <n v="4919.25"/>
    <n v="746"/>
    <x v="301"/>
    <x v="0"/>
  </r>
  <r>
    <x v="23"/>
    <x v="1"/>
    <x v="4"/>
    <n v="5294.88"/>
    <n v="679"/>
    <x v="302"/>
    <x v="0"/>
  </r>
  <r>
    <x v="23"/>
    <x v="1"/>
    <x v="5"/>
    <n v="8617"/>
    <n v="46"/>
    <x v="171"/>
    <x v="0"/>
  </r>
  <r>
    <x v="23"/>
    <x v="1"/>
    <x v="5"/>
    <n v="8962.9599999999991"/>
    <n v="48"/>
    <x v="172"/>
    <x v="0"/>
  </r>
  <r>
    <x v="23"/>
    <x v="1"/>
    <x v="5"/>
    <n v="9426.56"/>
    <n v="49"/>
    <x v="173"/>
    <x v="0"/>
  </r>
  <r>
    <x v="23"/>
    <x v="1"/>
    <x v="11"/>
    <n v="4067"/>
    <n v="42"/>
    <x v="45"/>
    <x v="0"/>
  </r>
  <r>
    <x v="23"/>
    <x v="1"/>
    <x v="11"/>
    <n v="4561.43"/>
    <n v="44"/>
    <x v="46"/>
    <x v="0"/>
  </r>
  <r>
    <x v="23"/>
    <x v="1"/>
    <x v="11"/>
    <n v="4864.83"/>
    <n v="42"/>
    <x v="47"/>
    <x v="0"/>
  </r>
  <r>
    <x v="23"/>
    <x v="1"/>
    <x v="6"/>
    <n v="6342"/>
    <n v="282"/>
    <x v="393"/>
    <x v="0"/>
  </r>
  <r>
    <x v="23"/>
    <x v="1"/>
    <x v="6"/>
    <n v="7147.04"/>
    <n v="300"/>
    <x v="394"/>
    <x v="0"/>
  </r>
  <r>
    <x v="23"/>
    <x v="1"/>
    <x v="6"/>
    <n v="7527.84"/>
    <n v="306"/>
    <x v="395"/>
    <x v="0"/>
  </r>
  <r>
    <x v="23"/>
    <x v="1"/>
    <x v="20"/>
    <n v="1267"/>
    <n v="130"/>
    <x v="318"/>
    <x v="0"/>
  </r>
  <r>
    <x v="23"/>
    <x v="1"/>
    <x v="20"/>
    <n v="1264.25"/>
    <n v="137"/>
    <x v="319"/>
    <x v="0"/>
  </r>
  <r>
    <x v="23"/>
    <x v="1"/>
    <x v="20"/>
    <n v="1497.58"/>
    <n v="132"/>
    <x v="320"/>
    <x v="0"/>
  </r>
  <r>
    <x v="23"/>
    <x v="1"/>
    <x v="13"/>
    <n v="420"/>
    <n v="3"/>
    <x v="459"/>
    <x v="0"/>
  </r>
  <r>
    <x v="23"/>
    <x v="1"/>
    <x v="13"/>
    <n v="481.52"/>
    <n v="3"/>
    <x v="460"/>
    <x v="0"/>
  </r>
  <r>
    <x v="23"/>
    <x v="1"/>
    <x v="13"/>
    <n v="468.09"/>
    <n v="3"/>
    <x v="461"/>
    <x v="0"/>
  </r>
  <r>
    <x v="23"/>
    <x v="2"/>
    <x v="0"/>
    <n v="5103"/>
    <n v="129"/>
    <x v="285"/>
    <x v="0"/>
  </r>
  <r>
    <x v="23"/>
    <x v="2"/>
    <x v="0"/>
    <n v="5825.09"/>
    <n v="123"/>
    <x v="286"/>
    <x v="0"/>
  </r>
  <r>
    <x v="23"/>
    <x v="2"/>
    <x v="0"/>
    <n v="5591.29"/>
    <n v="132"/>
    <x v="287"/>
    <x v="0"/>
  </r>
  <r>
    <x v="23"/>
    <x v="2"/>
    <x v="1"/>
    <n v="7896"/>
    <n v="94"/>
    <x v="309"/>
    <x v="0"/>
  </r>
  <r>
    <x v="23"/>
    <x v="2"/>
    <x v="1"/>
    <n v="8074.39"/>
    <n v="100"/>
    <x v="310"/>
    <x v="0"/>
  </r>
  <r>
    <x v="23"/>
    <x v="2"/>
    <x v="1"/>
    <n v="9005.8700000000008"/>
    <n v="90"/>
    <x v="311"/>
    <x v="0"/>
  </r>
  <r>
    <x v="23"/>
    <x v="2"/>
    <x v="8"/>
    <n v="13706"/>
    <n v="207"/>
    <x v="210"/>
    <x v="0"/>
  </r>
  <r>
    <x v="23"/>
    <x v="2"/>
    <x v="8"/>
    <n v="15021.98"/>
    <n v="211"/>
    <x v="211"/>
    <x v="0"/>
  </r>
  <r>
    <x v="23"/>
    <x v="2"/>
    <x v="8"/>
    <n v="15626.93"/>
    <n v="225"/>
    <x v="212"/>
    <x v="0"/>
  </r>
  <r>
    <x v="23"/>
    <x v="2"/>
    <x v="2"/>
    <n v="6426"/>
    <n v="390"/>
    <x v="75"/>
    <x v="0"/>
  </r>
  <r>
    <x v="23"/>
    <x v="2"/>
    <x v="2"/>
    <n v="7247.29"/>
    <n v="402"/>
    <x v="76"/>
    <x v="0"/>
  </r>
  <r>
    <x v="23"/>
    <x v="2"/>
    <x v="2"/>
    <n v="7455.17"/>
    <n v="383"/>
    <x v="77"/>
    <x v="0"/>
  </r>
  <r>
    <x v="23"/>
    <x v="2"/>
    <x v="3"/>
    <n v="3052"/>
    <n v="447"/>
    <x v="81"/>
    <x v="0"/>
  </r>
  <r>
    <x v="23"/>
    <x v="2"/>
    <x v="3"/>
    <n v="3133.42"/>
    <n v="479"/>
    <x v="82"/>
    <x v="0"/>
  </r>
  <r>
    <x v="23"/>
    <x v="2"/>
    <x v="3"/>
    <n v="3566.77"/>
    <n v="426"/>
    <x v="83"/>
    <x v="0"/>
  </r>
  <r>
    <x v="23"/>
    <x v="2"/>
    <x v="21"/>
    <n v="5733"/>
    <n v="114"/>
    <x v="282"/>
    <x v="0"/>
  </r>
  <r>
    <x v="23"/>
    <x v="2"/>
    <x v="21"/>
    <n v="5799.3"/>
    <n v="125"/>
    <x v="283"/>
    <x v="0"/>
  </r>
  <r>
    <x v="23"/>
    <x v="2"/>
    <x v="21"/>
    <n v="6833.86"/>
    <n v="115"/>
    <x v="284"/>
    <x v="0"/>
  </r>
  <r>
    <x v="23"/>
    <x v="2"/>
    <x v="10"/>
    <n v="10500"/>
    <n v="106"/>
    <x v="33"/>
    <x v="0"/>
  </r>
  <r>
    <x v="23"/>
    <x v="2"/>
    <x v="10"/>
    <n v="11861.89"/>
    <n v="105"/>
    <x v="34"/>
    <x v="0"/>
  </r>
  <r>
    <x v="23"/>
    <x v="2"/>
    <x v="10"/>
    <n v="11064.27"/>
    <n v="104"/>
    <x v="35"/>
    <x v="0"/>
  </r>
  <r>
    <x v="23"/>
    <x v="2"/>
    <x v="11"/>
    <n v="19929"/>
    <n v="174"/>
    <x v="54"/>
    <x v="0"/>
  </r>
  <r>
    <x v="23"/>
    <x v="2"/>
    <x v="11"/>
    <n v="22751.18"/>
    <n v="182"/>
    <x v="55"/>
    <x v="0"/>
  </r>
  <r>
    <x v="23"/>
    <x v="2"/>
    <x v="11"/>
    <n v="22701.85"/>
    <n v="168"/>
    <x v="56"/>
    <x v="0"/>
  </r>
  <r>
    <x v="23"/>
    <x v="2"/>
    <x v="12"/>
    <n v="5376"/>
    <n v="38"/>
    <x v="270"/>
    <x v="0"/>
  </r>
  <r>
    <x v="23"/>
    <x v="2"/>
    <x v="12"/>
    <n v="5768.75"/>
    <n v="37"/>
    <x v="271"/>
    <x v="0"/>
  </r>
  <r>
    <x v="23"/>
    <x v="2"/>
    <x v="12"/>
    <n v="6429.35"/>
    <n v="40"/>
    <x v="272"/>
    <x v="0"/>
  </r>
  <r>
    <x v="23"/>
    <x v="2"/>
    <x v="15"/>
    <n v="6167"/>
    <n v="4"/>
    <x v="501"/>
    <x v="0"/>
  </r>
  <r>
    <x v="23"/>
    <x v="2"/>
    <x v="15"/>
    <n v="6874.06"/>
    <n v="4"/>
    <x v="502"/>
    <x v="0"/>
  </r>
  <r>
    <x v="23"/>
    <x v="2"/>
    <x v="15"/>
    <n v="6811.55"/>
    <n v="4"/>
    <x v="503"/>
    <x v="0"/>
  </r>
  <r>
    <x v="23"/>
    <x v="2"/>
    <x v="13"/>
    <n v="1897"/>
    <n v="44"/>
    <x v="387"/>
    <x v="0"/>
  </r>
  <r>
    <x v="23"/>
    <x v="2"/>
    <x v="13"/>
    <n v="2183.6799999999998"/>
    <n v="46"/>
    <x v="388"/>
    <x v="0"/>
  </r>
  <r>
    <x v="23"/>
    <x v="2"/>
    <x v="13"/>
    <n v="2119.42"/>
    <n v="46"/>
    <x v="389"/>
    <x v="0"/>
  </r>
  <r>
    <x v="23"/>
    <x v="3"/>
    <x v="0"/>
    <n v="3626"/>
    <n v="10"/>
    <x v="306"/>
    <x v="0"/>
  </r>
  <r>
    <x v="23"/>
    <x v="3"/>
    <x v="0"/>
    <n v="4162.28"/>
    <n v="11"/>
    <x v="307"/>
    <x v="0"/>
  </r>
  <r>
    <x v="23"/>
    <x v="3"/>
    <x v="0"/>
    <n v="4332.41"/>
    <n v="10"/>
    <x v="308"/>
    <x v="0"/>
  </r>
  <r>
    <x v="23"/>
    <x v="3"/>
    <x v="1"/>
    <n v="1722"/>
    <n v="121"/>
    <x v="156"/>
    <x v="0"/>
  </r>
  <r>
    <x v="23"/>
    <x v="3"/>
    <x v="1"/>
    <n v="1838.78"/>
    <n v="121"/>
    <x v="157"/>
    <x v="0"/>
  </r>
  <r>
    <x v="23"/>
    <x v="3"/>
    <x v="1"/>
    <n v="2006.71"/>
    <n v="124"/>
    <x v="158"/>
    <x v="0"/>
  </r>
  <r>
    <x v="23"/>
    <x v="3"/>
    <x v="3"/>
    <n v="9660"/>
    <n v="24"/>
    <x v="459"/>
    <x v="0"/>
  </r>
  <r>
    <x v="23"/>
    <x v="3"/>
    <x v="3"/>
    <n v="9828.94"/>
    <n v="24"/>
    <x v="460"/>
    <x v="0"/>
  </r>
  <r>
    <x v="23"/>
    <x v="3"/>
    <x v="3"/>
    <n v="10197.43"/>
    <n v="24"/>
    <x v="461"/>
    <x v="0"/>
  </r>
  <r>
    <x v="23"/>
    <x v="3"/>
    <x v="10"/>
    <n v="5229"/>
    <n v="182"/>
    <x v="399"/>
    <x v="0"/>
  </r>
  <r>
    <x v="23"/>
    <x v="3"/>
    <x v="10"/>
    <n v="5747.66"/>
    <n v="176"/>
    <x v="400"/>
    <x v="0"/>
  </r>
  <r>
    <x v="23"/>
    <x v="3"/>
    <x v="10"/>
    <n v="5774.6"/>
    <n v="178"/>
    <x v="401"/>
    <x v="0"/>
  </r>
  <r>
    <x v="23"/>
    <x v="3"/>
    <x v="19"/>
    <n v="2996"/>
    <n v="88"/>
    <x v="51"/>
    <x v="0"/>
  </r>
  <r>
    <x v="23"/>
    <x v="3"/>
    <x v="19"/>
    <n v="3184.03"/>
    <n v="85"/>
    <x v="52"/>
    <x v="0"/>
  </r>
  <r>
    <x v="23"/>
    <x v="3"/>
    <x v="19"/>
    <n v="3400.47"/>
    <n v="92"/>
    <x v="53"/>
    <x v="0"/>
  </r>
  <r>
    <x v="23"/>
    <x v="3"/>
    <x v="16"/>
    <n v="4046"/>
    <n v="103"/>
    <x v="210"/>
    <x v="0"/>
  </r>
  <r>
    <x v="23"/>
    <x v="3"/>
    <x v="16"/>
    <n v="4351.3100000000004"/>
    <n v="103"/>
    <x v="211"/>
    <x v="0"/>
  </r>
  <r>
    <x v="23"/>
    <x v="3"/>
    <x v="16"/>
    <n v="4486.37"/>
    <n v="104"/>
    <x v="212"/>
    <x v="0"/>
  </r>
  <r>
    <x v="23"/>
    <x v="3"/>
    <x v="12"/>
    <n v="3115"/>
    <n v="42"/>
    <x v="75"/>
    <x v="0"/>
  </r>
  <r>
    <x v="23"/>
    <x v="3"/>
    <x v="12"/>
    <n v="3112.3"/>
    <n v="41"/>
    <x v="76"/>
    <x v="0"/>
  </r>
  <r>
    <x v="23"/>
    <x v="3"/>
    <x v="12"/>
    <n v="3608.83"/>
    <n v="46"/>
    <x v="77"/>
    <x v="0"/>
  </r>
  <r>
    <x v="23"/>
    <x v="4"/>
    <x v="1"/>
    <n v="3577"/>
    <n v="134"/>
    <x v="306"/>
    <x v="0"/>
  </r>
  <r>
    <x v="23"/>
    <x v="4"/>
    <x v="1"/>
    <n v="4029.28"/>
    <n v="128"/>
    <x v="307"/>
    <x v="0"/>
  </r>
  <r>
    <x v="23"/>
    <x v="4"/>
    <x v="1"/>
    <n v="4179.91"/>
    <n v="140"/>
    <x v="308"/>
    <x v="0"/>
  </r>
  <r>
    <x v="23"/>
    <x v="4"/>
    <x v="17"/>
    <n v="4725"/>
    <n v="137"/>
    <x v="48"/>
    <x v="0"/>
  </r>
  <r>
    <x v="23"/>
    <x v="4"/>
    <x v="17"/>
    <n v="4993.21"/>
    <n v="145"/>
    <x v="49"/>
    <x v="0"/>
  </r>
  <r>
    <x v="23"/>
    <x v="4"/>
    <x v="17"/>
    <n v="5283.91"/>
    <n v="136"/>
    <x v="50"/>
    <x v="0"/>
  </r>
  <r>
    <x v="23"/>
    <x v="4"/>
    <x v="2"/>
    <n v="10689"/>
    <n v="204"/>
    <x v="270"/>
    <x v="0"/>
  </r>
  <r>
    <x v="23"/>
    <x v="4"/>
    <x v="2"/>
    <n v="11258.39"/>
    <n v="217"/>
    <x v="271"/>
    <x v="0"/>
  </r>
  <r>
    <x v="23"/>
    <x v="4"/>
    <x v="2"/>
    <n v="12123.84"/>
    <n v="222"/>
    <x v="272"/>
    <x v="0"/>
  </r>
  <r>
    <x v="23"/>
    <x v="4"/>
    <x v="3"/>
    <n v="2443"/>
    <n v="20"/>
    <x v="246"/>
    <x v="0"/>
  </r>
  <r>
    <x v="23"/>
    <x v="4"/>
    <x v="3"/>
    <n v="2678.37"/>
    <n v="20"/>
    <x v="247"/>
    <x v="0"/>
  </r>
  <r>
    <x v="23"/>
    <x v="4"/>
    <x v="3"/>
    <n v="2794.33"/>
    <n v="21"/>
    <x v="248"/>
    <x v="0"/>
  </r>
  <r>
    <x v="23"/>
    <x v="4"/>
    <x v="4"/>
    <n v="5803"/>
    <n v="136"/>
    <x v="339"/>
    <x v="0"/>
  </r>
  <r>
    <x v="23"/>
    <x v="4"/>
    <x v="4"/>
    <n v="6388.95"/>
    <n v="131"/>
    <x v="340"/>
    <x v="0"/>
  </r>
  <r>
    <x v="23"/>
    <x v="4"/>
    <x v="4"/>
    <n v="6397.05"/>
    <n v="136"/>
    <x v="341"/>
    <x v="0"/>
  </r>
  <r>
    <x v="23"/>
    <x v="4"/>
    <x v="10"/>
    <n v="5474"/>
    <n v="109"/>
    <x v="378"/>
    <x v="0"/>
  </r>
  <r>
    <x v="23"/>
    <x v="4"/>
    <x v="10"/>
    <n v="5856.52"/>
    <n v="115"/>
    <x v="379"/>
    <x v="0"/>
  </r>
  <r>
    <x v="23"/>
    <x v="4"/>
    <x v="10"/>
    <n v="5776.61"/>
    <n v="114"/>
    <x v="380"/>
    <x v="0"/>
  </r>
  <r>
    <x v="23"/>
    <x v="4"/>
    <x v="18"/>
    <n v="4263"/>
    <n v="90"/>
    <x v="87"/>
    <x v="0"/>
  </r>
  <r>
    <x v="23"/>
    <x v="4"/>
    <x v="18"/>
    <n v="4902.78"/>
    <n v="91"/>
    <x v="88"/>
    <x v="0"/>
  </r>
  <r>
    <x v="23"/>
    <x v="4"/>
    <x v="18"/>
    <n v="4991.22"/>
    <n v="92"/>
    <x v="89"/>
    <x v="0"/>
  </r>
  <r>
    <x v="23"/>
    <x v="4"/>
    <x v="11"/>
    <n v="2002"/>
    <n v="214"/>
    <x v="330"/>
    <x v="0"/>
  </r>
  <r>
    <x v="23"/>
    <x v="4"/>
    <x v="11"/>
    <n v="2064.71"/>
    <n v="208"/>
    <x v="331"/>
    <x v="0"/>
  </r>
  <r>
    <x v="23"/>
    <x v="4"/>
    <x v="11"/>
    <n v="2303.39"/>
    <n v="222"/>
    <x v="332"/>
    <x v="0"/>
  </r>
  <r>
    <x v="23"/>
    <x v="4"/>
    <x v="20"/>
    <n v="6538"/>
    <n v="79"/>
    <x v="360"/>
    <x v="0"/>
  </r>
  <r>
    <x v="23"/>
    <x v="4"/>
    <x v="20"/>
    <n v="7152.22"/>
    <n v="83"/>
    <x v="361"/>
    <x v="0"/>
  </r>
  <r>
    <x v="23"/>
    <x v="4"/>
    <x v="20"/>
    <n v="7623.35"/>
    <n v="80"/>
    <x v="362"/>
    <x v="0"/>
  </r>
  <r>
    <x v="23"/>
    <x v="5"/>
    <x v="0"/>
    <n v="9737"/>
    <n v="160"/>
    <x v="162"/>
    <x v="0"/>
  </r>
  <r>
    <x v="23"/>
    <x v="5"/>
    <x v="0"/>
    <n v="10280.17"/>
    <n v="155"/>
    <x v="163"/>
    <x v="0"/>
  </r>
  <r>
    <x v="23"/>
    <x v="5"/>
    <x v="0"/>
    <n v="10772.33"/>
    <n v="156"/>
    <x v="164"/>
    <x v="0"/>
  </r>
  <r>
    <x v="23"/>
    <x v="5"/>
    <x v="17"/>
    <n v="12586"/>
    <n v="6"/>
    <x v="261"/>
    <x v="0"/>
  </r>
  <r>
    <x v="23"/>
    <x v="5"/>
    <x v="17"/>
    <n v="12930.11"/>
    <n v="6"/>
    <x v="262"/>
    <x v="0"/>
  </r>
  <r>
    <x v="23"/>
    <x v="5"/>
    <x v="17"/>
    <n v="13435.98"/>
    <n v="6"/>
    <x v="263"/>
    <x v="0"/>
  </r>
  <r>
    <x v="23"/>
    <x v="5"/>
    <x v="8"/>
    <n v="630"/>
    <n v="264"/>
    <x v="357"/>
    <x v="0"/>
  </r>
  <r>
    <x v="23"/>
    <x v="5"/>
    <x v="8"/>
    <n v="722.25"/>
    <n v="255"/>
    <x v="358"/>
    <x v="0"/>
  </r>
  <r>
    <x v="23"/>
    <x v="5"/>
    <x v="8"/>
    <n v="709.25"/>
    <n v="263"/>
    <x v="359"/>
    <x v="0"/>
  </r>
  <r>
    <x v="23"/>
    <x v="5"/>
    <x v="9"/>
    <n v="987"/>
    <n v="21"/>
    <x v="45"/>
    <x v="0"/>
  </r>
  <r>
    <x v="23"/>
    <x v="5"/>
    <x v="9"/>
    <n v="1106.3800000000001"/>
    <n v="21"/>
    <x v="46"/>
    <x v="0"/>
  </r>
  <r>
    <x v="23"/>
    <x v="5"/>
    <x v="9"/>
    <n v="1115.8399999999999"/>
    <n v="22"/>
    <x v="47"/>
    <x v="0"/>
  </r>
  <r>
    <x v="23"/>
    <x v="5"/>
    <x v="19"/>
    <n v="6279"/>
    <n v="235"/>
    <x v="186"/>
    <x v="0"/>
  </r>
  <r>
    <x v="23"/>
    <x v="5"/>
    <x v="19"/>
    <n v="6871.55"/>
    <n v="238"/>
    <x v="187"/>
    <x v="0"/>
  </r>
  <r>
    <x v="23"/>
    <x v="5"/>
    <x v="19"/>
    <n v="7093.33"/>
    <n v="233"/>
    <x v="188"/>
    <x v="0"/>
  </r>
  <r>
    <x v="23"/>
    <x v="5"/>
    <x v="5"/>
    <n v="2317"/>
    <n v="102"/>
    <x v="492"/>
    <x v="0"/>
  </r>
  <r>
    <x v="23"/>
    <x v="5"/>
    <x v="5"/>
    <n v="2418.9299999999998"/>
    <n v="110"/>
    <x v="493"/>
    <x v="0"/>
  </r>
  <r>
    <x v="23"/>
    <x v="5"/>
    <x v="5"/>
    <n v="2662.54"/>
    <n v="102"/>
    <x v="494"/>
    <x v="0"/>
  </r>
  <r>
    <x v="24"/>
    <x v="0"/>
    <x v="0"/>
    <n v="10031"/>
    <n v="114"/>
    <x v="240"/>
    <x v="0"/>
  </r>
  <r>
    <x v="24"/>
    <x v="0"/>
    <x v="0"/>
    <n v="10336.219999999999"/>
    <n v="123"/>
    <x v="241"/>
    <x v="0"/>
  </r>
  <r>
    <x v="24"/>
    <x v="0"/>
    <x v="0"/>
    <n v="11000.85"/>
    <n v="112"/>
    <x v="242"/>
    <x v="0"/>
  </r>
  <r>
    <x v="24"/>
    <x v="0"/>
    <x v="8"/>
    <n v="3325"/>
    <n v="26"/>
    <x v="120"/>
    <x v="0"/>
  </r>
  <r>
    <x v="24"/>
    <x v="0"/>
    <x v="8"/>
    <n v="3446.84"/>
    <n v="28"/>
    <x v="121"/>
    <x v="0"/>
  </r>
  <r>
    <x v="24"/>
    <x v="0"/>
    <x v="8"/>
    <n v="3729.83"/>
    <n v="27"/>
    <x v="122"/>
    <x v="0"/>
  </r>
  <r>
    <x v="24"/>
    <x v="0"/>
    <x v="3"/>
    <n v="2961"/>
    <n v="154"/>
    <x v="177"/>
    <x v="0"/>
  </r>
  <r>
    <x v="24"/>
    <x v="0"/>
    <x v="3"/>
    <n v="2995.47"/>
    <n v="156"/>
    <x v="178"/>
    <x v="0"/>
  </r>
  <r>
    <x v="24"/>
    <x v="0"/>
    <x v="3"/>
    <n v="3124.74"/>
    <n v="155"/>
    <x v="179"/>
    <x v="0"/>
  </r>
  <r>
    <x v="24"/>
    <x v="0"/>
    <x v="9"/>
    <n v="2030"/>
    <n v="11"/>
    <x v="189"/>
    <x v="0"/>
  </r>
  <r>
    <x v="24"/>
    <x v="0"/>
    <x v="9"/>
    <n v="2342.0700000000002"/>
    <n v="12"/>
    <x v="190"/>
    <x v="0"/>
  </r>
  <r>
    <x v="24"/>
    <x v="0"/>
    <x v="9"/>
    <n v="2243.44"/>
    <n v="11"/>
    <x v="191"/>
    <x v="0"/>
  </r>
  <r>
    <x v="24"/>
    <x v="0"/>
    <x v="4"/>
    <n v="623"/>
    <n v="283"/>
    <x v="438"/>
    <x v="0"/>
  </r>
  <r>
    <x v="24"/>
    <x v="0"/>
    <x v="4"/>
    <n v="623.75"/>
    <n v="285"/>
    <x v="439"/>
    <x v="0"/>
  </r>
  <r>
    <x v="24"/>
    <x v="0"/>
    <x v="4"/>
    <n v="663.74"/>
    <n v="285"/>
    <x v="440"/>
    <x v="0"/>
  </r>
  <r>
    <x v="24"/>
    <x v="0"/>
    <x v="19"/>
    <n v="392"/>
    <n v="102"/>
    <x v="300"/>
    <x v="0"/>
  </r>
  <r>
    <x v="24"/>
    <x v="0"/>
    <x v="19"/>
    <n v="413.6"/>
    <n v="111"/>
    <x v="301"/>
    <x v="0"/>
  </r>
  <r>
    <x v="24"/>
    <x v="0"/>
    <x v="19"/>
    <n v="472.27"/>
    <n v="101"/>
    <x v="302"/>
    <x v="0"/>
  </r>
  <r>
    <x v="24"/>
    <x v="0"/>
    <x v="5"/>
    <n v="4284"/>
    <n v="94"/>
    <x v="24"/>
    <x v="0"/>
  </r>
  <r>
    <x v="24"/>
    <x v="0"/>
    <x v="5"/>
    <n v="4439.5200000000004"/>
    <n v="95"/>
    <x v="25"/>
    <x v="0"/>
  </r>
  <r>
    <x v="24"/>
    <x v="0"/>
    <x v="5"/>
    <n v="4799.54"/>
    <n v="90"/>
    <x v="26"/>
    <x v="0"/>
  </r>
  <r>
    <x v="24"/>
    <x v="0"/>
    <x v="11"/>
    <n v="1743"/>
    <n v="111"/>
    <x v="180"/>
    <x v="0"/>
  </r>
  <r>
    <x v="24"/>
    <x v="0"/>
    <x v="11"/>
    <n v="1896.24"/>
    <n v="115"/>
    <x v="181"/>
    <x v="0"/>
  </r>
  <r>
    <x v="24"/>
    <x v="0"/>
    <x v="11"/>
    <n v="2003.05"/>
    <n v="110"/>
    <x v="182"/>
    <x v="0"/>
  </r>
  <r>
    <x v="24"/>
    <x v="0"/>
    <x v="12"/>
    <n v="2226"/>
    <n v="46"/>
    <x v="36"/>
    <x v="0"/>
  </r>
  <r>
    <x v="24"/>
    <x v="0"/>
    <x v="12"/>
    <n v="2496.06"/>
    <n v="45"/>
    <x v="37"/>
    <x v="0"/>
  </r>
  <r>
    <x v="24"/>
    <x v="0"/>
    <x v="12"/>
    <n v="2587.61"/>
    <n v="44"/>
    <x v="38"/>
    <x v="0"/>
  </r>
  <r>
    <x v="24"/>
    <x v="1"/>
    <x v="19"/>
    <n v="3437"/>
    <n v="181"/>
    <x v="327"/>
    <x v="0"/>
  </r>
  <r>
    <x v="24"/>
    <x v="1"/>
    <x v="19"/>
    <n v="3589.18"/>
    <n v="176"/>
    <x v="328"/>
    <x v="0"/>
  </r>
  <r>
    <x v="24"/>
    <x v="1"/>
    <x v="19"/>
    <n v="3665.13"/>
    <n v="191"/>
    <x v="329"/>
    <x v="0"/>
  </r>
  <r>
    <x v="24"/>
    <x v="1"/>
    <x v="12"/>
    <n v="4991"/>
    <n v="166"/>
    <x v="0"/>
    <x v="0"/>
  </r>
  <r>
    <x v="24"/>
    <x v="1"/>
    <x v="12"/>
    <n v="5263.45"/>
    <n v="165"/>
    <x v="1"/>
    <x v="0"/>
  </r>
  <r>
    <x v="24"/>
    <x v="1"/>
    <x v="12"/>
    <n v="5594.84"/>
    <n v="174"/>
    <x v="2"/>
    <x v="0"/>
  </r>
  <r>
    <x v="24"/>
    <x v="2"/>
    <x v="8"/>
    <n v="12026"/>
    <n v="262"/>
    <x v="198"/>
    <x v="0"/>
  </r>
  <r>
    <x v="24"/>
    <x v="2"/>
    <x v="8"/>
    <n v="12194.27"/>
    <n v="252"/>
    <x v="199"/>
    <x v="0"/>
  </r>
  <r>
    <x v="24"/>
    <x v="2"/>
    <x v="8"/>
    <n v="13808.46"/>
    <n v="270"/>
    <x v="200"/>
    <x v="0"/>
  </r>
  <r>
    <x v="24"/>
    <x v="2"/>
    <x v="9"/>
    <n v="4179"/>
    <n v="276"/>
    <x v="162"/>
    <x v="0"/>
  </r>
  <r>
    <x v="24"/>
    <x v="2"/>
    <x v="9"/>
    <n v="4303.8599999999997"/>
    <n v="282"/>
    <x v="163"/>
    <x v="0"/>
  </r>
  <r>
    <x v="24"/>
    <x v="2"/>
    <x v="9"/>
    <n v="4890.59"/>
    <n v="274"/>
    <x v="164"/>
    <x v="0"/>
  </r>
  <r>
    <x v="24"/>
    <x v="2"/>
    <x v="21"/>
    <n v="2933"/>
    <n v="233"/>
    <x v="183"/>
    <x v="0"/>
  </r>
  <r>
    <x v="24"/>
    <x v="2"/>
    <x v="21"/>
    <n v="3237.3"/>
    <n v="227"/>
    <x v="184"/>
    <x v="0"/>
  </r>
  <r>
    <x v="24"/>
    <x v="2"/>
    <x v="21"/>
    <n v="3284.22"/>
    <n v="230"/>
    <x v="185"/>
    <x v="0"/>
  </r>
  <r>
    <x v="24"/>
    <x v="2"/>
    <x v="10"/>
    <n v="3549"/>
    <n v="76"/>
    <x v="291"/>
    <x v="0"/>
  </r>
  <r>
    <x v="24"/>
    <x v="2"/>
    <x v="10"/>
    <n v="3894.68"/>
    <n v="80"/>
    <x v="292"/>
    <x v="0"/>
  </r>
  <r>
    <x v="24"/>
    <x v="2"/>
    <x v="10"/>
    <n v="4263.93"/>
    <n v="80"/>
    <x v="293"/>
    <x v="0"/>
  </r>
  <r>
    <x v="24"/>
    <x v="2"/>
    <x v="16"/>
    <n v="1309"/>
    <n v="51"/>
    <x v="183"/>
    <x v="0"/>
  </r>
  <r>
    <x v="24"/>
    <x v="2"/>
    <x v="16"/>
    <n v="1310.5"/>
    <n v="52"/>
    <x v="184"/>
    <x v="0"/>
  </r>
  <r>
    <x v="24"/>
    <x v="2"/>
    <x v="16"/>
    <n v="1516.19"/>
    <n v="53"/>
    <x v="185"/>
    <x v="0"/>
  </r>
  <r>
    <x v="24"/>
    <x v="3"/>
    <x v="1"/>
    <n v="1827"/>
    <n v="117"/>
    <x v="324"/>
    <x v="0"/>
  </r>
  <r>
    <x v="24"/>
    <x v="3"/>
    <x v="1"/>
    <n v="2084.86"/>
    <n v="119"/>
    <x v="325"/>
    <x v="0"/>
  </r>
  <r>
    <x v="24"/>
    <x v="3"/>
    <x v="1"/>
    <n v="2043.06"/>
    <n v="121"/>
    <x v="326"/>
    <x v="0"/>
  </r>
  <r>
    <x v="24"/>
    <x v="3"/>
    <x v="2"/>
    <n v="9198"/>
    <n v="144"/>
    <x v="387"/>
    <x v="0"/>
  </r>
  <r>
    <x v="24"/>
    <x v="3"/>
    <x v="2"/>
    <n v="10085.02"/>
    <n v="146"/>
    <x v="388"/>
    <x v="0"/>
  </r>
  <r>
    <x v="24"/>
    <x v="3"/>
    <x v="2"/>
    <n v="9770.2800000000007"/>
    <n v="154"/>
    <x v="389"/>
    <x v="0"/>
  </r>
  <r>
    <x v="24"/>
    <x v="3"/>
    <x v="3"/>
    <n v="3836"/>
    <n v="59"/>
    <x v="201"/>
    <x v="0"/>
  </r>
  <r>
    <x v="24"/>
    <x v="3"/>
    <x v="3"/>
    <n v="4072.43"/>
    <n v="64"/>
    <x v="202"/>
    <x v="0"/>
  </r>
  <r>
    <x v="24"/>
    <x v="3"/>
    <x v="3"/>
    <n v="4609.67"/>
    <n v="58"/>
    <x v="203"/>
    <x v="0"/>
  </r>
  <r>
    <x v="24"/>
    <x v="3"/>
    <x v="10"/>
    <n v="3311"/>
    <n v="22"/>
    <x v="264"/>
    <x v="0"/>
  </r>
  <r>
    <x v="24"/>
    <x v="3"/>
    <x v="10"/>
    <n v="3394.46"/>
    <n v="21"/>
    <x v="265"/>
    <x v="0"/>
  </r>
  <r>
    <x v="24"/>
    <x v="3"/>
    <x v="10"/>
    <n v="3735"/>
    <n v="21"/>
    <x v="266"/>
    <x v="0"/>
  </r>
  <r>
    <x v="24"/>
    <x v="3"/>
    <x v="19"/>
    <n v="6426"/>
    <n v="98"/>
    <x v="306"/>
    <x v="0"/>
  </r>
  <r>
    <x v="24"/>
    <x v="3"/>
    <x v="19"/>
    <n v="6924.52"/>
    <n v="94"/>
    <x v="307"/>
    <x v="0"/>
  </r>
  <r>
    <x v="24"/>
    <x v="3"/>
    <x v="19"/>
    <n v="7736.85"/>
    <n v="95"/>
    <x v="308"/>
    <x v="0"/>
  </r>
  <r>
    <x v="24"/>
    <x v="3"/>
    <x v="5"/>
    <n v="3724"/>
    <n v="234"/>
    <x v="306"/>
    <x v="0"/>
  </r>
  <r>
    <x v="24"/>
    <x v="3"/>
    <x v="5"/>
    <n v="4173.3999999999996"/>
    <n v="254"/>
    <x v="307"/>
    <x v="0"/>
  </r>
  <r>
    <x v="24"/>
    <x v="3"/>
    <x v="5"/>
    <n v="4051.88"/>
    <n v="253"/>
    <x v="308"/>
    <x v="0"/>
  </r>
  <r>
    <x v="24"/>
    <x v="3"/>
    <x v="16"/>
    <n v="11662"/>
    <n v="242"/>
    <x v="273"/>
    <x v="0"/>
  </r>
  <r>
    <x v="24"/>
    <x v="3"/>
    <x v="16"/>
    <n v="12382.41"/>
    <n v="245"/>
    <x v="274"/>
    <x v="0"/>
  </r>
  <r>
    <x v="24"/>
    <x v="3"/>
    <x v="16"/>
    <n v="12524.3"/>
    <n v="251"/>
    <x v="275"/>
    <x v="0"/>
  </r>
  <r>
    <x v="24"/>
    <x v="3"/>
    <x v="11"/>
    <n v="2016"/>
    <n v="277"/>
    <x v="48"/>
    <x v="0"/>
  </r>
  <r>
    <x v="24"/>
    <x v="3"/>
    <x v="11"/>
    <n v="2155.64"/>
    <n v="281"/>
    <x v="49"/>
    <x v="0"/>
  </r>
  <r>
    <x v="24"/>
    <x v="3"/>
    <x v="11"/>
    <n v="2390.6999999999998"/>
    <n v="274"/>
    <x v="50"/>
    <x v="0"/>
  </r>
  <r>
    <x v="24"/>
    <x v="4"/>
    <x v="4"/>
    <n v="3388"/>
    <n v="55"/>
    <x v="279"/>
    <x v="0"/>
  </r>
  <r>
    <x v="24"/>
    <x v="4"/>
    <x v="4"/>
    <n v="3638.66"/>
    <n v="59"/>
    <x v="280"/>
    <x v="0"/>
  </r>
  <r>
    <x v="24"/>
    <x v="4"/>
    <x v="4"/>
    <n v="3857.25"/>
    <n v="54"/>
    <x v="281"/>
    <x v="0"/>
  </r>
  <r>
    <x v="24"/>
    <x v="4"/>
    <x v="18"/>
    <n v="301"/>
    <n v="65"/>
    <x v="330"/>
    <x v="0"/>
  </r>
  <r>
    <x v="24"/>
    <x v="4"/>
    <x v="18"/>
    <n v="305.39"/>
    <n v="62"/>
    <x v="331"/>
    <x v="0"/>
  </r>
  <r>
    <x v="24"/>
    <x v="4"/>
    <x v="18"/>
    <n v="334.81"/>
    <n v="66"/>
    <x v="332"/>
    <x v="0"/>
  </r>
  <r>
    <x v="24"/>
    <x v="4"/>
    <x v="11"/>
    <n v="4858"/>
    <n v="52"/>
    <x v="303"/>
    <x v="0"/>
  </r>
  <r>
    <x v="24"/>
    <x v="4"/>
    <x v="11"/>
    <n v="4964.25"/>
    <n v="56"/>
    <x v="304"/>
    <x v="0"/>
  </r>
  <r>
    <x v="24"/>
    <x v="4"/>
    <x v="11"/>
    <n v="5574.83"/>
    <n v="52"/>
    <x v="305"/>
    <x v="0"/>
  </r>
  <r>
    <x v="24"/>
    <x v="5"/>
    <x v="0"/>
    <n v="4501"/>
    <n v="131"/>
    <x v="132"/>
    <x v="0"/>
  </r>
  <r>
    <x v="24"/>
    <x v="5"/>
    <x v="0"/>
    <n v="4738.71"/>
    <n v="125"/>
    <x v="133"/>
    <x v="0"/>
  </r>
  <r>
    <x v="24"/>
    <x v="5"/>
    <x v="0"/>
    <n v="5084.32"/>
    <n v="126"/>
    <x v="134"/>
    <x v="0"/>
  </r>
  <r>
    <x v="24"/>
    <x v="5"/>
    <x v="8"/>
    <n v="392"/>
    <n v="30"/>
    <x v="6"/>
    <x v="0"/>
  </r>
  <r>
    <x v="24"/>
    <x v="5"/>
    <x v="8"/>
    <n v="396.19"/>
    <n v="32"/>
    <x v="7"/>
    <x v="0"/>
  </r>
  <r>
    <x v="24"/>
    <x v="5"/>
    <x v="8"/>
    <n v="433.92"/>
    <n v="31"/>
    <x v="8"/>
    <x v="0"/>
  </r>
  <r>
    <x v="24"/>
    <x v="5"/>
    <x v="21"/>
    <n v="9457"/>
    <n v="6"/>
    <x v="270"/>
    <x v="0"/>
  </r>
  <r>
    <x v="24"/>
    <x v="5"/>
    <x v="21"/>
    <n v="9950.14"/>
    <n v="6"/>
    <x v="271"/>
    <x v="0"/>
  </r>
  <r>
    <x v="24"/>
    <x v="5"/>
    <x v="21"/>
    <n v="10422.84"/>
    <n v="6"/>
    <x v="272"/>
    <x v="0"/>
  </r>
  <r>
    <x v="24"/>
    <x v="5"/>
    <x v="4"/>
    <n v="1029"/>
    <n v="98"/>
    <x v="75"/>
    <x v="0"/>
  </r>
  <r>
    <x v="24"/>
    <x v="5"/>
    <x v="4"/>
    <n v="1065.6300000000001"/>
    <n v="107"/>
    <x v="76"/>
    <x v="0"/>
  </r>
  <r>
    <x v="24"/>
    <x v="5"/>
    <x v="4"/>
    <n v="1213.6300000000001"/>
    <n v="101"/>
    <x v="77"/>
    <x v="0"/>
  </r>
  <r>
    <x v="24"/>
    <x v="5"/>
    <x v="18"/>
    <n v="5012"/>
    <n v="93"/>
    <x v="105"/>
    <x v="0"/>
  </r>
  <r>
    <x v="24"/>
    <x v="5"/>
    <x v="18"/>
    <n v="5332.79"/>
    <n v="101"/>
    <x v="106"/>
    <x v="0"/>
  </r>
  <r>
    <x v="24"/>
    <x v="5"/>
    <x v="18"/>
    <n v="5298.68"/>
    <n v="96"/>
    <x v="107"/>
    <x v="0"/>
  </r>
  <r>
    <x v="24"/>
    <x v="5"/>
    <x v="14"/>
    <n v="7042"/>
    <n v="37"/>
    <x v="219"/>
    <x v="0"/>
  </r>
  <r>
    <x v="24"/>
    <x v="5"/>
    <x v="14"/>
    <n v="7725.52"/>
    <n v="38"/>
    <x v="220"/>
    <x v="0"/>
  </r>
  <r>
    <x v="24"/>
    <x v="5"/>
    <x v="14"/>
    <n v="7481.93"/>
    <n v="38"/>
    <x v="221"/>
    <x v="0"/>
  </r>
  <r>
    <x v="24"/>
    <x v="5"/>
    <x v="12"/>
    <n v="504"/>
    <n v="87"/>
    <x v="60"/>
    <x v="0"/>
  </r>
  <r>
    <x v="24"/>
    <x v="5"/>
    <x v="12"/>
    <n v="511.12"/>
    <n v="96"/>
    <x v="61"/>
    <x v="0"/>
  </r>
  <r>
    <x v="24"/>
    <x v="5"/>
    <x v="12"/>
    <n v="542.39"/>
    <n v="86"/>
    <x v="6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9" cacheId="206"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outline="1" outlineData="1" compactData="0" multipleFieldFilters="0" chartFormat="6">
  <location ref="A3:H149" firstHeaderRow="1" firstDataRow="3" firstDataCol="2"/>
  <pivotFields count="7">
    <pivotField compact="0" showAll="0" insertBlankRow="1"/>
    <pivotField axis="axisRow" compact="0" showAll="0" insertBlankRow="1">
      <items count="7">
        <item x="0"/>
        <item x="1"/>
        <item x="2"/>
        <item x="3"/>
        <item x="4"/>
        <item x="5"/>
        <item t="default"/>
      </items>
    </pivotField>
    <pivotField axis="axisRow" compact="0" showAll="0" insertBlankRow="1">
      <items count="23">
        <item x="0"/>
        <item x="7"/>
        <item x="1"/>
        <item x="17"/>
        <item x="8"/>
        <item x="2"/>
        <item x="3"/>
        <item x="9"/>
        <item x="21"/>
        <item x="4"/>
        <item x="10"/>
        <item x="19"/>
        <item x="5"/>
        <item x="18"/>
        <item x="16"/>
        <item x="14"/>
        <item x="11"/>
        <item x="6"/>
        <item x="20"/>
        <item x="12"/>
        <item x="15"/>
        <item x="13"/>
        <item t="default"/>
      </items>
    </pivotField>
    <pivotField dataField="1" compact="0" showAll="0" insertBlankRow="1"/>
    <pivotField dataField="1" compact="0" showAll="0" insertBlankRow="1"/>
    <pivotField axis="axisCol" compact="0" numFmtId="14" showAll="0" insertBlankRow="1">
      <items count="6">
        <item x="0"/>
        <item x="1"/>
        <item x="2"/>
        <item x="3"/>
        <item x="4"/>
        <item t="default"/>
      </items>
    </pivotField>
    <pivotField compact="0" showAll="0" insertBlankRow="1"/>
  </pivotFields>
  <rowFields count="2">
    <field x="1"/>
    <field x="2"/>
  </rowFields>
  <rowItems count="144">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t="blank">
      <x/>
    </i>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t="blank">
      <x v="1"/>
    </i>
    <i>
      <x v="2"/>
    </i>
    <i r="1">
      <x/>
    </i>
    <i r="1">
      <x v="1"/>
    </i>
    <i r="1">
      <x v="2"/>
    </i>
    <i r="1">
      <x v="3"/>
    </i>
    <i r="1">
      <x v="4"/>
    </i>
    <i r="1">
      <x v="5"/>
    </i>
    <i r="1">
      <x v="6"/>
    </i>
    <i r="1">
      <x v="7"/>
    </i>
    <i r="1">
      <x v="8"/>
    </i>
    <i r="1">
      <x v="9"/>
    </i>
    <i r="1">
      <x v="10"/>
    </i>
    <i r="1">
      <x v="11"/>
    </i>
    <i r="1">
      <x v="12"/>
    </i>
    <i r="1">
      <x v="13"/>
    </i>
    <i r="1">
      <x v="14"/>
    </i>
    <i r="1">
      <x v="15"/>
    </i>
    <i r="1">
      <x v="16"/>
    </i>
    <i r="1">
      <x v="17"/>
    </i>
    <i r="1">
      <x v="18"/>
    </i>
    <i r="1">
      <x v="19"/>
    </i>
    <i r="1">
      <x v="20"/>
    </i>
    <i r="1">
      <x v="21"/>
    </i>
    <i t="blank">
      <x v="2"/>
    </i>
    <i>
      <x v="3"/>
    </i>
    <i r="1">
      <x/>
    </i>
    <i r="1">
      <x v="1"/>
    </i>
    <i r="1">
      <x v="2"/>
    </i>
    <i r="1">
      <x v="3"/>
    </i>
    <i r="1">
      <x v="4"/>
    </i>
    <i r="1">
      <x v="5"/>
    </i>
    <i r="1">
      <x v="6"/>
    </i>
    <i r="1">
      <x v="7"/>
    </i>
    <i r="1">
      <x v="8"/>
    </i>
    <i r="1">
      <x v="9"/>
    </i>
    <i r="1">
      <x v="10"/>
    </i>
    <i r="1">
      <x v="11"/>
    </i>
    <i r="1">
      <x v="12"/>
    </i>
    <i r="1">
      <x v="13"/>
    </i>
    <i r="1">
      <x v="14"/>
    </i>
    <i r="1">
      <x v="15"/>
    </i>
    <i r="1">
      <x v="16"/>
    </i>
    <i r="1">
      <x v="17"/>
    </i>
    <i r="1">
      <x v="18"/>
    </i>
    <i r="1">
      <x v="19"/>
    </i>
    <i r="1">
      <x v="20"/>
    </i>
    <i r="1">
      <x v="21"/>
    </i>
    <i t="blank">
      <x v="3"/>
    </i>
    <i>
      <x v="4"/>
    </i>
    <i r="1">
      <x/>
    </i>
    <i r="1">
      <x v="1"/>
    </i>
    <i r="1">
      <x v="2"/>
    </i>
    <i r="1">
      <x v="3"/>
    </i>
    <i r="1">
      <x v="4"/>
    </i>
    <i r="1">
      <x v="5"/>
    </i>
    <i r="1">
      <x v="6"/>
    </i>
    <i r="1">
      <x v="7"/>
    </i>
    <i r="1">
      <x v="8"/>
    </i>
    <i r="1">
      <x v="9"/>
    </i>
    <i r="1">
      <x v="10"/>
    </i>
    <i r="1">
      <x v="11"/>
    </i>
    <i r="1">
      <x v="12"/>
    </i>
    <i r="1">
      <x v="13"/>
    </i>
    <i r="1">
      <x v="14"/>
    </i>
    <i r="1">
      <x v="15"/>
    </i>
    <i r="1">
      <x v="16"/>
    </i>
    <i r="1">
      <x v="17"/>
    </i>
    <i r="1">
      <x v="18"/>
    </i>
    <i r="1">
      <x v="19"/>
    </i>
    <i r="1">
      <x v="20"/>
    </i>
    <i r="1">
      <x v="21"/>
    </i>
    <i t="blank">
      <x v="4"/>
    </i>
    <i>
      <x v="5"/>
    </i>
    <i r="1">
      <x/>
    </i>
    <i r="1">
      <x v="1"/>
    </i>
    <i r="1">
      <x v="2"/>
    </i>
    <i r="1">
      <x v="3"/>
    </i>
    <i r="1">
      <x v="4"/>
    </i>
    <i r="1">
      <x v="5"/>
    </i>
    <i r="1">
      <x v="6"/>
    </i>
    <i r="1">
      <x v="7"/>
    </i>
    <i r="1">
      <x v="8"/>
    </i>
    <i r="1">
      <x v="9"/>
    </i>
    <i r="1">
      <x v="10"/>
    </i>
    <i r="1">
      <x v="11"/>
    </i>
    <i r="1">
      <x v="12"/>
    </i>
    <i r="1">
      <x v="13"/>
    </i>
    <i r="1">
      <x v="14"/>
    </i>
    <i r="1">
      <x v="15"/>
    </i>
    <i r="1">
      <x v="16"/>
    </i>
    <i r="1">
      <x v="17"/>
    </i>
    <i r="1">
      <x v="18"/>
    </i>
    <i r="1">
      <x v="19"/>
    </i>
    <i r="1">
      <x v="20"/>
    </i>
    <i r="1">
      <x v="21"/>
    </i>
    <i t="blank">
      <x v="5"/>
    </i>
  </rowItems>
  <colFields count="2">
    <field x="5"/>
    <field x="-2"/>
  </colFields>
  <colItems count="6">
    <i>
      <x v="1"/>
      <x/>
    </i>
    <i r="1" i="1">
      <x v="1"/>
    </i>
    <i>
      <x v="2"/>
      <x/>
    </i>
    <i r="1" i="1">
      <x v="1"/>
    </i>
    <i>
      <x v="3"/>
      <x/>
    </i>
    <i r="1" i="1">
      <x v="1"/>
    </i>
  </colItems>
  <dataFields count="2">
    <dataField name="Sum of Amount" fld="3" showDataAs="percentOfTotal" baseField="1" baseItem="0" numFmtId="10"/>
    <dataField name="Sum of Boxes Shipped" fld="4"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0DE8FF-FE02-4873-A85D-4755B8C822CA}" name="PivotTable5" cacheId="190" applyNumberFormats="0" applyBorderFormats="0" applyFontFormats="0" applyPatternFormats="0" applyAlignmentFormats="0" applyWidthHeightFormats="1" dataCaption="Values" updatedVersion="7" minRefreshableVersion="3" visualTotals="0" useAutoFormatting="1" subtotalHiddenItems="1" rowGrandTotals="0" colGrandTotals="0" itemPrintTitles="1" createdVersion="7" indent="0" outline="1" outlineData="1" multipleFieldFilters="0">
  <location ref="P2:R26" firstHeaderRow="0" firstDataRow="1" firstDataCol="1"/>
  <pivotFields count="5">
    <pivotField allDrilled="1" subtotalTop="0" showAll="0" measureFilter="1"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2">
    <field x="2"/>
    <field x="1"/>
  </rowFields>
  <rowItems count="24">
    <i>
      <x/>
    </i>
    <i r="1">
      <x/>
    </i>
    <i r="1">
      <x v="1"/>
    </i>
    <i r="1">
      <x v="2"/>
    </i>
    <i>
      <x v="1"/>
    </i>
    <i r="1">
      <x/>
    </i>
    <i r="1">
      <x v="1"/>
    </i>
    <i r="1">
      <x v="2"/>
    </i>
    <i>
      <x v="2"/>
    </i>
    <i r="1">
      <x/>
    </i>
    <i r="1">
      <x v="1"/>
    </i>
    <i r="1">
      <x v="2"/>
    </i>
    <i>
      <x v="3"/>
    </i>
    <i r="1">
      <x/>
    </i>
    <i r="1">
      <x v="1"/>
    </i>
    <i r="1">
      <x v="2"/>
    </i>
    <i>
      <x v="4"/>
    </i>
    <i r="1">
      <x/>
    </i>
    <i r="1">
      <x v="1"/>
    </i>
    <i r="1">
      <x v="2"/>
    </i>
    <i>
      <x v="5"/>
    </i>
    <i r="1">
      <x/>
    </i>
    <i r="1">
      <x v="1"/>
    </i>
    <i r="1">
      <x v="2"/>
    </i>
  </rowItems>
  <colFields count="1">
    <field x="-2"/>
  </colFields>
  <colItems count="2">
    <i>
      <x/>
    </i>
    <i i="1">
      <x v="1"/>
    </i>
  </colItems>
  <dataFields count="2">
    <dataField name="Sum of Amount" fld="4" baseField="0" baseItem="0"/>
    <dataField name="Sum of Boxes Shipped" fld="3"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LessThanOrEqual" id="1" iMeasureHier="12">
      <autoFilter ref="A1">
        <filterColumn colId="0">
          <customFilters>
            <customFilter operator="lessThanOrEqual" val="100"/>
          </customFilters>
        </filterColumn>
      </autoFilter>
    </filter>
  </filters>
  <rowHierarchiesUsage count="2">
    <rowHierarchyUsage hierarchyUsage="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 Chocolate Sales.xlsx!Table1_3">
        <x15:activeTabTopLevelEntity name="[Table1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E7EC6D-B33C-4681-9C07-8BCC09745AB1}" name="PivotTable9" cacheId="18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3">
  <location ref="A3:E7" firstHeaderRow="1" firstDataRow="2" firstDataCol="1"/>
  <pivotFields count="4">
    <pivotField allDrilled="1" subtotalTop="0" showAll="0" measureFilter="1"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axis="axisRow" allDrilled="1" subtotalTop="0" showAll="0" dataSourceSort="1" defaultSubtotal="0" defaultAttributeDrillState="1">
      <items count="2">
        <item x="0" e="0"/>
        <item x="1"/>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1"/>
  </rowFields>
  <rowItems count="3">
    <i>
      <x/>
    </i>
    <i>
      <x v="1"/>
    </i>
    <i t="grand">
      <x/>
    </i>
  </rowItems>
  <colFields count="1">
    <field x="3"/>
  </colFields>
  <colItems count="4">
    <i>
      <x/>
    </i>
    <i>
      <x v="1"/>
    </i>
    <i>
      <x v="2"/>
    </i>
    <i t="grand">
      <x/>
    </i>
  </colItems>
  <dataFields count="1">
    <dataField name="Count of Amount" fld="2" subtotal="count" baseField="1"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LessThanOrEqual" id="1" iMeasureHier="12">
      <autoFilter ref="A1">
        <filterColumn colId="0">
          <customFilters>
            <customFilter operator="lessThanOrEqual" val="100"/>
          </customFilters>
        </filterColumn>
      </autoFilter>
    </filter>
  </filters>
  <rowHierarchiesUsage count="1">
    <rowHierarchyUsage hierarchyUsage="6"/>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 Chocolate Sales.xlsx!Table1_3">
        <x15:activeTabTopLevelEntity name="[Table1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8" cacheId="20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6">
  <location ref="BL2:BM8" firstHeaderRow="1" firstDataRow="1" firstDataCol="1"/>
  <pivotFields count="7">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items count="7">
        <item x="0"/>
        <item x="1"/>
        <item x="2"/>
        <item x="3"/>
        <item x="4"/>
        <item x="5"/>
        <item t="default"/>
      </items>
    </pivotField>
    <pivotField axis="axisRow" showAll="0" measureFilter="1" sortType="descending">
      <items count="23">
        <item x="0"/>
        <item x="7"/>
        <item x="1"/>
        <item x="17"/>
        <item x="8"/>
        <item x="2"/>
        <item x="3"/>
        <item x="9"/>
        <item x="21"/>
        <item x="4"/>
        <item x="10"/>
        <item x="19"/>
        <item x="5"/>
        <item x="18"/>
        <item x="16"/>
        <item x="14"/>
        <item x="11"/>
        <item x="6"/>
        <item x="20"/>
        <item x="12"/>
        <item x="15"/>
        <item x="13"/>
        <item t="default"/>
      </items>
      <autoSortScope>
        <pivotArea dataOnly="0" outline="0" fieldPosition="0">
          <references count="1">
            <reference field="4294967294" count="1" selected="0">
              <x v="0"/>
            </reference>
          </references>
        </pivotArea>
      </autoSortScope>
    </pivotField>
    <pivotField dataField="1" showAll="0"/>
    <pivotField showAll="0"/>
    <pivotField numFmtId="14" showAll="0">
      <items count="6">
        <item x="0"/>
        <item x="1"/>
        <item x="2"/>
        <item x="3"/>
        <item x="4"/>
        <item t="default"/>
      </items>
    </pivotField>
    <pivotField showAll="0"/>
  </pivotFields>
  <rowFields count="1">
    <field x="2"/>
  </rowFields>
  <rowItems count="6">
    <i>
      <x v="19"/>
    </i>
    <i>
      <x/>
    </i>
    <i>
      <x v="21"/>
    </i>
    <i>
      <x v="17"/>
    </i>
    <i>
      <x v="10"/>
    </i>
    <i t="grand">
      <x/>
    </i>
  </rowItems>
  <colItems count="1">
    <i/>
  </colItems>
  <dataFields count="1">
    <dataField name="Sum of Amount" fld="3" baseField="0" baseItem="0"/>
  </dataFields>
  <chartFormats count="1">
    <chartFormat chart="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dateBetween" evalOrder="-1" id="460" name="Date">
      <autoFilter ref="A1">
        <filterColumn colId="0">
          <customFilters and="1">
            <customFilter operator="greaterThanOrEqual" val="44562"/>
            <customFilter operator="lessThanOrEqual" val="45657"/>
          </customFilters>
        </filterColumn>
      </autoFilter>
      <extLst>
        <ext xmlns:x15="http://schemas.microsoft.com/office/spreadsheetml/2010/11/main" uri="{0605FD5F-26C8-4aeb-8148-2DB25E43C511}">
          <x15:pivotFilter useWholeDay="1"/>
        </ext>
      </extLst>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7" cacheId="20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B4" firstHeaderRow="0" firstDataRow="1" firstDataCol="0"/>
  <pivotFields count="7">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items count="7">
        <item x="0"/>
        <item x="1"/>
        <item x="2"/>
        <item x="3"/>
        <item x="4"/>
        <item x="5"/>
        <item t="default"/>
      </items>
    </pivotField>
    <pivotField showAll="0">
      <items count="23">
        <item x="0"/>
        <item x="7"/>
        <item x="1"/>
        <item x="17"/>
        <item x="8"/>
        <item x="2"/>
        <item x="3"/>
        <item x="9"/>
        <item x="21"/>
        <item x="4"/>
        <item x="10"/>
        <item x="19"/>
        <item x="5"/>
        <item x="18"/>
        <item x="16"/>
        <item x="14"/>
        <item x="11"/>
        <item x="6"/>
        <item x="20"/>
        <item x="12"/>
        <item x="15"/>
        <item x="13"/>
        <item t="default"/>
      </items>
    </pivotField>
    <pivotField dataField="1" showAll="0"/>
    <pivotField dataField="1" showAll="0"/>
    <pivotField numFmtId="14" showAll="0">
      <items count="6">
        <item x="0"/>
        <item x="1"/>
        <item x="2"/>
        <item x="3"/>
        <item x="4"/>
        <item t="default"/>
      </items>
    </pivotField>
    <pivotField showAll="0"/>
  </pivotFields>
  <rowItems count="1">
    <i/>
  </rowItems>
  <colFields count="1">
    <field x="-2"/>
  </colFields>
  <colItems count="2">
    <i>
      <x/>
    </i>
    <i i="1">
      <x v="1"/>
    </i>
  </colItems>
  <dataFields count="2">
    <dataField name="Sum of Amount" fld="3" baseField="0" baseItem="0" numFmtId="2"/>
    <dataField name="Sum of Boxes Shipped" fld="4" baseField="0" baseItem="0" numFmtId="165"/>
  </dataFields>
  <formats count="2">
    <format dxfId="0">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filters count="1">
    <filter fld="5" type="dateBetween" evalOrder="-1" id="458" name="Date">
      <autoFilter ref="A1">
        <filterColumn colId="0">
          <customFilters and="1">
            <customFilter operator="greaterThanOrEqual" val="4456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FAF71B-0A00-48D7-9458-0768FA8AF80D}" name="PivotTable1" cacheId="20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8">
  <location ref="AT1:AX9" firstHeaderRow="1" firstDataRow="2" firstDataCol="1"/>
  <pivotFields count="7">
    <pivotField showAll="0" insertBlankRow="1">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nsertBlankRow="1">
      <items count="7">
        <item x="0"/>
        <item x="1"/>
        <item x="2"/>
        <item x="3"/>
        <item x="4"/>
        <item x="5"/>
        <item t="default"/>
      </items>
    </pivotField>
    <pivotField showAll="0" insertBlankRow="1">
      <items count="23">
        <item x="0"/>
        <item x="7"/>
        <item x="1"/>
        <item x="17"/>
        <item x="8"/>
        <item x="2"/>
        <item x="3"/>
        <item x="9"/>
        <item x="21"/>
        <item x="4"/>
        <item x="10"/>
        <item x="19"/>
        <item x="5"/>
        <item x="18"/>
        <item x="16"/>
        <item x="14"/>
        <item x="11"/>
        <item x="6"/>
        <item x="20"/>
        <item x="12"/>
        <item x="15"/>
        <item x="13"/>
        <item t="default"/>
      </items>
    </pivotField>
    <pivotField dataField="1" showAll="0" insertBlankRow="1"/>
    <pivotField showAll="0" insertBlankRow="1"/>
    <pivotField axis="axisCol" numFmtId="14" showAll="0" insertBlankRow="1">
      <items count="6">
        <item x="0"/>
        <item x="1"/>
        <item x="2"/>
        <item x="3"/>
        <item x="4"/>
        <item t="default"/>
      </items>
    </pivotField>
    <pivotField showAll="0" insertBlankRow="1"/>
  </pivotFields>
  <rowFields count="1">
    <field x="1"/>
  </rowFields>
  <rowItems count="7">
    <i>
      <x/>
    </i>
    <i>
      <x v="1"/>
    </i>
    <i>
      <x v="2"/>
    </i>
    <i>
      <x v="3"/>
    </i>
    <i>
      <x v="4"/>
    </i>
    <i>
      <x v="5"/>
    </i>
    <i t="grand">
      <x/>
    </i>
  </rowItems>
  <colFields count="1">
    <field x="5"/>
  </colFields>
  <colItems count="4">
    <i>
      <x v="1"/>
    </i>
    <i>
      <x v="2"/>
    </i>
    <i>
      <x v="3"/>
    </i>
    <i t="grand">
      <x/>
    </i>
  </colItems>
  <dataFields count="1">
    <dataField name="Sum of Amount" fld="3" baseField="0" baseItem="0"/>
  </dataFields>
  <pivotTableStyleInfo name="PivotStyleLight16" showRowHeaders="1" showColHeaders="1" showRowStripes="0" showColStripes="0" showLastColumn="1"/>
  <filters count="2">
    <filter fld="5" type="dateBetween" evalOrder="-1" id="464" name="Date">
      <autoFilter ref="A1">
        <filterColumn colId="0">
          <customFilters and="1">
            <customFilter operator="greaterThanOrEqual" val="44562"/>
            <customFilter operator="lessThanOrEqual" val="45657"/>
          </customFilters>
        </filterColumn>
      </autoFilter>
      <extLst>
        <ext xmlns:x15="http://schemas.microsoft.com/office/spreadsheetml/2010/11/main" uri="{0605FD5F-26C8-4aeb-8148-2DB25E43C511}">
          <x15:pivotFilter useWholeDay="1"/>
        </ext>
      </extLst>
    </filter>
    <filter fld="3" type="captionLessThanOrEqual" evalOrder="-1" id="7" stringValue1="100">
      <autoFilter ref="A1">
        <filterColumn colId="0">
          <customFilters>
            <customFilter operator="lessThanOrEqual" val="1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31" cacheId="206" dataPosition="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8">
  <location ref="K1:M5" firstHeaderRow="0" firstDataRow="1" firstDataCol="1"/>
  <pivotFields count="7">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items count="7">
        <item x="0"/>
        <item x="1"/>
        <item x="2"/>
        <item x="3"/>
        <item x="4"/>
        <item x="5"/>
        <item t="default"/>
      </items>
    </pivotField>
    <pivotField showAll="0">
      <items count="23">
        <item x="0"/>
        <item x="7"/>
        <item x="1"/>
        <item x="17"/>
        <item x="8"/>
        <item x="2"/>
        <item x="3"/>
        <item x="9"/>
        <item x="21"/>
        <item x="4"/>
        <item x="10"/>
        <item x="19"/>
        <item x="5"/>
        <item x="18"/>
        <item x="16"/>
        <item x="14"/>
        <item x="11"/>
        <item x="6"/>
        <item x="20"/>
        <item x="12"/>
        <item x="15"/>
        <item x="13"/>
        <item t="default"/>
      </items>
    </pivotField>
    <pivotField dataField="1" showAll="0"/>
    <pivotField showAll="0"/>
    <pivotField axis="axisRow" numFmtId="14" showAll="0">
      <items count="6">
        <item x="0"/>
        <item x="4"/>
        <item x="1"/>
        <item x="2"/>
        <item x="3"/>
        <item t="default"/>
      </items>
    </pivotField>
    <pivotField showAll="0"/>
  </pivotFields>
  <rowFields count="1">
    <field x="5"/>
  </rowFields>
  <rowItems count="4">
    <i>
      <x v="2"/>
    </i>
    <i>
      <x v="3"/>
    </i>
    <i>
      <x v="4"/>
    </i>
    <i t="grand">
      <x/>
    </i>
  </rowItems>
  <colFields count="1">
    <field x="-2"/>
  </colFields>
  <colItems count="2">
    <i>
      <x/>
    </i>
    <i i="1">
      <x v="1"/>
    </i>
  </colItems>
  <dataFields count="2">
    <dataField name="Sum of Amount2" fld="3" baseField="0" baseItem="0"/>
    <dataField name="Growth %" fld="3" showDataAs="percentDiff" baseField="5" baseItem="1048828" numFmtId="10"/>
  </dataFields>
  <formats count="2">
    <format dxfId="2">
      <pivotArea collapsedLevelsAreSubtotals="1" fieldPosition="0">
        <references count="2">
          <reference field="4294967294" count="1" selected="0">
            <x v="0"/>
          </reference>
          <reference field="5" count="1">
            <x v="3"/>
          </reference>
        </references>
      </pivotArea>
    </format>
    <format dxfId="3">
      <pivotArea collapsedLevelsAreSubtotals="1" fieldPosition="0">
        <references count="2">
          <reference field="4294967294" count="1" selected="0">
            <x v="0"/>
          </reference>
          <reference field="5" count="3">
            <x v="2"/>
            <x v="3"/>
            <x v="4"/>
          </reference>
        </references>
      </pivotArea>
    </format>
  </formats>
  <chartFormats count="13">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5" count="1" selected="0">
            <x v="3"/>
          </reference>
        </references>
      </pivotArea>
    </chartFormat>
    <chartFormat chart="10" format="16">
      <pivotArea type="data" outline="0" fieldPosition="0">
        <references count="2">
          <reference field="4294967294" count="1" selected="0">
            <x v="0"/>
          </reference>
          <reference field="5" count="1" selected="0">
            <x v="4"/>
          </reference>
        </references>
      </pivotArea>
    </chartFormat>
    <chartFormat chart="10" format="17" series="1">
      <pivotArea type="data" outline="0" fieldPosition="0">
        <references count="1">
          <reference field="4294967294" count="1" selected="0">
            <x v="1"/>
          </reference>
        </references>
      </pivotArea>
    </chartFormat>
    <chartFormat chart="10" format="18" series="1">
      <pivotArea type="data" outline="0" fieldPosition="0">
        <references count="2">
          <reference field="4294967294" count="1" selected="0">
            <x v="0"/>
          </reference>
          <reference field="5" count="1" selected="0">
            <x v="4"/>
          </reference>
        </references>
      </pivotArea>
    </chartFormat>
    <chartFormat chart="17" format="19" series="1">
      <pivotArea type="data" outline="0" fieldPosition="0">
        <references count="1">
          <reference field="4294967294" count="1" selected="0">
            <x v="0"/>
          </reference>
        </references>
      </pivotArea>
    </chartFormat>
    <chartFormat chart="17" format="20">
      <pivotArea type="data" outline="0" fieldPosition="0">
        <references count="2">
          <reference field="4294967294" count="1" selected="0">
            <x v="0"/>
          </reference>
          <reference field="5" count="1" selected="0">
            <x v="3"/>
          </reference>
        </references>
      </pivotArea>
    </chartFormat>
    <chartFormat chart="17" format="21">
      <pivotArea type="data" outline="0" fieldPosition="0">
        <references count="2">
          <reference field="4294967294" count="1" selected="0">
            <x v="0"/>
          </reference>
          <reference field="5" count="1" selected="0">
            <x v="4"/>
          </reference>
        </references>
      </pivotArea>
    </chartFormat>
    <chartFormat chart="17" format="22" series="1">
      <pivotArea type="data" outline="0" fieldPosition="0">
        <references count="1">
          <reference field="4294967294" count="1" selected="0">
            <x v="1"/>
          </reference>
        </references>
      </pivotArea>
    </chartFormat>
    <chartFormat chart="18" format="23" series="1">
      <pivotArea type="data" outline="0" fieldPosition="0">
        <references count="1">
          <reference field="4294967294" count="1" selected="0">
            <x v="0"/>
          </reference>
        </references>
      </pivotArea>
    </chartFormat>
    <chartFormat chart="18" format="24">
      <pivotArea type="data" outline="0" fieldPosition="0">
        <references count="2">
          <reference field="4294967294" count="1" selected="0">
            <x v="0"/>
          </reference>
          <reference field="5" count="1" selected="0">
            <x v="3"/>
          </reference>
        </references>
      </pivotArea>
    </chartFormat>
    <chartFormat chart="18" format="25">
      <pivotArea type="data" outline="0" fieldPosition="0">
        <references count="2">
          <reference field="4294967294" count="1" selected="0">
            <x v="0"/>
          </reference>
          <reference field="5" count="1" selected="0">
            <x v="4"/>
          </reference>
        </references>
      </pivotArea>
    </chartFormat>
    <chartFormat chart="18" format="2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5" type="dateBetween" evalOrder="-1" id="457" name="Date">
      <autoFilter ref="A1">
        <filterColumn colId="0">
          <customFilters and="1">
            <customFilter operator="greaterThanOrEqual" val="4456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057421-93A3-424E-B3BC-D0B2B177FBC4}" name="Distinct Count of Sales Person" cacheId="199" applyNumberFormats="0" applyBorderFormats="0" applyFontFormats="0" applyPatternFormats="0" applyAlignmentFormats="0" applyWidthHeightFormats="1" dataCaption="Values" updatedVersion="7" minRefreshableVersion="3" useAutoFormatting="1" subtotalHiddenItems="1" itemPrintTitles="1" createdVersion="7" indent="0" compact="0" compactData="0" multipleFieldFilters="0">
  <location ref="AJ3:AK29" firstHeaderRow="1" firstDataRow="1" firstDataCol="1"/>
  <pivotFields count="2">
    <pivotField axis="axisRow" compact="0" allDrilled="1" outline="0" subtotalTop="0" showAll="0" dataSourceSort="1" defaultAttributeDrillState="1">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compact="0" outline="0" subtotalTop="0" showAl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Distinct Count of Sales Person" fld="1" subtotal="count" baseField="0" baseItem="0">
      <extLst>
        <ext xmlns:x15="http://schemas.microsoft.com/office/spreadsheetml/2010/11/main" uri="{FABC7310-3BB5-11E1-824E-6D434824019B}">
          <x15:dataField isCountDistinct="1"/>
        </ext>
      </extLst>
    </dataField>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 Chocolate Sales.xlsx!Table1_3">
        <x15:activeTabTopLevelEntity name="[Table1_3]"/>
      </x15:pivotTableUISettings>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26B8DF-7206-4060-9378-8489383B4ADD}" name="Distinct Count of Country" cacheId="196" applyNumberFormats="0" applyBorderFormats="0" applyFontFormats="0" applyPatternFormats="0" applyAlignmentFormats="0" applyWidthHeightFormats="1" dataCaption="Values" updatedVersion="7" minRefreshableVersion="3" useAutoFormatting="1" subtotalHiddenItems="1" itemPrintTitles="1" createdVersion="7" indent="0" compact="0" compactData="0" multipleFieldFilters="0">
  <location ref="W3:X10" firstHeaderRow="1" firstDataRow="1" firstDataCol="1"/>
  <pivotFields count="2">
    <pivotField axis="axisRow" compact="0" allDrilled="1" outline="0" subtotalTop="0" showAll="0" dataSourceSort="1" defaultAttributeDrillState="1">
      <items count="7">
        <item x="0"/>
        <item x="1"/>
        <item x="2"/>
        <item x="3"/>
        <item x="4"/>
        <item x="5"/>
        <item t="default"/>
      </items>
    </pivotField>
    <pivotField dataField="1" compact="0" outline="0" subtotalTop="0" showAll="0"/>
  </pivotFields>
  <rowFields count="1">
    <field x="0"/>
  </rowFields>
  <rowItems count="7">
    <i>
      <x/>
    </i>
    <i>
      <x v="1"/>
    </i>
    <i>
      <x v="2"/>
    </i>
    <i>
      <x v="3"/>
    </i>
    <i>
      <x v="4"/>
    </i>
    <i>
      <x v="5"/>
    </i>
    <i t="grand">
      <x/>
    </i>
  </rowItems>
  <colItems count="1">
    <i/>
  </colItems>
  <dataFields count="1">
    <dataField name="Distinct Count of Country" fld="1" subtotal="count" baseField="0" baseItem="0">
      <extLst>
        <ext xmlns:x15="http://schemas.microsoft.com/office/spreadsheetml/2010/11/main" uri="{FABC7310-3BB5-11E1-824E-6D434824019B}">
          <x15:dataField isCountDistinct="1"/>
        </ext>
      </extLst>
    </dataField>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 Chocolate Sales.xlsx!Table1_3">
        <x15:activeTabTopLevelEntity name="[Table1_3]"/>
      </x15:pivotTableUISettings>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29" cacheId="20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3">
  <location ref="E1:F12" firstHeaderRow="1" firstDataRow="1" firstDataCol="1"/>
  <pivotFields count="7">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items count="7">
        <item x="0"/>
        <item x="1"/>
        <item x="2"/>
        <item x="3"/>
        <item x="4"/>
        <item x="5"/>
        <item t="default"/>
      </items>
    </pivotField>
    <pivotField axis="axisRow" showAll="0" measureFilter="1" sortType="descending">
      <items count="23">
        <item x="0"/>
        <item x="7"/>
        <item x="1"/>
        <item x="17"/>
        <item x="8"/>
        <item x="2"/>
        <item x="3"/>
        <item x="9"/>
        <item x="21"/>
        <item x="4"/>
        <item x="10"/>
        <item x="19"/>
        <item x="5"/>
        <item x="18"/>
        <item x="16"/>
        <item x="14"/>
        <item x="11"/>
        <item x="6"/>
        <item x="20"/>
        <item x="12"/>
        <item x="15"/>
        <item x="13"/>
        <item t="default"/>
      </items>
      <autoSortScope>
        <pivotArea dataOnly="0" outline="0" fieldPosition="0">
          <references count="1">
            <reference field="4294967294" count="1" selected="0">
              <x v="0"/>
            </reference>
          </references>
        </pivotArea>
      </autoSortScope>
    </pivotField>
    <pivotField showAll="0"/>
    <pivotField dataField="1" showAll="0"/>
    <pivotField numFmtId="14" showAll="0">
      <items count="6">
        <item x="0"/>
        <item x="1"/>
        <item x="2"/>
        <item x="3"/>
        <item x="4"/>
        <item t="default"/>
      </items>
    </pivotField>
    <pivotField showAll="0"/>
  </pivotFields>
  <rowFields count="1">
    <field x="2"/>
  </rowFields>
  <rowItems count="11">
    <i>
      <x/>
    </i>
    <i>
      <x v="19"/>
    </i>
    <i>
      <x v="10"/>
    </i>
    <i>
      <x v="20"/>
    </i>
    <i>
      <x v="7"/>
    </i>
    <i>
      <x v="9"/>
    </i>
    <i>
      <x v="13"/>
    </i>
    <i>
      <x v="17"/>
    </i>
    <i>
      <x v="21"/>
    </i>
    <i>
      <x v="4"/>
    </i>
    <i t="grand">
      <x/>
    </i>
  </rowItems>
  <colItems count="1">
    <i/>
  </colItems>
  <dataFields count="1">
    <dataField name="Sum of Boxes Shipped" fld="4" baseField="0" baseItem="0"/>
  </dataFields>
  <chartFormats count="1">
    <chartFormat chart="1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dateBetween" evalOrder="-1" id="459" name="Date">
      <autoFilter ref="A1">
        <filterColumn colId="0">
          <customFilters and="1">
            <customFilter operator="greaterThanOrEqual" val="44562"/>
            <customFilter operator="lessThanOrEqual" val="45657"/>
          </customFilters>
        </filterColumn>
      </autoFilter>
      <extLst>
        <ext xmlns:x15="http://schemas.microsoft.com/office/spreadsheetml/2010/11/main" uri="{0605FD5F-26C8-4aeb-8148-2DB25E43C511}">
          <x15:pivotFilter useWholeDay="1"/>
        </ext>
      </extLst>
    </filter>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FE724D-9D0C-4566-89AC-67124328BA34}" name="Distinct Count of Product" cacheId="193" applyNumberFormats="0" applyBorderFormats="0" applyFontFormats="0" applyPatternFormats="0" applyAlignmentFormats="0" applyWidthHeightFormats="1" dataCaption="Values" updatedVersion="7" minRefreshableVersion="3" useAutoFormatting="1" subtotalHiddenItems="1" itemPrintTitles="1" createdVersion="7" indent="0" compact="0" compactData="0" multipleFieldFilters="0">
  <location ref="Q4:R27" firstHeaderRow="1" firstDataRow="1" firstDataCol="1"/>
  <pivotFields count="2">
    <pivotField axis="axisRow" compact="0" allDrilled="1" outline="0" subtotalTop="0" showAll="0" dataSourceSort="1" defaultAttributeDrillState="1">
      <items count="23">
        <item x="0"/>
        <item x="1"/>
        <item x="2"/>
        <item x="3"/>
        <item x="4"/>
        <item x="5"/>
        <item x="6"/>
        <item x="7"/>
        <item x="8"/>
        <item x="9"/>
        <item x="10"/>
        <item x="11"/>
        <item x="12"/>
        <item x="13"/>
        <item x="14"/>
        <item x="15"/>
        <item x="16"/>
        <item x="17"/>
        <item x="18"/>
        <item x="19"/>
        <item x="20"/>
        <item x="21"/>
        <item t="default"/>
      </items>
    </pivotField>
    <pivotField dataField="1" compact="0" outline="0" subtotalTop="0" showAl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Distinct Count of Product" fld="1" subtotal="count" baseField="0" baseItem="0">
      <extLst>
        <ext xmlns:x15="http://schemas.microsoft.com/office/spreadsheetml/2010/11/main" uri="{FABC7310-3BB5-11E1-824E-6D434824019B}">
          <x15:dataField isCountDistinct="1"/>
        </ext>
      </extLst>
    </dataField>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 Chocolate Sales.xlsx!Table1_3">
        <x15:activeTabTopLevelEntity name="[Table1_3]"/>
      </x15:pivotTableUISettings>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673E383-5C3C-48D4-9A57-8AA51DC8437A}" name="PivotTable6" cacheId="20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6">
  <location ref="A28:B31" firstHeaderRow="1" firstDataRow="1" firstDataCol="1"/>
  <pivotFields count="7">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showAll="0">
      <items count="7">
        <item x="0"/>
        <item x="1"/>
        <item x="2"/>
        <item x="3"/>
        <item x="4"/>
        <item x="5"/>
        <item t="default"/>
      </items>
    </pivotField>
    <pivotField showAll="0">
      <items count="23">
        <item x="0"/>
        <item x="7"/>
        <item x="1"/>
        <item x="17"/>
        <item x="8"/>
        <item x="2"/>
        <item x="3"/>
        <item x="9"/>
        <item x="21"/>
        <item x="4"/>
        <item x="10"/>
        <item x="19"/>
        <item x="5"/>
        <item x="18"/>
        <item x="16"/>
        <item x="14"/>
        <item x="11"/>
        <item x="6"/>
        <item x="20"/>
        <item x="12"/>
        <item x="15"/>
        <item x="13"/>
        <item t="default"/>
      </items>
    </pivotField>
    <pivotField showAll="0"/>
    <pivotField showAll="0"/>
    <pivotField numFmtId="14" showAll="0">
      <items count="6">
        <item x="0"/>
        <item x="1"/>
        <item x="2"/>
        <item x="3"/>
        <item x="4"/>
        <item t="default"/>
      </items>
    </pivotField>
    <pivotField axis="axisRow" showAll="0">
      <items count="3">
        <item x="1"/>
        <item x="0"/>
        <item t="default"/>
      </items>
    </pivotField>
  </pivotFields>
  <rowFields count="1">
    <field x="6"/>
  </rowFields>
  <rowItems count="3">
    <i>
      <x/>
    </i>
    <i>
      <x v="1"/>
    </i>
    <i t="grand">
      <x/>
    </i>
  </rowItems>
  <colItems count="1">
    <i/>
  </colItems>
  <dataFields count="1">
    <dataField name="Count of Country" fld="1" subtotal="count" baseField="0" baseItem="0"/>
  </dataFields>
  <pivotTableStyleInfo name="PivotStyleLight16" showRowHeaders="1" showColHeaders="1" showRowStripes="0" showColStripes="0" showLastColumn="1"/>
  <filters count="1">
    <filter fld="5" type="dateBetween" evalOrder="-1" id="520" name="Date">
      <autoFilter ref="A1">
        <filterColumn colId="0">
          <customFilters and="1">
            <customFilter operator="greaterThanOrEqual" val="4456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35" cacheId="20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8">
  <location ref="AK1:AL8" firstHeaderRow="1" firstDataRow="1" firstDataCol="1"/>
  <pivotFields count="7">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7">
        <item x="0"/>
        <item x="1"/>
        <item x="2"/>
        <item x="3"/>
        <item x="4"/>
        <item x="5"/>
        <item t="default"/>
      </items>
    </pivotField>
    <pivotField showAll="0"/>
    <pivotField dataField="1" showAll="0"/>
    <pivotField showAll="0"/>
    <pivotField numFmtId="14" showAll="0">
      <items count="6">
        <item x="0"/>
        <item x="1"/>
        <item x="2"/>
        <item x="3"/>
        <item x="4"/>
        <item t="default"/>
      </items>
    </pivotField>
    <pivotField showAll="0"/>
  </pivotFields>
  <rowFields count="1">
    <field x="1"/>
  </rowFields>
  <rowItems count="7">
    <i>
      <x/>
    </i>
    <i>
      <x v="1"/>
    </i>
    <i>
      <x v="2"/>
    </i>
    <i>
      <x v="3"/>
    </i>
    <i>
      <x v="4"/>
    </i>
    <i>
      <x v="5"/>
    </i>
    <i t="grand">
      <x/>
    </i>
  </rowItems>
  <colItems count="1">
    <i/>
  </colItems>
  <dataFields count="1">
    <dataField name="Sum of Amount" fld="3" showDataAs="percentOfTotal" baseField="1" baseItem="0" numFmtId="10"/>
  </dataFields>
  <pivotTableStyleInfo name="PivotStyleLight16" showRowHeaders="1" showColHeaders="1" showRowStripes="0" showColStripes="0" showLastColumn="1"/>
  <filters count="1">
    <filter fld="5" type="dateBetween" evalOrder="-1" id="458" name="Date">
      <autoFilter ref="A1">
        <filterColumn colId="0">
          <customFilters and="1">
            <customFilter operator="greaterThanOrEqual" val="4456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34" cacheId="20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6">
  <location ref="K2:L8" firstHeaderRow="1" firstDataRow="1" firstDataCol="1"/>
  <pivotFields count="7">
    <pivotField axis="axisRow" showAll="0" measureFilter="1" sortType="ascending">
      <items count="26">
        <item x="0"/>
        <item x="1"/>
        <item x="2"/>
        <item x="3"/>
        <item x="4"/>
        <item x="5"/>
        <item x="6"/>
        <item x="7"/>
        <item x="8"/>
        <item x="9"/>
        <item x="10"/>
        <item x="11"/>
        <item x="12"/>
        <item x="13"/>
        <item x="14"/>
        <item x="15"/>
        <item x="16"/>
        <item x="17"/>
        <item x="18"/>
        <item x="19"/>
        <item x="20"/>
        <item x="21"/>
        <item x="22"/>
        <item x="23"/>
        <item x="24"/>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showAll="0">
      <items count="23">
        <item x="0"/>
        <item x="7"/>
        <item x="1"/>
        <item x="17"/>
        <item x="8"/>
        <item x="2"/>
        <item x="3"/>
        <item x="9"/>
        <item x="21"/>
        <item x="4"/>
        <item x="10"/>
        <item x="19"/>
        <item x="5"/>
        <item x="18"/>
        <item x="16"/>
        <item x="14"/>
        <item x="11"/>
        <item x="6"/>
        <item x="20"/>
        <item x="12"/>
        <item x="15"/>
        <item x="13"/>
        <item t="default"/>
      </items>
    </pivotField>
    <pivotField dataField="1" showAll="0"/>
    <pivotField showAll="0"/>
    <pivotField numFmtId="14" showAll="0">
      <items count="6">
        <item x="0"/>
        <item x="1"/>
        <item x="2"/>
        <item x="3"/>
        <item x="4"/>
        <item t="default"/>
      </items>
    </pivotField>
    <pivotField showAll="0"/>
  </pivotFields>
  <rowFields count="1">
    <field x="0"/>
  </rowFields>
  <rowItems count="6">
    <i>
      <x v="3"/>
    </i>
    <i>
      <x v="16"/>
    </i>
    <i>
      <x v="17"/>
    </i>
    <i>
      <x v="20"/>
    </i>
    <i>
      <x v="5"/>
    </i>
    <i t="grand">
      <x/>
    </i>
  </rowItems>
  <colItems count="1">
    <i/>
  </colItems>
  <dataFields count="1">
    <dataField name="Sum of Amount" fld="3" baseField="0" baseItem="0"/>
  </dataFields>
  <chartFormats count="3">
    <chartFormat chart="17" format="1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0" count="1" selected="0">
            <x v="16"/>
          </reference>
        </references>
      </pivotArea>
    </chartFormat>
    <chartFormat chart="17" format="18">
      <pivotArea type="data" outline="0" fieldPosition="0">
        <references count="2">
          <reference field="4294967294" count="1" selected="0">
            <x v="0"/>
          </reference>
          <reference field="0" count="1" selected="0">
            <x v="17"/>
          </reference>
        </references>
      </pivotArea>
    </chartFormat>
  </chartFormats>
  <pivotTableStyleInfo name="PivotStyleLight16" showRowHeaders="1" showColHeaders="1" showRowStripes="0" showColStripes="0" showLastColumn="1"/>
  <filters count="2">
    <filter fld="5" type="dateBetween" evalOrder="-1" id="521" name="Date">
      <autoFilter ref="A1">
        <filterColumn colId="0">
          <customFilters and="1">
            <customFilter operator="greaterThanOrEqual" val="44562"/>
            <customFilter operator="lessThanOrEqual" val="45657"/>
          </customFilters>
        </filterColumn>
      </autoFilter>
      <extLst>
        <ext xmlns:x15="http://schemas.microsoft.com/office/spreadsheetml/2010/11/main" uri="{0605FD5F-26C8-4aeb-8148-2DB25E43C511}">
          <x15:pivotFilter useWholeDay="1"/>
        </ext>
      </extLst>
    </filter>
    <filter fld="0" type="count" evalOrder="-1" id="6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3" cacheId="20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5">
  <location ref="A3:B10" firstHeaderRow="1" firstDataRow="1" firstDataCol="1" rowPageCount="1" colPageCount="1"/>
  <pivotFields count="7">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7">
        <item x="0"/>
        <item x="1"/>
        <item x="2"/>
        <item x="3"/>
        <item x="4"/>
        <item x="5"/>
        <item t="default"/>
      </items>
    </pivotField>
    <pivotField showAll="0">
      <items count="23">
        <item x="0"/>
        <item x="7"/>
        <item x="1"/>
        <item x="17"/>
        <item x="8"/>
        <item x="2"/>
        <item x="3"/>
        <item x="9"/>
        <item x="21"/>
        <item x="4"/>
        <item x="10"/>
        <item x="19"/>
        <item x="5"/>
        <item x="18"/>
        <item x="16"/>
        <item x="14"/>
        <item x="11"/>
        <item x="6"/>
        <item x="20"/>
        <item x="12"/>
        <item x="15"/>
        <item x="13"/>
        <item t="default"/>
      </items>
    </pivotField>
    <pivotField dataField="1" showAll="0"/>
    <pivotField showAll="0"/>
    <pivotField axis="axisPage" numFmtId="14" showAll="0">
      <items count="6">
        <item x="0"/>
        <item x="1"/>
        <item x="2"/>
        <item x="3"/>
        <item x="4"/>
        <item t="default"/>
      </items>
    </pivotField>
    <pivotField showAll="0"/>
  </pivotFields>
  <rowFields count="1">
    <field x="1"/>
  </rowFields>
  <rowItems count="7">
    <i>
      <x/>
    </i>
    <i>
      <x v="1"/>
    </i>
    <i>
      <x v="2"/>
    </i>
    <i>
      <x v="3"/>
    </i>
    <i>
      <x v="4"/>
    </i>
    <i>
      <x v="5"/>
    </i>
    <i t="grand">
      <x/>
    </i>
  </rowItems>
  <colItems count="1">
    <i/>
  </colItems>
  <pageFields count="1">
    <pageField fld="5" hier="-1"/>
  </pageFields>
  <dataFields count="1">
    <dataField name="Sum of Amount" fld="3" showDataAs="percentOfTotal" baseField="0" baseItem="32" numFmtId="10"/>
  </dataFields>
  <chartFormats count="1">
    <chartFormat chart="11" format="9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457" name="Date">
      <autoFilter ref="A1">
        <filterColumn colId="0">
          <customFilters and="1">
            <customFilter operator="greaterThanOrEqual" val="4456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400-000005000000}" name="PivotTable39" cacheId="20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2">
  <location ref="AZ1:BD9" firstHeaderRow="1" firstDataRow="2" firstDataCol="1"/>
  <pivotFields count="7">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7">
        <item x="0"/>
        <item x="1"/>
        <item x="2"/>
        <item x="3"/>
        <item x="4"/>
        <item x="5"/>
        <item t="default"/>
      </items>
    </pivotField>
    <pivotField showAll="0"/>
    <pivotField dataField="1" showAll="0"/>
    <pivotField showAll="0"/>
    <pivotField axis="axisCol" numFmtId="14" showAll="0">
      <items count="6">
        <item x="0"/>
        <item x="1"/>
        <item x="2"/>
        <item x="3"/>
        <item x="4"/>
        <item t="default"/>
      </items>
    </pivotField>
    <pivotField showAll="0"/>
  </pivotFields>
  <rowFields count="1">
    <field x="1"/>
  </rowFields>
  <rowItems count="7">
    <i>
      <x/>
    </i>
    <i>
      <x v="1"/>
    </i>
    <i>
      <x v="2"/>
    </i>
    <i>
      <x v="3"/>
    </i>
    <i>
      <x v="4"/>
    </i>
    <i>
      <x v="5"/>
    </i>
    <i t="grand">
      <x/>
    </i>
  </rowItems>
  <colFields count="1">
    <field x="5"/>
  </colFields>
  <colItems count="4">
    <i>
      <x v="1"/>
    </i>
    <i>
      <x v="2"/>
    </i>
    <i>
      <x v="3"/>
    </i>
    <i t="grand">
      <x/>
    </i>
  </colItems>
  <dataFields count="1">
    <dataField name="Sum of Amount" fld="3" baseField="0" baseItem="0"/>
  </dataFields>
  <pivotTableStyleInfo name="PivotStyleLight16" showRowHeaders="1" showColHeaders="1" showRowStripes="0" showColStripes="0" showLastColumn="1"/>
  <filters count="1">
    <filter fld="5" type="dateBetween" evalOrder="-1" id="457" name="Date">
      <autoFilter ref="A1">
        <filterColumn colId="0">
          <customFilters and="1">
            <customFilter operator="greaterThanOrEqual" val="4456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37" cacheId="20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2">
  <location ref="BQ1:BU9" firstHeaderRow="1" firstDataRow="2" firstDataCol="1"/>
  <pivotFields count="7">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7">
        <item x="0"/>
        <item x="1"/>
        <item x="2"/>
        <item x="3"/>
        <item x="4"/>
        <item x="5"/>
        <item t="default"/>
      </items>
    </pivotField>
    <pivotField showAll="0"/>
    <pivotField dataField="1" showAll="0"/>
    <pivotField showAll="0"/>
    <pivotField axis="axisCol" numFmtId="14" showAll="0">
      <items count="6">
        <item x="0"/>
        <item x="1"/>
        <item x="2"/>
        <item x="3"/>
        <item x="4"/>
        <item t="default"/>
      </items>
    </pivotField>
    <pivotField showAll="0"/>
  </pivotFields>
  <rowFields count="1">
    <field x="1"/>
  </rowFields>
  <rowItems count="7">
    <i>
      <x/>
    </i>
    <i>
      <x v="1"/>
    </i>
    <i>
      <x v="2"/>
    </i>
    <i>
      <x v="3"/>
    </i>
    <i>
      <x v="4"/>
    </i>
    <i>
      <x v="5"/>
    </i>
    <i t="grand">
      <x/>
    </i>
  </rowItems>
  <colFields count="1">
    <field x="5"/>
  </colFields>
  <colItems count="4">
    <i>
      <x v="1"/>
    </i>
    <i>
      <x v="2"/>
    </i>
    <i>
      <x v="3"/>
    </i>
    <i t="grand">
      <x/>
    </i>
  </colItems>
  <dataFields count="1">
    <dataField name="Sum of Amount" fld="3" baseField="0" baseItem="0"/>
  </dataFields>
  <chartFormats count="4">
    <chartFormat chart="43" format="20" series="1">
      <pivotArea type="data" outline="0" fieldPosition="0">
        <references count="2">
          <reference field="4294967294" count="1" selected="0">
            <x v="0"/>
          </reference>
          <reference field="5" count="1" selected="0">
            <x v="1"/>
          </reference>
        </references>
      </pivotArea>
    </chartFormat>
    <chartFormat chart="43" format="21" series="1">
      <pivotArea type="data" outline="0" fieldPosition="0">
        <references count="2">
          <reference field="4294967294" count="1" selected="0">
            <x v="0"/>
          </reference>
          <reference field="5" count="1" selected="0">
            <x v="2"/>
          </reference>
        </references>
      </pivotArea>
    </chartFormat>
    <chartFormat chart="43" format="22" series="1">
      <pivotArea type="data" outline="0" fieldPosition="0">
        <references count="2">
          <reference field="4294967294" count="1" selected="0">
            <x v="0"/>
          </reference>
          <reference field="5" count="1" selected="0">
            <x v="3"/>
          </reference>
        </references>
      </pivotArea>
    </chartFormat>
    <chartFormat chart="43" format="2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457" name="Date">
      <autoFilter ref="A1">
        <filterColumn colId="0">
          <customFilters and="1">
            <customFilter operator="greaterThanOrEqual" val="4456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38" cacheId="20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2">
  <location ref="T1:X9" firstHeaderRow="1" firstDataRow="2" firstDataCol="1"/>
  <pivotFields count="7">
    <pivotField dataField="1"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7">
        <item x="0"/>
        <item x="1"/>
        <item x="2"/>
        <item x="3"/>
        <item x="4"/>
        <item x="5"/>
        <item t="default"/>
      </items>
    </pivotField>
    <pivotField showAll="0"/>
    <pivotField showAll="0"/>
    <pivotField showAll="0"/>
    <pivotField axis="axisCol" numFmtId="14" showAll="0">
      <items count="6">
        <item x="0"/>
        <item x="1"/>
        <item x="2"/>
        <item x="3"/>
        <item x="4"/>
        <item t="default"/>
      </items>
    </pivotField>
    <pivotField showAll="0"/>
  </pivotFields>
  <rowFields count="1">
    <field x="1"/>
  </rowFields>
  <rowItems count="7">
    <i>
      <x/>
    </i>
    <i>
      <x v="1"/>
    </i>
    <i>
      <x v="2"/>
    </i>
    <i>
      <x v="3"/>
    </i>
    <i>
      <x v="4"/>
    </i>
    <i>
      <x v="5"/>
    </i>
    <i t="grand">
      <x/>
    </i>
  </rowItems>
  <colFields count="1">
    <field x="5"/>
  </colFields>
  <colItems count="4">
    <i>
      <x v="1"/>
    </i>
    <i>
      <x v="2"/>
    </i>
    <i>
      <x v="3"/>
    </i>
    <i t="grand">
      <x/>
    </i>
  </colItems>
  <dataFields count="1">
    <dataField name="Count of Sales Person" fld="0" subtotal="count" baseField="0" baseItem="0"/>
  </dataFields>
  <pivotTableStyleInfo name="PivotStyleLight16" showRowHeaders="1" showColHeaders="1" showRowStripes="0" showColStripes="0" showLastColumn="1"/>
  <filters count="1">
    <filter fld="5" type="dateBetween" evalOrder="-1" id="457" name="Date">
      <autoFilter ref="A1">
        <filterColumn colId="0">
          <customFilters and="1">
            <customFilter operator="greaterThanOrEqual" val="4456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00000000-0016-0000-0100-000000000000}" autoFormatId="16" applyNumberFormats="0" applyBorderFormats="0" applyFontFormats="0" applyPatternFormats="0" applyAlignmentFormats="0" applyWidthHeightFormats="0">
  <queryTableRefresh nextId="15" unboundColumnsRight="2">
    <queryTableFields count="7">
      <queryTableField id="1" name="Sales Person" tableColumnId="1"/>
      <queryTableField id="2" name="Country" tableColumnId="2"/>
      <queryTableField id="3" name="Product" tableColumnId="3"/>
      <queryTableField id="7" name="Amount" tableColumnId="7"/>
      <queryTableField id="8" name="Boxes Shipped" tableColumnId="8"/>
      <queryTableField id="10" dataBound="0" tableColumnId="10"/>
      <queryTableField id="12" dataBound="0" tableColumnId="5"/>
    </queryTableFields>
    <queryTableDeletedFields count="3">
      <deletedField name="Merged.1"/>
      <deletedField name="Merged.2"/>
      <deletedField name="Merged.3"/>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00000000-0013-0000-FFFF-FFFF01000000}" sourceName="Sales Person">
  <pivotTables>
    <pivotTable tabId="14" name="PivotTable31"/>
    <pivotTable tabId="18" name="PivotTable35"/>
    <pivotTable tabId="18" name="PivotTable37"/>
    <pivotTable tabId="18" name="PivotTable38"/>
    <pivotTable tabId="18" name="PivotTable39"/>
    <pivotTable tabId="14" name="PivotTable1"/>
    <pivotTable tabId="14" name="PivotTable28"/>
    <pivotTable tabId="14" name="PivotTable29"/>
    <pivotTable tabId="14" name="PivotTable27"/>
    <pivotTable tabId="18" name="PivotTable33"/>
    <pivotTable tabId="18" name="PivotTable6"/>
  </pivotTables>
  <data>
    <tabular pivotCacheId="1010485121">
      <items count="25">
        <i x="0" s="1"/>
        <i x="1" s="1"/>
        <i x="2" s="1"/>
        <i x="3" s="1"/>
        <i x="4" s="1"/>
        <i x="5" s="1"/>
        <i x="6" s="1"/>
        <i x="7" s="1"/>
        <i x="8" s="1"/>
        <i x="9" s="1"/>
        <i x="10" s="1"/>
        <i x="11" s="1"/>
        <i x="12" s="1"/>
        <i x="13" s="1"/>
        <i x="14" s="1"/>
        <i x="15" s="1"/>
        <i x="16" s="1"/>
        <i x="17" s="1"/>
        <i x="18" s="1"/>
        <i x="19" s="1"/>
        <i x="20" s="1"/>
        <i x="21" s="1"/>
        <i x="22" s="1"/>
        <i x="23" s="1"/>
        <i x="2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3000000}" sourceName="Product">
  <pivotTables>
    <pivotTable tabId="14" name="PivotTable31"/>
    <pivotTable tabId="14" name="PivotTable1"/>
    <pivotTable tabId="18" name="PivotTable34"/>
    <pivotTable tabId="14" name="PivotTable27"/>
    <pivotTable tabId="18" name="PivotTable33"/>
    <pivotTable tabId="18" name="PivotTable6"/>
  </pivotTables>
  <data>
    <tabular pivotCacheId="1010485121">
      <items count="22">
        <i x="0" s="1"/>
        <i x="7" s="1"/>
        <i x="1" s="1"/>
        <i x="17" s="1"/>
        <i x="8" s="1"/>
        <i x="2" s="1"/>
        <i x="3" s="1"/>
        <i x="9" s="1"/>
        <i x="21" s="1"/>
        <i x="4" s="1"/>
        <i x="10" s="1"/>
        <i x="19" s="1"/>
        <i x="5" s="1"/>
        <i x="18" s="1"/>
        <i x="16" s="1"/>
        <i x="14" s="1"/>
        <i x="11" s="1"/>
        <i x="6" s="1"/>
        <i x="20" s="1"/>
        <i x="12" s="1"/>
        <i x="15"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F99F79E-1753-440E-BEFD-DE886D0FD2A9}" sourceName="Country">
  <pivotTables>
    <pivotTable tabId="14" name="PivotTable31"/>
    <pivotTable tabId="18" name="PivotTable33"/>
    <pivotTable tabId="18" name="PivotTable34"/>
    <pivotTable tabId="18" name="PivotTable35"/>
    <pivotTable tabId="18" name="PivotTable37"/>
    <pivotTable tabId="18" name="PivotTable38"/>
    <pivotTable tabId="18" name="PivotTable39"/>
    <pivotTable tabId="14" name="PivotTable1"/>
    <pivotTable tabId="14" name="PivotTable28"/>
    <pivotTable tabId="14" name="PivotTable29"/>
    <pivotTable tabId="14" name="PivotTable27"/>
    <pivotTable tabId="18" name="PivotTable6"/>
  </pivotTables>
  <data>
    <tabular pivotCacheId="101048512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A6802994-FA38-4270-8381-1FE969947AE5}" cache="Slicer_Sales_Person" caption="Sales Person" startItem="12" columnCount="2" style="Project" rowHeight="731520"/>
  <slicer name="Product 1" xr10:uid="{0C5E43F9-1342-4901-B209-319AC7B1025E}" cache="Slicer_Product" caption="Product" startItem="4" style="Project" rowHeight="731520"/>
  <slicer name="Country 1" xr10:uid="{4D984A21-2D4E-444D-9565-9B673C12DCA2}" cache="Slicer_Country" caption="Country" columnCount="6" style="Project" rowHeight="6400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1_3" displayName="Table1_3" ref="A1:G3283" tableType="queryTable" totalsRowShown="0">
  <autoFilter ref="A1:G3283" xr:uid="{00000000-000C-0000-FFFF-FFFF01000000}"/>
  <sortState xmlns:xlrd2="http://schemas.microsoft.com/office/spreadsheetml/2017/richdata2" ref="A2:G3283">
    <sortCondition ref="A2:A3283"/>
    <sortCondition ref="B2:B3283"/>
    <sortCondition ref="C2:C3283"/>
    <sortCondition ref="F2:F3283"/>
  </sortState>
  <tableColumns count="7">
    <tableColumn id="1" xr3:uid="{00000000-0010-0000-0100-000001000000}" uniqueName="1" name="Sales Person" queryTableFieldId="1"/>
    <tableColumn id="2" xr3:uid="{00000000-0010-0000-0100-000002000000}" uniqueName="2" name="Country" queryTableFieldId="2"/>
    <tableColumn id="3" xr3:uid="{00000000-0010-0000-0100-000003000000}" uniqueName="3" name="Product" queryTableFieldId="3"/>
    <tableColumn id="7" xr3:uid="{00000000-0010-0000-0100-000007000000}" uniqueName="7" name="Amount" queryTableFieldId="7"/>
    <tableColumn id="8" xr3:uid="{00000000-0010-0000-0100-000008000000}" uniqueName="8" name="Boxes Shipped" queryTableFieldId="8"/>
    <tableColumn id="10" xr3:uid="{00000000-0010-0000-0100-00000A000000}" uniqueName="10" name="Date" queryTableFieldId="10" dataDxfId="5"/>
    <tableColumn id="5" xr3:uid="{4E7BC8F8-BB9F-4E86-8D3E-6D597CEA42FF}" uniqueName="5" name="Type (C&amp;D)" queryTableFieldId="12" dataDxfId="4">
      <calculatedColumnFormula>IF(COUNTIFS(Table1_3[Country],Table1_3[[#This Row],[Country]],Table1_3[Product],Table1_3[[#This Row],[Product]],Table1_3[Sales Person],Table1_3[[#This Row],[Sales Person]],Table1_3[Amount],"&lt;=100")&gt;=2,"Contract","Deal")</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F0BA3A8-3B03-46C9-8B63-A901A0612D61}" sourceName="Date">
  <pivotTables>
    <pivotTable tabId="14" name="PivotTable31"/>
    <pivotTable tabId="14" name="PivotTable28"/>
    <pivotTable tabId="14" name="PivotTable29"/>
    <pivotTable tabId="18" name="PivotTable33"/>
    <pivotTable tabId="18" name="PivotTable34"/>
    <pivotTable tabId="18" name="PivotTable35"/>
    <pivotTable tabId="18" name="PivotTable37"/>
    <pivotTable tabId="18" name="PivotTable38"/>
    <pivotTable tabId="18" name="PivotTable39"/>
    <pivotTable tabId="14" name="PivotTable1"/>
    <pivotTable tabId="14" name="PivotTable27"/>
    <pivotTable tabId="18" name="PivotTable6"/>
  </pivotTables>
  <state minimalRefreshVersion="6" lastRefreshVersion="6" pivotCacheId="1010485121" filterType="dateBetween">
    <selection startDate="2022-01-01T00:00:00" endDate="2024-12-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FA67CEC3-CEEB-4454-9C0D-C689A84105E8}" cache="NativeTimeline_Date" caption="Date" level="0" selectionLevel="0" scrollPosition="2022-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39997558519241921"/>
  </sheetPr>
  <dimension ref="A3:H149"/>
  <sheetViews>
    <sheetView topLeftCell="E1" zoomScale="82" workbookViewId="0">
      <selection activeCell="M19" sqref="M19"/>
    </sheetView>
  </sheetViews>
  <sheetFormatPr defaultRowHeight="14.4" x14ac:dyDescent="0.3"/>
  <cols>
    <col min="1" max="1" width="24.33203125" bestFit="1" customWidth="1"/>
    <col min="2" max="2" width="20.6640625" bestFit="1" customWidth="1"/>
    <col min="3" max="18" width="19.88671875" bestFit="1" customWidth="1"/>
    <col min="19" max="19" width="19" bestFit="1" customWidth="1"/>
    <col min="20" max="20" width="24.44140625" bestFit="1" customWidth="1"/>
    <col min="21" max="36" width="19.88671875" bestFit="1" customWidth="1"/>
    <col min="37" max="37" width="19" bestFit="1" customWidth="1"/>
    <col min="38" max="38" width="24.44140625" bestFit="1" customWidth="1"/>
    <col min="39" max="54" width="19.88671875" bestFit="1" customWidth="1"/>
    <col min="55" max="55" width="19" bestFit="1" customWidth="1"/>
    <col min="56" max="56" width="24.44140625" bestFit="1" customWidth="1"/>
  </cols>
  <sheetData>
    <row r="3" spans="1:8" x14ac:dyDescent="0.3">
      <c r="C3" s="5" t="s">
        <v>3</v>
      </c>
      <c r="D3" s="5" t="s">
        <v>372</v>
      </c>
    </row>
    <row r="4" spans="1:8" x14ac:dyDescent="0.3">
      <c r="C4" s="1" t="s">
        <v>374</v>
      </c>
      <c r="E4" s="1" t="s">
        <v>375</v>
      </c>
      <c r="G4" s="1" t="s">
        <v>376</v>
      </c>
    </row>
    <row r="5" spans="1:8" x14ac:dyDescent="0.3">
      <c r="A5" s="5" t="s">
        <v>1</v>
      </c>
      <c r="B5" s="5" t="s">
        <v>2</v>
      </c>
      <c r="C5" t="s">
        <v>368</v>
      </c>
      <c r="D5" t="s">
        <v>373</v>
      </c>
      <c r="E5" t="s">
        <v>368</v>
      </c>
      <c r="F5" t="s">
        <v>373</v>
      </c>
      <c r="G5" t="s">
        <v>368</v>
      </c>
      <c r="H5" t="s">
        <v>373</v>
      </c>
    </row>
    <row r="6" spans="1:8" x14ac:dyDescent="0.3">
      <c r="A6" t="s">
        <v>15</v>
      </c>
      <c r="C6" s="16">
        <v>5.7467239491911709E-2</v>
      </c>
      <c r="D6" s="16">
        <v>6.0415228627421227E-2</v>
      </c>
      <c r="E6" s="16">
        <v>6.2023053483736816E-2</v>
      </c>
      <c r="F6" s="16">
        <v>6.1917883255578975E-2</v>
      </c>
      <c r="G6" s="16">
        <v>6.4751988324387735E-2</v>
      </c>
      <c r="H6" s="16">
        <v>6.2015962929584348E-2</v>
      </c>
    </row>
    <row r="7" spans="1:8" x14ac:dyDescent="0.3">
      <c r="B7" t="s">
        <v>26</v>
      </c>
      <c r="C7" s="16">
        <v>4.5080805421181961E-3</v>
      </c>
      <c r="D7" s="16">
        <v>5.888481560096007E-3</v>
      </c>
      <c r="E7" s="16">
        <v>4.7121623618226367E-3</v>
      </c>
      <c r="F7" s="16">
        <v>5.9828601143275895E-3</v>
      </c>
      <c r="G7" s="16">
        <v>4.930569471201165E-3</v>
      </c>
      <c r="H7" s="16">
        <v>6.064284749350916E-3</v>
      </c>
    </row>
    <row r="8" spans="1:8" x14ac:dyDescent="0.3">
      <c r="B8" t="s">
        <v>100</v>
      </c>
      <c r="C8" s="16">
        <v>1.9884221565815551E-3</v>
      </c>
      <c r="D8" s="16">
        <v>3.8917274421376188E-3</v>
      </c>
      <c r="E8" s="16">
        <v>2.1669233905911712E-3</v>
      </c>
      <c r="F8" s="16">
        <v>3.9694509573871576E-3</v>
      </c>
      <c r="G8" s="16">
        <v>2.2888348798385948E-3</v>
      </c>
      <c r="H8" s="16">
        <v>3.9620487178395822E-3</v>
      </c>
    </row>
    <row r="9" spans="1:8" x14ac:dyDescent="0.3">
      <c r="B9" t="s">
        <v>11</v>
      </c>
      <c r="C9" s="16">
        <v>1.9442114184860916E-3</v>
      </c>
      <c r="D9" s="16">
        <v>2.2206718642725355E-3</v>
      </c>
      <c r="E9" s="16">
        <v>2.1028865364713894E-3</v>
      </c>
      <c r="F9" s="16">
        <v>2.2225224241594296E-3</v>
      </c>
      <c r="G9" s="16">
        <v>2.1877949010968558E-3</v>
      </c>
      <c r="H9" s="16">
        <v>2.3094987388434371E-3</v>
      </c>
    </row>
    <row r="10" spans="1:8" x14ac:dyDescent="0.3">
      <c r="B10" t="s">
        <v>20</v>
      </c>
      <c r="C10" s="16">
        <v>2.7743122369665095E-3</v>
      </c>
      <c r="D10" s="16">
        <v>2.4982558473066025E-3</v>
      </c>
      <c r="E10" s="16">
        <v>3.0192053679560559E-3</v>
      </c>
      <c r="F10" s="16">
        <v>2.5056580868541779E-3</v>
      </c>
      <c r="G10" s="16">
        <v>3.1116679582416972E-3</v>
      </c>
      <c r="H10" s="16">
        <v>2.6129905602940168E-3</v>
      </c>
    </row>
    <row r="11" spans="1:8" x14ac:dyDescent="0.3">
      <c r="B11" t="s">
        <v>23</v>
      </c>
      <c r="C11" s="16">
        <v>1.4030719841976215E-3</v>
      </c>
      <c r="D11" s="16">
        <v>1.687710616847127E-3</v>
      </c>
      <c r="E11" s="16">
        <v>1.5369572571180313E-3</v>
      </c>
      <c r="F11" s="16">
        <v>1.6840094970733395E-3</v>
      </c>
      <c r="G11" s="16">
        <v>1.5901167538695943E-3</v>
      </c>
      <c r="H11" s="16">
        <v>1.6821589371864459E-3</v>
      </c>
    </row>
    <row r="12" spans="1:8" x14ac:dyDescent="0.3">
      <c r="B12" t="s">
        <v>65</v>
      </c>
      <c r="C12" s="16">
        <v>2.3686345042025388E-3</v>
      </c>
      <c r="D12" s="16">
        <v>4.0231171941070773E-3</v>
      </c>
      <c r="E12" s="16">
        <v>2.5752810519820944E-3</v>
      </c>
      <c r="F12" s="16">
        <v>4.0841856703745716E-3</v>
      </c>
      <c r="G12" s="16">
        <v>2.6761967353915884E-3</v>
      </c>
      <c r="H12" s="16">
        <v>4.2174259822309237E-3</v>
      </c>
    </row>
    <row r="13" spans="1:8" x14ac:dyDescent="0.3">
      <c r="B13" t="s">
        <v>87</v>
      </c>
      <c r="C13" s="16">
        <v>2.945849900776907E-3</v>
      </c>
      <c r="D13" s="16">
        <v>2.3261537778254812E-3</v>
      </c>
      <c r="E13" s="16">
        <v>3.1287671559402873E-3</v>
      </c>
      <c r="F13" s="16">
        <v>2.4445896105866828E-3</v>
      </c>
      <c r="G13" s="16">
        <v>3.3101574985262452E-3</v>
      </c>
      <c r="H13" s="16">
        <v>2.3465099365813126E-3</v>
      </c>
    </row>
    <row r="14" spans="1:8" x14ac:dyDescent="0.3">
      <c r="B14" t="s">
        <v>90</v>
      </c>
      <c r="C14" s="16">
        <v>2.0184854584864701E-3</v>
      </c>
      <c r="D14" s="16">
        <v>1.0992325728149052E-3</v>
      </c>
      <c r="E14" s="16">
        <v>2.2301866831106773E-3</v>
      </c>
      <c r="F14" s="16">
        <v>1.1010831327017989E-3</v>
      </c>
      <c r="G14" s="16">
        <v>2.2578898894996622E-3</v>
      </c>
      <c r="H14" s="16">
        <v>1.0955314530411175E-3</v>
      </c>
    </row>
    <row r="15" spans="1:8" x14ac:dyDescent="0.3">
      <c r="B15" t="s">
        <v>75</v>
      </c>
      <c r="C15" s="16">
        <v>1.8869143019143713E-3</v>
      </c>
      <c r="D15" s="16">
        <v>1.3287019987897339E-3</v>
      </c>
      <c r="E15" s="16">
        <v>2.023994874351532E-3</v>
      </c>
      <c r="F15" s="16">
        <v>1.3398053581110965E-3</v>
      </c>
      <c r="G15" s="16">
        <v>2.1099966336882965E-3</v>
      </c>
      <c r="H15" s="16">
        <v>1.3675637564145031E-3</v>
      </c>
    </row>
    <row r="16" spans="1:8" x14ac:dyDescent="0.3">
      <c r="B16" t="s">
        <v>38</v>
      </c>
      <c r="C16" s="16">
        <v>2.6374357918229553E-3</v>
      </c>
      <c r="D16" s="16">
        <v>3.3254561167481221E-3</v>
      </c>
      <c r="E16" s="16">
        <v>2.7613445959011372E-3</v>
      </c>
      <c r="F16" s="16">
        <v>3.4531447489437928E-3</v>
      </c>
      <c r="G16" s="16">
        <v>2.9622816426466505E-3</v>
      </c>
      <c r="H16" s="16">
        <v>3.3199044370874407E-3</v>
      </c>
    </row>
    <row r="17" spans="1:8" x14ac:dyDescent="0.3">
      <c r="B17" t="s">
        <v>36</v>
      </c>
      <c r="C17" s="16">
        <v>3.2500197788736941E-3</v>
      </c>
      <c r="D17" s="16">
        <v>2.4630952094556206E-3</v>
      </c>
      <c r="E17" s="16">
        <v>3.5125648681044183E-3</v>
      </c>
      <c r="F17" s="16">
        <v>2.5593243235740972E-3</v>
      </c>
      <c r="G17" s="16">
        <v>3.7706732202926721E-3</v>
      </c>
      <c r="H17" s="16">
        <v>2.4408884908128955E-3</v>
      </c>
    </row>
    <row r="18" spans="1:8" x14ac:dyDescent="0.3">
      <c r="B18" t="s">
        <v>57</v>
      </c>
      <c r="C18" s="16">
        <v>2.682353901727946E-3</v>
      </c>
      <c r="D18" s="16">
        <v>1.8505598868937797E-3</v>
      </c>
      <c r="E18" s="16">
        <v>2.8339800596313032E-3</v>
      </c>
      <c r="F18" s="16">
        <v>1.9227317224826371E-3</v>
      </c>
      <c r="G18" s="16">
        <v>2.95033766964278E-3</v>
      </c>
      <c r="H18" s="16">
        <v>1.8968238840661243E-3</v>
      </c>
    </row>
    <row r="19" spans="1:8" x14ac:dyDescent="0.3">
      <c r="B19" t="s">
        <v>60</v>
      </c>
      <c r="C19" s="16">
        <v>2.3226553365832572E-3</v>
      </c>
      <c r="D19" s="16">
        <v>2.6629556772401492E-3</v>
      </c>
      <c r="E19" s="16">
        <v>2.5702829648822055E-3</v>
      </c>
      <c r="F19" s="16">
        <v>2.7499319919241567E-3</v>
      </c>
      <c r="G19" s="16">
        <v>2.6769521074310478E-3</v>
      </c>
      <c r="H19" s="16">
        <v>2.79064430943582E-3</v>
      </c>
    </row>
    <row r="20" spans="1:8" x14ac:dyDescent="0.3">
      <c r="B20" t="s">
        <v>46</v>
      </c>
      <c r="C20" s="16">
        <v>3.0908611217300265E-3</v>
      </c>
      <c r="D20" s="16">
        <v>3.3698695540335727E-3</v>
      </c>
      <c r="E20" s="16">
        <v>3.4319679346580226E-3</v>
      </c>
      <c r="F20" s="16">
        <v>3.419834670979705E-3</v>
      </c>
      <c r="G20" s="16">
        <v>3.478766643045199E-3</v>
      </c>
      <c r="H20" s="16">
        <v>3.5493738630622694E-3</v>
      </c>
    </row>
    <row r="21" spans="1:8" x14ac:dyDescent="0.3">
      <c r="B21" t="s">
        <v>8</v>
      </c>
      <c r="C21" s="16">
        <v>2.5617470082035221E-3</v>
      </c>
      <c r="D21" s="16">
        <v>1.9967541179583882E-3</v>
      </c>
      <c r="E21" s="16">
        <v>2.7441211028703017E-3</v>
      </c>
      <c r="F21" s="16">
        <v>2.1059371512851211E-3</v>
      </c>
      <c r="G21" s="16">
        <v>2.801896200679031E-3</v>
      </c>
      <c r="H21" s="16">
        <v>2.0467192349045205E-3</v>
      </c>
    </row>
    <row r="22" spans="1:8" x14ac:dyDescent="0.3">
      <c r="B22" t="s">
        <v>33</v>
      </c>
      <c r="C22" s="16">
        <v>3.0172944535391756E-3</v>
      </c>
      <c r="D22" s="16">
        <v>3.2070202839869204E-3</v>
      </c>
      <c r="E22" s="16">
        <v>3.2336845427293932E-3</v>
      </c>
      <c r="F22" s="16">
        <v>3.3050999579922907E-3</v>
      </c>
      <c r="G22" s="16">
        <v>3.4215215688280366E-3</v>
      </c>
      <c r="H22" s="16">
        <v>3.2070202839869204E-3</v>
      </c>
    </row>
    <row r="23" spans="1:8" x14ac:dyDescent="0.3">
      <c r="B23" t="s">
        <v>42</v>
      </c>
      <c r="C23" s="16">
        <v>3.0540777876346009E-3</v>
      </c>
      <c r="D23" s="16">
        <v>3.1329978885111689E-3</v>
      </c>
      <c r="E23" s="16">
        <v>3.3920181011838049E-3</v>
      </c>
      <c r="F23" s="16">
        <v>3.1589057269276822E-3</v>
      </c>
      <c r="G23" s="16">
        <v>3.4902220242349173E-3</v>
      </c>
      <c r="H23" s="16">
        <v>3.2606865207068397E-3</v>
      </c>
    </row>
    <row r="24" spans="1:8" x14ac:dyDescent="0.3">
      <c r="B24" t="s">
        <v>13</v>
      </c>
      <c r="C24" s="16">
        <v>2.0743678314391356E-3</v>
      </c>
      <c r="D24" s="16">
        <v>2.0115585970535386E-3</v>
      </c>
      <c r="E24" s="16">
        <v>2.2461919808323917E-3</v>
      </c>
      <c r="F24" s="16">
        <v>2.0652248337734583E-3</v>
      </c>
      <c r="G24" s="16">
        <v>2.3160959788466251E-3</v>
      </c>
      <c r="H24" s="16">
        <v>2.0097080371666446E-3</v>
      </c>
    </row>
    <row r="25" spans="1:8" x14ac:dyDescent="0.3">
      <c r="B25" t="s">
        <v>73</v>
      </c>
      <c r="C25" s="16">
        <v>2.6692675232516888E-3</v>
      </c>
      <c r="D25" s="16">
        <v>2.3890728139798695E-3</v>
      </c>
      <c r="E25" s="16">
        <v>2.8986656747535377E-3</v>
      </c>
      <c r="F25" s="16">
        <v>2.461244649568727E-3</v>
      </c>
      <c r="G25" s="16">
        <v>2.9718200462325495E-3</v>
      </c>
      <c r="H25" s="16">
        <v>2.4575435297949397E-3</v>
      </c>
    </row>
    <row r="26" spans="1:8" x14ac:dyDescent="0.3">
      <c r="B26" t="s">
        <v>18</v>
      </c>
      <c r="C26" s="16">
        <v>2.2872867461068863E-3</v>
      </c>
      <c r="D26" s="16">
        <v>2.4538424100211519E-3</v>
      </c>
      <c r="E26" s="16">
        <v>2.4610273678383836E-3</v>
      </c>
      <c r="F26" s="16">
        <v>2.5574737636872035E-3</v>
      </c>
      <c r="G26" s="16">
        <v>2.5938536041068151E-3</v>
      </c>
      <c r="H26" s="16">
        <v>2.5149108862886466E-3</v>
      </c>
    </row>
    <row r="27" spans="1:8" x14ac:dyDescent="0.3">
      <c r="B27" t="s">
        <v>50</v>
      </c>
      <c r="C27" s="16">
        <v>3.0823726600156974E-3</v>
      </c>
      <c r="D27" s="16">
        <v>3.7936477681322486E-3</v>
      </c>
      <c r="E27" s="16">
        <v>3.3228189486512075E-3</v>
      </c>
      <c r="F27" s="16">
        <v>3.8935780020245125E-3</v>
      </c>
      <c r="G27" s="16">
        <v>3.535878327149708E-3</v>
      </c>
      <c r="H27" s="16">
        <v>3.9990599155774577E-3</v>
      </c>
    </row>
    <row r="28" spans="1:8" x14ac:dyDescent="0.3">
      <c r="B28" t="s">
        <v>59</v>
      </c>
      <c r="C28" s="16">
        <v>2.8995170472528617E-3</v>
      </c>
      <c r="D28" s="16">
        <v>2.7943454292096073E-3</v>
      </c>
      <c r="E28" s="16">
        <v>3.1180206623568308E-3</v>
      </c>
      <c r="F28" s="16">
        <v>2.9312868608397471E-3</v>
      </c>
      <c r="G28" s="16">
        <v>3.3184645698979883E-3</v>
      </c>
      <c r="H28" s="16">
        <v>2.864666704911571E-3</v>
      </c>
    </row>
    <row r="29" spans="1:8" x14ac:dyDescent="0.3">
      <c r="C29" s="16"/>
      <c r="D29" s="16"/>
      <c r="E29" s="16"/>
      <c r="F29" s="16"/>
      <c r="G29" s="16"/>
      <c r="H29" s="16"/>
    </row>
    <row r="30" spans="1:8" x14ac:dyDescent="0.3">
      <c r="A30" t="s">
        <v>35</v>
      </c>
      <c r="C30" s="16">
        <v>4.8651972001581098E-2</v>
      </c>
      <c r="D30" s="16">
        <v>5.7776330228710697E-2</v>
      </c>
      <c r="E30" s="16">
        <v>5.2168402151359011E-2</v>
      </c>
      <c r="F30" s="16">
        <v>5.9241973659130573E-2</v>
      </c>
      <c r="G30" s="16">
        <v>5.4725414315828912E-2</v>
      </c>
      <c r="H30" s="16">
        <v>5.9077273829197023E-2</v>
      </c>
    </row>
    <row r="31" spans="1:8" x14ac:dyDescent="0.3">
      <c r="B31" t="s">
        <v>26</v>
      </c>
      <c r="C31" s="16">
        <v>2.2795056562020851E-3</v>
      </c>
      <c r="D31" s="16">
        <v>1.2694840824091329E-3</v>
      </c>
      <c r="E31" s="16">
        <v>2.4160521629230523E-3</v>
      </c>
      <c r="F31" s="16">
        <v>1.2657829626353454E-3</v>
      </c>
      <c r="G31" s="16">
        <v>2.4693238286329837E-3</v>
      </c>
      <c r="H31" s="16">
        <v>1.2787368818436018E-3</v>
      </c>
    </row>
    <row r="32" spans="1:8" x14ac:dyDescent="0.3">
      <c r="B32" t="s">
        <v>100</v>
      </c>
      <c r="C32" s="16">
        <v>2.9822795489675685E-3</v>
      </c>
      <c r="D32" s="16">
        <v>2.9201835015183844E-3</v>
      </c>
      <c r="E32" s="16">
        <v>3.2231982609187276E-3</v>
      </c>
      <c r="F32" s="16">
        <v>3.0090103760892859E-3</v>
      </c>
      <c r="G32" s="16">
        <v>3.3793349246389786E-3</v>
      </c>
      <c r="H32" s="16">
        <v>2.9775508580120917E-3</v>
      </c>
    </row>
    <row r="33" spans="2:8" x14ac:dyDescent="0.3">
      <c r="B33" t="s">
        <v>11</v>
      </c>
      <c r="C33" s="16">
        <v>1.9162702320097589E-3</v>
      </c>
      <c r="D33" s="16">
        <v>1.7580318925490908E-3</v>
      </c>
      <c r="E33" s="16">
        <v>2.0235406405966997E-3</v>
      </c>
      <c r="F33" s="16">
        <v>1.7950430902869663E-3</v>
      </c>
      <c r="G33" s="16">
        <v>2.1382197583572839E-3</v>
      </c>
      <c r="H33" s="16">
        <v>1.8505598868937797E-3</v>
      </c>
    </row>
    <row r="34" spans="2:8" x14ac:dyDescent="0.3">
      <c r="B34" t="s">
        <v>20</v>
      </c>
      <c r="C34" s="16">
        <v>2.2331728026780393E-3</v>
      </c>
      <c r="D34" s="16">
        <v>2.6407489585974237E-3</v>
      </c>
      <c r="E34" s="16">
        <v>2.3641927145042849E-3</v>
      </c>
      <c r="F34" s="16">
        <v>2.7499319919241567E-3</v>
      </c>
      <c r="G34" s="16">
        <v>2.4972564255944865E-3</v>
      </c>
      <c r="H34" s="16">
        <v>2.7258747133945375E-3</v>
      </c>
    </row>
    <row r="35" spans="2:8" x14ac:dyDescent="0.3">
      <c r="B35" t="s">
        <v>23</v>
      </c>
      <c r="C35" s="16">
        <v>2.1217617426774723E-3</v>
      </c>
      <c r="D35" s="16">
        <v>2.4982558473066025E-3</v>
      </c>
      <c r="E35" s="16">
        <v>2.2338690586448458E-3</v>
      </c>
      <c r="F35" s="16">
        <v>2.5667265631216726E-3</v>
      </c>
      <c r="G35" s="16">
        <v>2.4589340525477607E-3</v>
      </c>
      <c r="H35" s="16">
        <v>2.5593243235740972E-3</v>
      </c>
    </row>
    <row r="36" spans="2:8" x14ac:dyDescent="0.3">
      <c r="B36" t="s">
        <v>65</v>
      </c>
      <c r="C36" s="16">
        <v>2.1235301722012908E-3</v>
      </c>
      <c r="D36" s="16">
        <v>1.0289112971129414E-3</v>
      </c>
      <c r="E36" s="16">
        <v>2.2775790785522789E-3</v>
      </c>
      <c r="F36" s="16">
        <v>1.0492674558687731E-3</v>
      </c>
      <c r="G36" s="16">
        <v>2.4459684325447012E-3</v>
      </c>
      <c r="H36" s="16">
        <v>1.0196584976784725E-3</v>
      </c>
    </row>
    <row r="37" spans="2:8" x14ac:dyDescent="0.3">
      <c r="B37" t="s">
        <v>87</v>
      </c>
      <c r="C37" s="16">
        <v>1.8419961920093807E-3</v>
      </c>
      <c r="D37" s="16">
        <v>1.822801488590373E-3</v>
      </c>
      <c r="E37" s="16">
        <v>1.9442240501255474E-3</v>
      </c>
      <c r="F37" s="16">
        <v>1.8635138061020363E-3</v>
      </c>
      <c r="G37" s="16">
        <v>2.1032250644088066E-3</v>
      </c>
      <c r="H37" s="16">
        <v>1.8320542880248419E-3</v>
      </c>
    </row>
    <row r="38" spans="2:8" x14ac:dyDescent="0.3">
      <c r="B38" t="s">
        <v>90</v>
      </c>
      <c r="C38" s="16">
        <v>1.6863743939133501E-3</v>
      </c>
      <c r="D38" s="16">
        <v>3.7381309715254349E-3</v>
      </c>
      <c r="E38" s="16">
        <v>1.8695427660691125E-3</v>
      </c>
      <c r="F38" s="16">
        <v>3.7455332110730103E-3</v>
      </c>
      <c r="G38" s="16">
        <v>1.8115180670647353E-3</v>
      </c>
      <c r="H38" s="16">
        <v>3.863969043834212E-3</v>
      </c>
    </row>
    <row r="39" spans="2:8" x14ac:dyDescent="0.3">
      <c r="B39" t="s">
        <v>75</v>
      </c>
      <c r="C39" s="16">
        <v>2.903407592205262E-3</v>
      </c>
      <c r="D39" s="16">
        <v>4.5375728426635476E-3</v>
      </c>
      <c r="E39" s="16">
        <v>3.0503959173660109E-3</v>
      </c>
      <c r="F39" s="16">
        <v>4.6282502771213428E-3</v>
      </c>
      <c r="G39" s="16">
        <v>3.3157578621953892E-3</v>
      </c>
      <c r="H39" s="16">
        <v>4.5653312409669545E-3</v>
      </c>
    </row>
    <row r="40" spans="2:8" x14ac:dyDescent="0.3">
      <c r="B40" t="s">
        <v>38</v>
      </c>
      <c r="C40" s="16">
        <v>2.4234558194409133E-3</v>
      </c>
      <c r="D40" s="16">
        <v>3.6641085760496838E-3</v>
      </c>
      <c r="E40" s="16">
        <v>2.5981104666034354E-3</v>
      </c>
      <c r="F40" s="16">
        <v>3.81400392688808E-3</v>
      </c>
      <c r="G40" s="16">
        <v>2.7110858288342146E-3</v>
      </c>
      <c r="H40" s="16">
        <v>3.6733613754841529E-3</v>
      </c>
    </row>
    <row r="41" spans="2:8" x14ac:dyDescent="0.3">
      <c r="B41" t="s">
        <v>36</v>
      </c>
      <c r="C41" s="16">
        <v>1.2290585190538781E-3</v>
      </c>
      <c r="D41" s="16">
        <v>3.8880263223638311E-3</v>
      </c>
      <c r="E41" s="16">
        <v>1.3397692809630135E-3</v>
      </c>
      <c r="F41" s="16">
        <v>3.8972791217983002E-3</v>
      </c>
      <c r="G41" s="16">
        <v>1.3614825639220356E-3</v>
      </c>
      <c r="H41" s="16">
        <v>3.9194858404410253E-3</v>
      </c>
    </row>
    <row r="42" spans="2:8" x14ac:dyDescent="0.3">
      <c r="B42" t="s">
        <v>57</v>
      </c>
      <c r="C42" s="16">
        <v>2.5224878727747508E-3</v>
      </c>
      <c r="D42" s="16">
        <v>2.9035284625363402E-3</v>
      </c>
      <c r="E42" s="16">
        <v>2.7558695380953953E-3</v>
      </c>
      <c r="F42" s="16">
        <v>2.9905047772203481E-3</v>
      </c>
      <c r="G42" s="16">
        <v>2.7802511285730707E-3</v>
      </c>
      <c r="H42" s="16">
        <v>2.9886542173334541E-3</v>
      </c>
    </row>
    <row r="43" spans="2:8" x14ac:dyDescent="0.3">
      <c r="B43" t="s">
        <v>60</v>
      </c>
      <c r="C43" s="16">
        <v>2.5560880337273028E-3</v>
      </c>
      <c r="D43" s="16">
        <v>2.8184027077392264E-3</v>
      </c>
      <c r="E43" s="16">
        <v>2.6879138441508314E-3</v>
      </c>
      <c r="F43" s="16">
        <v>2.8924251032149775E-3</v>
      </c>
      <c r="G43" s="16">
        <v>2.8989733814906819E-3</v>
      </c>
      <c r="H43" s="16">
        <v>2.9053790224232343E-3</v>
      </c>
    </row>
    <row r="44" spans="2:8" x14ac:dyDescent="0.3">
      <c r="B44" t="s">
        <v>46</v>
      </c>
      <c r="C44" s="16">
        <v>2.1083216782964514E-3</v>
      </c>
      <c r="D44" s="16">
        <v>1.5341141462349435E-3</v>
      </c>
      <c r="E44" s="16">
        <v>2.3156750926199561E-3</v>
      </c>
      <c r="F44" s="16">
        <v>1.5526197451038812E-3</v>
      </c>
      <c r="G44" s="16">
        <v>2.3640315347848283E-3</v>
      </c>
      <c r="H44" s="16">
        <v>1.5563208648776688E-3</v>
      </c>
    </row>
    <row r="45" spans="2:8" x14ac:dyDescent="0.3">
      <c r="B45" t="s">
        <v>8</v>
      </c>
      <c r="C45" s="16">
        <v>7.855363944801909E-4</v>
      </c>
      <c r="D45" s="16">
        <v>2.0134091569404323E-3</v>
      </c>
      <c r="E45" s="16">
        <v>8.537699844927834E-4</v>
      </c>
      <c r="F45" s="16">
        <v>2.1059371512851211E-3</v>
      </c>
      <c r="G45" s="16">
        <v>8.8559918959362556E-4</v>
      </c>
      <c r="H45" s="16">
        <v>2.1540517083443594E-3</v>
      </c>
    </row>
    <row r="46" spans="2:8" x14ac:dyDescent="0.3">
      <c r="B46" t="s">
        <v>33</v>
      </c>
      <c r="C46" s="16">
        <v>2.5847365920131631E-3</v>
      </c>
      <c r="D46" s="16">
        <v>3.1811124455704072E-3</v>
      </c>
      <c r="E46" s="16">
        <v>2.8236766839599583E-3</v>
      </c>
      <c r="F46" s="16">
        <v>3.3328583562956971E-3</v>
      </c>
      <c r="G46" s="16">
        <v>2.926997936787423E-3</v>
      </c>
      <c r="H46" s="16">
        <v>3.199618044439345E-3</v>
      </c>
    </row>
    <row r="47" spans="2:8" x14ac:dyDescent="0.3">
      <c r="B47" t="s">
        <v>42</v>
      </c>
      <c r="C47" s="16">
        <v>1.8508383396284734E-3</v>
      </c>
      <c r="D47" s="16">
        <v>2.4316356913784264E-3</v>
      </c>
      <c r="E47" s="16">
        <v>1.9725573226905893E-3</v>
      </c>
      <c r="F47" s="16">
        <v>2.4964052874197088E-3</v>
      </c>
      <c r="G47" s="16">
        <v>2.130841870383913E-3</v>
      </c>
      <c r="H47" s="16">
        <v>2.4797502484376647E-3</v>
      </c>
    </row>
    <row r="48" spans="2:8" x14ac:dyDescent="0.3">
      <c r="B48" t="s">
        <v>13</v>
      </c>
      <c r="C48" s="16">
        <v>3.1417918920160002E-3</v>
      </c>
      <c r="D48" s="16">
        <v>2.7610353512455194E-3</v>
      </c>
      <c r="E48" s="16">
        <v>3.3508748304137987E-3</v>
      </c>
      <c r="F48" s="16">
        <v>2.8961262229887652E-3</v>
      </c>
      <c r="G48" s="16">
        <v>3.5980891514697522E-3</v>
      </c>
      <c r="H48" s="16">
        <v>2.8665172647984647E-3</v>
      </c>
    </row>
    <row r="49" spans="1:8" x14ac:dyDescent="0.3">
      <c r="B49" t="s">
        <v>73</v>
      </c>
      <c r="C49" s="16">
        <v>6.5042837886045526E-4</v>
      </c>
      <c r="D49" s="16">
        <v>1.7968936501738602E-3</v>
      </c>
      <c r="E49" s="16">
        <v>7.126477926953299E-4</v>
      </c>
      <c r="F49" s="16">
        <v>1.8339048479117357E-3</v>
      </c>
      <c r="G49" s="16">
        <v>7.2407791060613656E-4</v>
      </c>
      <c r="H49" s="16">
        <v>1.8524104467806735E-3</v>
      </c>
    </row>
    <row r="50" spans="1:8" x14ac:dyDescent="0.3">
      <c r="B50" t="s">
        <v>18</v>
      </c>
      <c r="C50" s="16">
        <v>3.4487912573508968E-3</v>
      </c>
      <c r="D50" s="16">
        <v>4.2026215031357736E-3</v>
      </c>
      <c r="E50" s="16">
        <v>3.7044041028482526E-3</v>
      </c>
      <c r="F50" s="16">
        <v>4.2118743025702423E-3</v>
      </c>
      <c r="G50" s="16">
        <v>3.8677786959767039E-3</v>
      </c>
      <c r="H50" s="16">
        <v>4.2488855003081178E-3</v>
      </c>
    </row>
    <row r="51" spans="1:8" x14ac:dyDescent="0.3">
      <c r="B51" t="s">
        <v>50</v>
      </c>
      <c r="C51" s="16">
        <v>2.9331172082054137E-3</v>
      </c>
      <c r="D51" s="16">
        <v>3.0700788523567806E-3</v>
      </c>
      <c r="E51" s="16">
        <v>3.1772443565783576E-3</v>
      </c>
      <c r="F51" s="16">
        <v>3.2218247630820705E-3</v>
      </c>
      <c r="G51" s="16">
        <v>3.2523010529594198E-3</v>
      </c>
      <c r="H51" s="16">
        <v>3.1977674845524513E-3</v>
      </c>
    </row>
    <row r="52" spans="1:8" x14ac:dyDescent="0.3">
      <c r="B52" t="s">
        <v>59</v>
      </c>
      <c r="C52" s="16">
        <v>2.3290216828690037E-3</v>
      </c>
      <c r="D52" s="16">
        <v>1.2972424807125395E-3</v>
      </c>
      <c r="E52" s="16">
        <v>2.473294205546745E-3</v>
      </c>
      <c r="F52" s="16">
        <v>1.3231503191290525E-3</v>
      </c>
      <c r="G52" s="16">
        <v>2.6043656544619707E-3</v>
      </c>
      <c r="H52" s="16">
        <v>1.3620120767538219E-3</v>
      </c>
    </row>
    <row r="53" spans="1:8" x14ac:dyDescent="0.3">
      <c r="C53" s="16"/>
      <c r="D53" s="16"/>
      <c r="E53" s="16"/>
      <c r="F53" s="16"/>
      <c r="G53" s="16"/>
      <c r="H53" s="16"/>
    </row>
    <row r="54" spans="1:8" x14ac:dyDescent="0.3">
      <c r="A54" t="s">
        <v>10</v>
      </c>
      <c r="C54" s="16">
        <v>5.2840674171697667E-2</v>
      </c>
      <c r="D54" s="16">
        <v>5.4535999866759687E-2</v>
      </c>
      <c r="E54" s="16">
        <v>5.6450816433536208E-2</v>
      </c>
      <c r="F54" s="16">
        <v>5.591281642260866E-2</v>
      </c>
      <c r="G54" s="16">
        <v>5.9655718522601479E-2</v>
      </c>
      <c r="H54" s="16">
        <v>5.6042355614691224E-2</v>
      </c>
    </row>
    <row r="55" spans="1:8" x14ac:dyDescent="0.3">
      <c r="B55" t="s">
        <v>26</v>
      </c>
      <c r="C55" s="16">
        <v>3.2613377278261327E-3</v>
      </c>
      <c r="D55" s="16">
        <v>2.2891425800876056E-3</v>
      </c>
      <c r="E55" s="16">
        <v>3.5088941136785499E-3</v>
      </c>
      <c r="F55" s="16">
        <v>2.2891425800876056E-3</v>
      </c>
      <c r="G55" s="16">
        <v>3.6859240143243491E-3</v>
      </c>
      <c r="H55" s="16">
        <v>2.3631649755633567E-3</v>
      </c>
    </row>
    <row r="56" spans="1:8" x14ac:dyDescent="0.3">
      <c r="B56" t="s">
        <v>100</v>
      </c>
      <c r="C56" s="16">
        <v>1.7539284017232179E-3</v>
      </c>
      <c r="D56" s="16">
        <v>2.7961959890965013E-3</v>
      </c>
      <c r="E56" s="16">
        <v>1.8905264455331651E-3</v>
      </c>
      <c r="F56" s="16">
        <v>2.9127812619708093E-3</v>
      </c>
      <c r="G56" s="16">
        <v>1.9431922978147941E-3</v>
      </c>
      <c r="H56" s="16">
        <v>2.914631821857703E-3</v>
      </c>
    </row>
    <row r="57" spans="1:8" x14ac:dyDescent="0.3">
      <c r="B57" t="s">
        <v>11</v>
      </c>
      <c r="C57" s="16">
        <v>2.8613189695383813E-3</v>
      </c>
      <c r="D57" s="16">
        <v>2.9312868608397471E-3</v>
      </c>
      <c r="E57" s="16">
        <v>2.9761193510377407E-3</v>
      </c>
      <c r="F57" s="16">
        <v>2.9997575766548168E-3</v>
      </c>
      <c r="G57" s="16">
        <v>3.2374315922575761E-3</v>
      </c>
      <c r="H57" s="16">
        <v>2.9497924597086849E-3</v>
      </c>
    </row>
    <row r="58" spans="1:8" x14ac:dyDescent="0.3">
      <c r="B58" t="s">
        <v>20</v>
      </c>
      <c r="C58" s="16">
        <v>2.1182248836298348E-3</v>
      </c>
      <c r="D58" s="16">
        <v>2.6925646354304493E-3</v>
      </c>
      <c r="E58" s="16">
        <v>2.2766898111345876E-3</v>
      </c>
      <c r="F58" s="16">
        <v>2.7055185546387061E-3</v>
      </c>
      <c r="G58" s="16">
        <v>2.4733462479013036E-3</v>
      </c>
      <c r="H58" s="16">
        <v>2.7813915100013509E-3</v>
      </c>
    </row>
    <row r="59" spans="1:8" x14ac:dyDescent="0.3">
      <c r="B59" t="s">
        <v>23</v>
      </c>
      <c r="C59" s="16">
        <v>2.968839484586548E-3</v>
      </c>
      <c r="D59" s="16">
        <v>3.4679492280389433E-3</v>
      </c>
      <c r="E59" s="16">
        <v>3.1621232736185525E-3</v>
      </c>
      <c r="F59" s="16">
        <v>3.529017704306438E-3</v>
      </c>
      <c r="G59" s="16">
        <v>3.3497405091906648E-3</v>
      </c>
      <c r="H59" s="16">
        <v>3.645602977180746E-3</v>
      </c>
    </row>
    <row r="60" spans="1:8" x14ac:dyDescent="0.3">
      <c r="B60" t="s">
        <v>65</v>
      </c>
      <c r="C60" s="16">
        <v>2.5677596685845052E-3</v>
      </c>
      <c r="D60" s="16">
        <v>2.3983256134143386E-3</v>
      </c>
      <c r="E60" s="16">
        <v>2.7638441447166602E-3</v>
      </c>
      <c r="F60" s="16">
        <v>2.468646889116302E-3</v>
      </c>
      <c r="G60" s="16">
        <v>2.9093080836278774E-3</v>
      </c>
      <c r="H60" s="16">
        <v>2.4223828919439578E-3</v>
      </c>
    </row>
    <row r="61" spans="1:8" x14ac:dyDescent="0.3">
      <c r="B61" t="s">
        <v>87</v>
      </c>
      <c r="C61" s="16">
        <v>1.3899856057213644E-3</v>
      </c>
      <c r="D61" s="16">
        <v>2.3409582569206312E-3</v>
      </c>
      <c r="E61" s="16">
        <v>1.5081454980504015E-3</v>
      </c>
      <c r="F61" s="16">
        <v>2.4519918501342583E-3</v>
      </c>
      <c r="G61" s="16">
        <v>1.593328221884849E-3</v>
      </c>
      <c r="H61" s="16">
        <v>2.3687166552240381E-3</v>
      </c>
    </row>
    <row r="62" spans="1:8" x14ac:dyDescent="0.3">
      <c r="B62" t="s">
        <v>90</v>
      </c>
      <c r="C62" s="16">
        <v>1.7900043640091158E-3</v>
      </c>
      <c r="D62" s="16">
        <v>3.02566541507133E-3</v>
      </c>
      <c r="E62" s="16">
        <v>1.9242099753061263E-3</v>
      </c>
      <c r="F62" s="16">
        <v>3.1181934094160189E-3</v>
      </c>
      <c r="G62" s="16">
        <v>2.059207843029807E-3</v>
      </c>
      <c r="H62" s="16">
        <v>3.1181934094160189E-3</v>
      </c>
    </row>
    <row r="63" spans="1:8" x14ac:dyDescent="0.3">
      <c r="B63" t="s">
        <v>75</v>
      </c>
      <c r="C63" s="16">
        <v>1.4126215036262416E-3</v>
      </c>
      <c r="D63" s="16">
        <v>2.4575435297949397E-3</v>
      </c>
      <c r="E63" s="16">
        <v>1.5141586636969627E-3</v>
      </c>
      <c r="F63" s="16">
        <v>2.6037377608595482E-3</v>
      </c>
      <c r="G63" s="16">
        <v>1.6069708977627416E-3</v>
      </c>
      <c r="H63" s="16">
        <v>2.4927041676459211E-3</v>
      </c>
    </row>
    <row r="64" spans="1:8" x14ac:dyDescent="0.3">
      <c r="B64" t="s">
        <v>38</v>
      </c>
      <c r="C64" s="16">
        <v>2.3187647916308564E-3</v>
      </c>
      <c r="D64" s="16">
        <v>2.0374664354700514E-3</v>
      </c>
      <c r="E64" s="16">
        <v>2.5473504760829047E-3</v>
      </c>
      <c r="F64" s="16">
        <v>2.1559022682312535E-3</v>
      </c>
      <c r="G64" s="16">
        <v>2.6271506057124268E-3</v>
      </c>
      <c r="H64" s="16">
        <v>2.0911326721899711E-3</v>
      </c>
    </row>
    <row r="65" spans="1:8" x14ac:dyDescent="0.3">
      <c r="B65" t="s">
        <v>36</v>
      </c>
      <c r="C65" s="16">
        <v>3.9920528070679492E-3</v>
      </c>
      <c r="D65" s="16">
        <v>3.6733613754841529E-3</v>
      </c>
      <c r="E65" s="16">
        <v>4.3193426274935609E-3</v>
      </c>
      <c r="F65" s="16">
        <v>3.7658893698288417E-3</v>
      </c>
      <c r="G65" s="16">
        <v>4.4267307629602308E-3</v>
      </c>
      <c r="H65" s="16">
        <v>3.821406166435655E-3</v>
      </c>
    </row>
    <row r="66" spans="1:8" x14ac:dyDescent="0.3">
      <c r="B66" t="s">
        <v>57</v>
      </c>
      <c r="C66" s="16">
        <v>9.2807181409996446E-4</v>
      </c>
      <c r="D66" s="16">
        <v>1.763583572209772E-3</v>
      </c>
      <c r="E66" s="16">
        <v>1.0159551824500718E-3</v>
      </c>
      <c r="F66" s="16">
        <v>1.8005947699476477E-3</v>
      </c>
      <c r="G66" s="16">
        <v>1.0290673294708189E-3</v>
      </c>
      <c r="H66" s="16">
        <v>1.8005947699476477E-3</v>
      </c>
    </row>
    <row r="67" spans="1:8" x14ac:dyDescent="0.3">
      <c r="B67" t="s">
        <v>60</v>
      </c>
      <c r="C67" s="16">
        <v>9.4787822476673201E-4</v>
      </c>
      <c r="D67" s="16">
        <v>1.8339048479117357E-3</v>
      </c>
      <c r="E67" s="16">
        <v>9.918439090567516E-4</v>
      </c>
      <c r="F67" s="16">
        <v>1.8265026083641605E-3</v>
      </c>
      <c r="G67" s="16">
        <v>1.1083040879806101E-3</v>
      </c>
      <c r="H67" s="16">
        <v>1.9264328422564246E-3</v>
      </c>
    </row>
    <row r="68" spans="1:8" x14ac:dyDescent="0.3">
      <c r="B68" t="s">
        <v>46</v>
      </c>
      <c r="C68" s="16">
        <v>1.2230458586728952E-3</v>
      </c>
      <c r="D68" s="16">
        <v>1.9782485190894504E-3</v>
      </c>
      <c r="E68" s="16">
        <v>1.3799970105052592E-3</v>
      </c>
      <c r="F68" s="16">
        <v>2.0467192349045205E-3</v>
      </c>
      <c r="G68" s="16">
        <v>1.3026297346349334E-3</v>
      </c>
      <c r="H68" s="16">
        <v>2.0226619563749014E-3</v>
      </c>
    </row>
    <row r="69" spans="1:8" x14ac:dyDescent="0.3">
      <c r="B69" t="s">
        <v>8</v>
      </c>
      <c r="C69" s="16">
        <v>3.4940630531606512E-3</v>
      </c>
      <c r="D69" s="16">
        <v>2.80544878853097E-3</v>
      </c>
      <c r="E69" s="16">
        <v>3.6596572779742835E-3</v>
      </c>
      <c r="F69" s="16">
        <v>2.9035284625363402E-3</v>
      </c>
      <c r="G69" s="16">
        <v>3.8317669024192417E-3</v>
      </c>
      <c r="H69" s="16">
        <v>2.8202532676261205E-3</v>
      </c>
    </row>
    <row r="70" spans="1:8" x14ac:dyDescent="0.3">
      <c r="B70" t="s">
        <v>33</v>
      </c>
      <c r="C70" s="16">
        <v>1.1731761461012127E-3</v>
      </c>
      <c r="D70" s="16">
        <v>2.1318449897016344E-3</v>
      </c>
      <c r="E70" s="16">
        <v>1.2549872327321054E-3</v>
      </c>
      <c r="F70" s="16">
        <v>2.1707067473264036E-3</v>
      </c>
      <c r="G70" s="16">
        <v>1.3773322398456537E-3</v>
      </c>
      <c r="H70" s="16">
        <v>2.2299246637070046E-3</v>
      </c>
    </row>
    <row r="71" spans="1:8" x14ac:dyDescent="0.3">
      <c r="B71" t="s">
        <v>42</v>
      </c>
      <c r="C71" s="16">
        <v>3.4395954238270405E-3</v>
      </c>
      <c r="D71" s="16">
        <v>1.6599522185437204E-3</v>
      </c>
      <c r="E71" s="16">
        <v>3.6689501224891614E-3</v>
      </c>
      <c r="F71" s="16">
        <v>1.6581016586568267E-3</v>
      </c>
      <c r="G71" s="16">
        <v>3.8684011831690876E-3</v>
      </c>
      <c r="H71" s="16">
        <v>1.6895611767340209E-3</v>
      </c>
    </row>
    <row r="72" spans="1:8" x14ac:dyDescent="0.3">
      <c r="B72" t="s">
        <v>13</v>
      </c>
      <c r="C72" s="16">
        <v>3.8859470356388372E-3</v>
      </c>
      <c r="D72" s="16">
        <v>2.6740590365615115E-3</v>
      </c>
      <c r="E72" s="16">
        <v>4.153568528134078E-3</v>
      </c>
      <c r="F72" s="16">
        <v>2.7332769529421126E-3</v>
      </c>
      <c r="G72" s="16">
        <v>4.4712532499174631E-3</v>
      </c>
      <c r="H72" s="16">
        <v>2.8332071868343769E-3</v>
      </c>
    </row>
    <row r="73" spans="1:8" x14ac:dyDescent="0.3">
      <c r="B73" t="s">
        <v>73</v>
      </c>
      <c r="C73" s="16">
        <v>1.9958495605815929E-3</v>
      </c>
      <c r="D73" s="16">
        <v>1.4582411908722983E-3</v>
      </c>
      <c r="E73" s="16">
        <v>2.1004951144896083E-3</v>
      </c>
      <c r="F73" s="16">
        <v>1.4730456699674486E-3</v>
      </c>
      <c r="G73" s="16">
        <v>2.285716885955314E-3</v>
      </c>
      <c r="H73" s="16">
        <v>1.4508389513247233E-3</v>
      </c>
    </row>
    <row r="74" spans="1:8" x14ac:dyDescent="0.3">
      <c r="B74" t="s">
        <v>18</v>
      </c>
      <c r="C74" s="16">
        <v>3.842089983448138E-3</v>
      </c>
      <c r="D74" s="16">
        <v>1.3361042383373089E-3</v>
      </c>
      <c r="E74" s="16">
        <v>3.9857531558385294E-3</v>
      </c>
      <c r="F74" s="16">
        <v>1.3675637564145031E-3</v>
      </c>
      <c r="G74" s="16">
        <v>4.3879814404998987E-3</v>
      </c>
      <c r="H74" s="16">
        <v>1.3823682355096534E-3</v>
      </c>
    </row>
    <row r="75" spans="1:8" x14ac:dyDescent="0.3">
      <c r="B75" t="s">
        <v>50</v>
      </c>
      <c r="C75" s="16">
        <v>3.8145024828765686E-3</v>
      </c>
      <c r="D75" s="16">
        <v>3.7695904896026295E-3</v>
      </c>
      <c r="E75" s="16">
        <v>4.073934630879795E-3</v>
      </c>
      <c r="F75" s="16">
        <v>3.8750724031555747E-3</v>
      </c>
      <c r="G75" s="16">
        <v>4.2881177200242877E-3</v>
      </c>
      <c r="H75" s="16">
        <v>3.8269578460963364E-3</v>
      </c>
    </row>
    <row r="76" spans="1:8" x14ac:dyDescent="0.3">
      <c r="B76" t="s">
        <v>59</v>
      </c>
      <c r="C76" s="16">
        <v>1.6616163805798906E-3</v>
      </c>
      <c r="D76" s="16">
        <v>3.0145620557499673E-3</v>
      </c>
      <c r="E76" s="16">
        <v>1.7742698886373354E-3</v>
      </c>
      <c r="F76" s="16">
        <v>3.0571249331485242E-3</v>
      </c>
      <c r="G76" s="16">
        <v>1.7928166722175653E-3</v>
      </c>
      <c r="H76" s="16">
        <v>3.090435011112612E-3</v>
      </c>
    </row>
    <row r="77" spans="1:8" x14ac:dyDescent="0.3">
      <c r="C77" s="16"/>
      <c r="D77" s="16"/>
      <c r="E77" s="16"/>
      <c r="F77" s="16"/>
      <c r="G77" s="16"/>
      <c r="H77" s="16"/>
    </row>
    <row r="78" spans="1:8" x14ac:dyDescent="0.3">
      <c r="A78" t="s">
        <v>25</v>
      </c>
      <c r="C78" s="16">
        <v>4.8021350033387415E-2</v>
      </c>
      <c r="D78" s="16">
        <v>4.9076848200423039E-2</v>
      </c>
      <c r="E78" s="16">
        <v>5.1797507911531822E-2</v>
      </c>
      <c r="F78" s="16">
        <v>5.0351883962492849E-2</v>
      </c>
      <c r="G78" s="16">
        <v>5.3966503901524895E-2</v>
      </c>
      <c r="H78" s="16">
        <v>5.1003281042679462E-2</v>
      </c>
    </row>
    <row r="79" spans="1:8" x14ac:dyDescent="0.3">
      <c r="B79" t="s">
        <v>26</v>
      </c>
      <c r="C79" s="16">
        <v>1.7832843318186054E-3</v>
      </c>
      <c r="D79" s="16">
        <v>1.7376757337932592E-3</v>
      </c>
      <c r="E79" s="16">
        <v>1.9559441904782602E-3</v>
      </c>
      <c r="F79" s="16">
        <v>1.7765374914180286E-3</v>
      </c>
      <c r="G79" s="16">
        <v>2.0306992433091167E-3</v>
      </c>
      <c r="H79" s="16">
        <v>1.8116981292690103E-3</v>
      </c>
    </row>
    <row r="80" spans="1:8" x14ac:dyDescent="0.3">
      <c r="B80" t="s">
        <v>100</v>
      </c>
      <c r="C80" s="16">
        <v>1.8809016415333884E-3</v>
      </c>
      <c r="D80" s="16">
        <v>1.7265723744718964E-3</v>
      </c>
      <c r="E80" s="16">
        <v>1.9769955755297958E-3</v>
      </c>
      <c r="F80" s="16">
        <v>1.763583572209772E-3</v>
      </c>
      <c r="G80" s="16">
        <v>2.0354022553113181E-3</v>
      </c>
      <c r="H80" s="16">
        <v>1.8098475693821166E-3</v>
      </c>
    </row>
    <row r="81" spans="2:8" x14ac:dyDescent="0.3">
      <c r="B81" t="s">
        <v>11</v>
      </c>
      <c r="C81" s="16">
        <v>3.4130689809697625E-3</v>
      </c>
      <c r="D81" s="16">
        <v>3.2384798020641146E-3</v>
      </c>
      <c r="E81" s="16">
        <v>3.6259515165158805E-3</v>
      </c>
      <c r="F81" s="16">
        <v>3.3661684342597854E-3</v>
      </c>
      <c r="G81" s="16">
        <v>3.8687326373884104E-3</v>
      </c>
      <c r="H81" s="16">
        <v>3.3439617156170599E-3</v>
      </c>
    </row>
    <row r="82" spans="2:8" x14ac:dyDescent="0.3">
      <c r="B82" t="s">
        <v>20</v>
      </c>
      <c r="C82" s="16">
        <v>1.6053803217224614E-3</v>
      </c>
      <c r="D82" s="16">
        <v>1.3083458400339023E-3</v>
      </c>
      <c r="E82" s="16">
        <v>1.8049870042004847E-3</v>
      </c>
      <c r="F82" s="16">
        <v>1.3546098372062467E-3</v>
      </c>
      <c r="G82" s="16">
        <v>1.8515285324083406E-3</v>
      </c>
      <c r="H82" s="16">
        <v>1.4082760739261664E-3</v>
      </c>
    </row>
    <row r="83" spans="2:8" x14ac:dyDescent="0.3">
      <c r="B83" t="s">
        <v>23</v>
      </c>
      <c r="C83" s="16">
        <v>2.8142787442048084E-3</v>
      </c>
      <c r="D83" s="16">
        <v>2.4353368111522142E-3</v>
      </c>
      <c r="E83" s="16">
        <v>3.0196292857761946E-3</v>
      </c>
      <c r="F83" s="16">
        <v>2.4871524879852397E-3</v>
      </c>
      <c r="G83" s="16">
        <v>3.1300050566069608E-3</v>
      </c>
      <c r="H83" s="16">
        <v>2.5186120060624343E-3</v>
      </c>
    </row>
    <row r="84" spans="2:8" x14ac:dyDescent="0.3">
      <c r="B84" t="s">
        <v>65</v>
      </c>
      <c r="C84" s="16">
        <v>1.475931280578945E-3</v>
      </c>
      <c r="D84" s="16">
        <v>1.1565999293086124E-3</v>
      </c>
      <c r="E84" s="16">
        <v>1.6230277325734357E-3</v>
      </c>
      <c r="F84" s="16">
        <v>1.1825077677251252E-3</v>
      </c>
      <c r="G84" s="16">
        <v>1.6259122937595728E-3</v>
      </c>
      <c r="H84" s="16">
        <v>1.2287717648974698E-3</v>
      </c>
    </row>
    <row r="85" spans="2:8" x14ac:dyDescent="0.3">
      <c r="B85" t="s">
        <v>87</v>
      </c>
      <c r="C85" s="16">
        <v>2.3194721634403836E-3</v>
      </c>
      <c r="D85" s="16">
        <v>1.5026546281577491E-3</v>
      </c>
      <c r="E85" s="16">
        <v>2.4388457036883388E-3</v>
      </c>
      <c r="F85" s="16">
        <v>1.5692747840859252E-3</v>
      </c>
      <c r="G85" s="16">
        <v>2.647336470828448E-3</v>
      </c>
      <c r="H85" s="16">
        <v>1.5766770236335004E-3</v>
      </c>
    </row>
    <row r="86" spans="2:8" x14ac:dyDescent="0.3">
      <c r="B86" t="s">
        <v>90</v>
      </c>
      <c r="C86" s="16">
        <v>1.7185598112468472E-3</v>
      </c>
      <c r="D86" s="16">
        <v>2.3243032179385875E-3</v>
      </c>
      <c r="E86" s="16">
        <v>1.8591600637019852E-3</v>
      </c>
      <c r="F86" s="16">
        <v>2.3687166552240381E-3</v>
      </c>
      <c r="G86" s="16">
        <v>1.9630593403509493E-3</v>
      </c>
      <c r="H86" s="16">
        <v>2.3668660953371445E-3</v>
      </c>
    </row>
    <row r="87" spans="2:8" x14ac:dyDescent="0.3">
      <c r="B87" t="s">
        <v>75</v>
      </c>
      <c r="C87" s="16">
        <v>1.0553987398148985E-3</v>
      </c>
      <c r="D87" s="16">
        <v>8.4200474853666975E-4</v>
      </c>
      <c r="E87" s="16">
        <v>1.1108006052026637E-3</v>
      </c>
      <c r="F87" s="16">
        <v>8.4385530842356351E-4</v>
      </c>
      <c r="G87" s="16">
        <v>1.1886403043886383E-3</v>
      </c>
      <c r="H87" s="16">
        <v>8.8641818582212053E-4</v>
      </c>
    </row>
    <row r="88" spans="2:8" x14ac:dyDescent="0.3">
      <c r="B88" t="s">
        <v>38</v>
      </c>
      <c r="C88" s="16">
        <v>1.5742559621032552E-3</v>
      </c>
      <c r="D88" s="16">
        <v>2.2447291428021546E-3</v>
      </c>
      <c r="E88" s="16">
        <v>1.7316648845494991E-3</v>
      </c>
      <c r="F88" s="16">
        <v>2.2188213043856419E-3</v>
      </c>
      <c r="G88" s="16">
        <v>1.8114832037398375E-3</v>
      </c>
      <c r="H88" s="16">
        <v>2.3816705744322945E-3</v>
      </c>
    </row>
    <row r="89" spans="2:8" x14ac:dyDescent="0.3">
      <c r="B89" t="s">
        <v>36</v>
      </c>
      <c r="C89" s="16">
        <v>3.0477114413488544E-3</v>
      </c>
      <c r="D89" s="16">
        <v>1.646998299335464E-3</v>
      </c>
      <c r="E89" s="16">
        <v>3.2333091304047653E-3</v>
      </c>
      <c r="F89" s="16">
        <v>1.6377454999009951E-3</v>
      </c>
      <c r="G89" s="16">
        <v>3.3609766051194297E-3</v>
      </c>
      <c r="H89" s="16">
        <v>1.7099173354898525E-3</v>
      </c>
    </row>
    <row r="90" spans="2:8" x14ac:dyDescent="0.3">
      <c r="B90" t="s">
        <v>57</v>
      </c>
      <c r="C90" s="16">
        <v>2.3810135108692687E-3</v>
      </c>
      <c r="D90" s="16">
        <v>1.9116283631612743E-3</v>
      </c>
      <c r="E90" s="16">
        <v>2.5724020487173185E-3</v>
      </c>
      <c r="F90" s="16">
        <v>1.965294599881194E-3</v>
      </c>
      <c r="G90" s="16">
        <v>2.6757258278726744E-3</v>
      </c>
      <c r="H90" s="16">
        <v>1.9523406806729376E-3</v>
      </c>
    </row>
    <row r="91" spans="2:8" x14ac:dyDescent="0.3">
      <c r="B91" t="s">
        <v>60</v>
      </c>
      <c r="C91" s="16">
        <v>2.5207194432509323E-3</v>
      </c>
      <c r="D91" s="16">
        <v>2.7314263930552189E-3</v>
      </c>
      <c r="E91" s="16">
        <v>2.7826930771126745E-3</v>
      </c>
      <c r="F91" s="16">
        <v>2.8035982286440764E-3</v>
      </c>
      <c r="G91" s="16">
        <v>2.8443945937298596E-3</v>
      </c>
      <c r="H91" s="16">
        <v>2.7721387105668822E-3</v>
      </c>
    </row>
    <row r="92" spans="2:8" x14ac:dyDescent="0.3">
      <c r="B92" t="s">
        <v>46</v>
      </c>
      <c r="C92" s="16">
        <v>1.8621562885809118E-3</v>
      </c>
      <c r="D92" s="16">
        <v>2.4704974490031961E-3</v>
      </c>
      <c r="E92" s="16">
        <v>1.9910288216996633E-3</v>
      </c>
      <c r="F92" s="16">
        <v>2.4908536077590275E-3</v>
      </c>
      <c r="G92" s="16">
        <v>2.0931551214346052E-3</v>
      </c>
      <c r="H92" s="16">
        <v>2.5704276828954599E-3</v>
      </c>
    </row>
    <row r="93" spans="2:8" x14ac:dyDescent="0.3">
      <c r="B93" t="s">
        <v>8</v>
      </c>
      <c r="C93" s="16">
        <v>4.3811073023080254E-3</v>
      </c>
      <c r="D93" s="16">
        <v>4.6948704330495193E-3</v>
      </c>
      <c r="E93" s="16">
        <v>4.7100680360008581E-3</v>
      </c>
      <c r="F93" s="16">
        <v>4.82255906524519E-3</v>
      </c>
      <c r="G93" s="16">
        <v>4.9541593105177474E-3</v>
      </c>
      <c r="H93" s="16">
        <v>4.8577197030961715E-3</v>
      </c>
    </row>
    <row r="94" spans="2:8" x14ac:dyDescent="0.3">
      <c r="B94" t="s">
        <v>33</v>
      </c>
      <c r="C94" s="16">
        <v>1.5540958655317239E-3</v>
      </c>
      <c r="D94" s="16">
        <v>1.6377454999009951E-3</v>
      </c>
      <c r="E94" s="16">
        <v>1.7102198976125193E-3</v>
      </c>
      <c r="F94" s="16">
        <v>1.721020694811215E-3</v>
      </c>
      <c r="G94" s="16">
        <v>1.8002850027294404E-3</v>
      </c>
      <c r="H94" s="16">
        <v>1.6525499789961453E-3</v>
      </c>
    </row>
    <row r="95" spans="2:8" x14ac:dyDescent="0.3">
      <c r="B95" t="s">
        <v>42</v>
      </c>
      <c r="C95" s="16">
        <v>2.6816465299184188E-3</v>
      </c>
      <c r="D95" s="16">
        <v>3.6122928992166582E-3</v>
      </c>
      <c r="E95" s="16">
        <v>2.8680950862080756E-3</v>
      </c>
      <c r="F95" s="16">
        <v>3.6881658545793029E-3</v>
      </c>
      <c r="G95" s="16">
        <v>2.9979776452177167E-3</v>
      </c>
      <c r="H95" s="16">
        <v>3.7399815314123289E-3</v>
      </c>
    </row>
    <row r="96" spans="2:8" x14ac:dyDescent="0.3">
      <c r="B96" t="s">
        <v>13</v>
      </c>
      <c r="C96" s="16">
        <v>1.58522022515093E-3</v>
      </c>
      <c r="D96" s="16">
        <v>3.3421111557301662E-3</v>
      </c>
      <c r="E96" s="16">
        <v>1.7036024343343901E-3</v>
      </c>
      <c r="F96" s="16">
        <v>3.4013290721107673E-3</v>
      </c>
      <c r="G96" s="16">
        <v>1.7352654070599937E-3</v>
      </c>
      <c r="H96" s="16">
        <v>3.4346391500748551E-3</v>
      </c>
    </row>
    <row r="97" spans="1:8" x14ac:dyDescent="0.3">
      <c r="B97" t="s">
        <v>73</v>
      </c>
      <c r="C97" s="16">
        <v>1.646761572579815E-3</v>
      </c>
      <c r="D97" s="16">
        <v>2.2539819422366237E-3</v>
      </c>
      <c r="E97" s="16">
        <v>1.7605691072179455E-3</v>
      </c>
      <c r="F97" s="16">
        <v>2.294694259748287E-3</v>
      </c>
      <c r="G97" s="16">
        <v>1.8701177582971429E-3</v>
      </c>
      <c r="H97" s="16">
        <v>2.3483604964682062E-3</v>
      </c>
    </row>
    <row r="98" spans="1:8" x14ac:dyDescent="0.3">
      <c r="B98" t="s">
        <v>18</v>
      </c>
      <c r="C98" s="16">
        <v>1.9707378613433696E-3</v>
      </c>
      <c r="D98" s="16">
        <v>2.4168312122832764E-3</v>
      </c>
      <c r="E98" s="16">
        <v>2.1906157988201358E-3</v>
      </c>
      <c r="F98" s="16">
        <v>2.4593940896818333E-3</v>
      </c>
      <c r="G98" s="16">
        <v>2.1897482578223082E-3</v>
      </c>
      <c r="H98" s="16">
        <v>2.5019569670803902E-3</v>
      </c>
    </row>
    <row r="99" spans="1:8" x14ac:dyDescent="0.3">
      <c r="B99" t="s">
        <v>50</v>
      </c>
      <c r="C99" s="16">
        <v>1.8253729544854865E-3</v>
      </c>
      <c r="D99" s="16">
        <v>1.4971029484970677E-3</v>
      </c>
      <c r="E99" s="16">
        <v>1.956302929038806E-3</v>
      </c>
      <c r="F99" s="16">
        <v>1.7358251739063653E-3</v>
      </c>
      <c r="G99" s="16">
        <v>2.0377224348465677E-3</v>
      </c>
      <c r="H99" s="16">
        <v>1.6895611767340209E-3</v>
      </c>
    </row>
    <row r="100" spans="1:8" x14ac:dyDescent="0.3">
      <c r="B100" t="s">
        <v>59</v>
      </c>
      <c r="C100" s="16">
        <v>2.9242750605863207E-3</v>
      </c>
      <c r="D100" s="16">
        <v>2.344659376694419E-3</v>
      </c>
      <c r="E100" s="16">
        <v>3.1715949821481243E-3</v>
      </c>
      <c r="F100" s="16">
        <v>2.4001761733012323E-3</v>
      </c>
      <c r="G100" s="16">
        <v>3.254176598785824E-3</v>
      </c>
      <c r="H100" s="16">
        <v>2.4408884908128955E-3</v>
      </c>
    </row>
    <row r="101" spans="1:8" x14ac:dyDescent="0.3">
      <c r="C101" s="16"/>
      <c r="D101" s="16"/>
      <c r="E101" s="16"/>
      <c r="F101" s="16"/>
      <c r="G101" s="16"/>
      <c r="H101" s="16"/>
    </row>
    <row r="102" spans="1:8" x14ac:dyDescent="0.3">
      <c r="A102" t="s">
        <v>7</v>
      </c>
      <c r="C102" s="16">
        <v>5.3143429306175403E-2</v>
      </c>
      <c r="D102" s="16">
        <v>5.6007194976840244E-2</v>
      </c>
      <c r="E102" s="16">
        <v>5.704067205908124E-2</v>
      </c>
      <c r="F102" s="16">
        <v>5.7435827209522242E-2</v>
      </c>
      <c r="G102" s="16">
        <v>5.9857415488776676E-2</v>
      </c>
      <c r="H102" s="16">
        <v>5.7776330228710697E-2</v>
      </c>
    </row>
    <row r="103" spans="1:8" x14ac:dyDescent="0.3">
      <c r="B103" t="s">
        <v>26</v>
      </c>
      <c r="C103" s="16">
        <v>2.53097633448908E-3</v>
      </c>
      <c r="D103" s="16">
        <v>3.5956378602346141E-3</v>
      </c>
      <c r="E103" s="16">
        <v>2.6933828387696347E-3</v>
      </c>
      <c r="F103" s="16">
        <v>3.7196253726564971E-3</v>
      </c>
      <c r="G103" s="16">
        <v>2.8655551161462941E-3</v>
      </c>
      <c r="H103" s="16">
        <v>3.7251770523171785E-3</v>
      </c>
    </row>
    <row r="104" spans="1:8" x14ac:dyDescent="0.3">
      <c r="B104" t="s">
        <v>100</v>
      </c>
      <c r="C104" s="16">
        <v>1.046556592195806E-3</v>
      </c>
      <c r="D104" s="16">
        <v>2.3298548975992685E-3</v>
      </c>
      <c r="E104" s="16">
        <v>1.149473632560684E-3</v>
      </c>
      <c r="F104" s="16">
        <v>2.4575435297949397E-3</v>
      </c>
      <c r="G104" s="16">
        <v>1.1767130051488497E-3</v>
      </c>
      <c r="H104" s="16">
        <v>2.4057278529619136E-3</v>
      </c>
    </row>
    <row r="105" spans="1:8" x14ac:dyDescent="0.3">
      <c r="B105" t="s">
        <v>11</v>
      </c>
      <c r="C105" s="16">
        <v>2.0941742421059029E-3</v>
      </c>
      <c r="D105" s="16">
        <v>1.3027941603732209E-3</v>
      </c>
      <c r="E105" s="16">
        <v>2.2025976667423737E-3</v>
      </c>
      <c r="F105" s="16">
        <v>1.3175986394683712E-3</v>
      </c>
      <c r="G105" s="16">
        <v>2.381917430988729E-3</v>
      </c>
      <c r="H105" s="16">
        <v>1.3416559179979903E-3</v>
      </c>
    </row>
    <row r="106" spans="1:8" x14ac:dyDescent="0.3">
      <c r="B106" t="s">
        <v>20</v>
      </c>
      <c r="C106" s="16">
        <v>3.9966507238298771E-3</v>
      </c>
      <c r="D106" s="16">
        <v>2.5833816021037163E-3</v>
      </c>
      <c r="E106" s="16">
        <v>4.3061935960856043E-3</v>
      </c>
      <c r="F106" s="16">
        <v>2.644450078371211E-3</v>
      </c>
      <c r="G106" s="16">
        <v>4.410992750729403E-3</v>
      </c>
      <c r="H106" s="16">
        <v>2.7147713540731748E-3</v>
      </c>
    </row>
    <row r="107" spans="1:8" x14ac:dyDescent="0.3">
      <c r="B107" t="s">
        <v>23</v>
      </c>
      <c r="C107" s="16">
        <v>1.7443788822945978E-3</v>
      </c>
      <c r="D107" s="16">
        <v>1.848709327006886E-3</v>
      </c>
      <c r="E107" s="16">
        <v>1.7902155650208176E-3</v>
      </c>
      <c r="F107" s="16">
        <v>1.8339048479117357E-3</v>
      </c>
      <c r="G107" s="16">
        <v>1.9862444619393668E-3</v>
      </c>
      <c r="H107" s="16">
        <v>1.9042261236136993E-3</v>
      </c>
    </row>
    <row r="108" spans="1:8" x14ac:dyDescent="0.3">
      <c r="B108" t="s">
        <v>65</v>
      </c>
      <c r="C108" s="16">
        <v>3.028966088396378E-3</v>
      </c>
      <c r="D108" s="16">
        <v>1.8320542880248419E-3</v>
      </c>
      <c r="E108" s="16">
        <v>3.2310652459718288E-3</v>
      </c>
      <c r="F108" s="16">
        <v>1.8690654857627174E-3</v>
      </c>
      <c r="G108" s="16">
        <v>3.3831264375380455E-3</v>
      </c>
      <c r="H108" s="16">
        <v>1.8764677253102927E-3</v>
      </c>
    </row>
    <row r="109" spans="1:8" x14ac:dyDescent="0.3">
      <c r="B109" t="s">
        <v>87</v>
      </c>
      <c r="C109" s="16">
        <v>1.9714452331528972E-3</v>
      </c>
      <c r="D109" s="16">
        <v>3.8510151246259556E-3</v>
      </c>
      <c r="E109" s="16">
        <v>2.1521342671162662E-3</v>
      </c>
      <c r="F109" s="16">
        <v>3.9490947986313262E-3</v>
      </c>
      <c r="G109" s="16">
        <v>2.2380405312587446E-3</v>
      </c>
      <c r="H109" s="16">
        <v>3.9953587958036704E-3</v>
      </c>
    </row>
    <row r="110" spans="1:8" x14ac:dyDescent="0.3">
      <c r="B110" t="s">
        <v>90</v>
      </c>
      <c r="C110" s="16">
        <v>2.5886271369655639E-3</v>
      </c>
      <c r="D110" s="16">
        <v>4.0416227929760146E-3</v>
      </c>
      <c r="E110" s="16">
        <v>2.7854973010718724E-3</v>
      </c>
      <c r="F110" s="16">
        <v>4.2118743025702423E-3</v>
      </c>
      <c r="G110" s="16">
        <v>2.8951202261910704E-3</v>
      </c>
      <c r="H110" s="16">
        <v>4.1563575059634294E-3</v>
      </c>
    </row>
    <row r="111" spans="1:8" x14ac:dyDescent="0.3">
      <c r="B111" t="s">
        <v>75</v>
      </c>
      <c r="C111" s="16">
        <v>2.8340851548715757E-3</v>
      </c>
      <c r="D111" s="16">
        <v>2.1799595467608727E-3</v>
      </c>
      <c r="E111" s="16">
        <v>3.0577101418765244E-3</v>
      </c>
      <c r="F111" s="16">
        <v>2.2114190648380668E-3</v>
      </c>
      <c r="G111" s="16">
        <v>3.2592787705948297E-3</v>
      </c>
      <c r="H111" s="16">
        <v>2.250280822462836E-3</v>
      </c>
    </row>
    <row r="112" spans="1:8" x14ac:dyDescent="0.3">
      <c r="B112" t="s">
        <v>38</v>
      </c>
      <c r="C112" s="16">
        <v>2.0909910689630297E-3</v>
      </c>
      <c r="D112" s="16">
        <v>2.8332071868343769E-3</v>
      </c>
      <c r="E112" s="16">
        <v>2.2413530523896453E-3</v>
      </c>
      <c r="F112" s="16">
        <v>2.8628161450246774E-3</v>
      </c>
      <c r="G112" s="16">
        <v>2.3237830893538753E-3</v>
      </c>
      <c r="H112" s="16">
        <v>2.8702183845722524E-3</v>
      </c>
    </row>
    <row r="113" spans="1:8" x14ac:dyDescent="0.3">
      <c r="B113" t="s">
        <v>36</v>
      </c>
      <c r="C113" s="16">
        <v>1.9845316116291543E-3</v>
      </c>
      <c r="D113" s="16">
        <v>2.3557627360157817E-3</v>
      </c>
      <c r="E113" s="16">
        <v>2.1529325867298758E-3</v>
      </c>
      <c r="F113" s="16">
        <v>2.4242334518308514E-3</v>
      </c>
      <c r="G113" s="16">
        <v>2.1555170201625422E-3</v>
      </c>
      <c r="H113" s="16">
        <v>2.4390379309260015E-3</v>
      </c>
    </row>
    <row r="114" spans="1:8" x14ac:dyDescent="0.3">
      <c r="B114" t="s">
        <v>57</v>
      </c>
      <c r="C114" s="16">
        <v>2.1355554929632565E-3</v>
      </c>
      <c r="D114" s="16">
        <v>2.0763281930948206E-3</v>
      </c>
      <c r="E114" s="16">
        <v>2.3789373746083056E-3</v>
      </c>
      <c r="F114" s="16">
        <v>2.1355461094754217E-3</v>
      </c>
      <c r="G114" s="16">
        <v>2.4110970233973128E-3</v>
      </c>
      <c r="H114" s="16">
        <v>2.1596033880050408E-3</v>
      </c>
    </row>
    <row r="115" spans="1:8" x14ac:dyDescent="0.3">
      <c r="B115" t="s">
        <v>60</v>
      </c>
      <c r="C115" s="16">
        <v>2.1525324163919144E-3</v>
      </c>
      <c r="D115" s="16">
        <v>2.2243729840463232E-3</v>
      </c>
      <c r="E115" s="16">
        <v>2.3073892424024991E-3</v>
      </c>
      <c r="F115" s="16">
        <v>2.2891425800876056E-3</v>
      </c>
      <c r="G115" s="16">
        <v>2.4532816465240585E-3</v>
      </c>
      <c r="H115" s="16">
        <v>2.2687864213317738E-3</v>
      </c>
    </row>
    <row r="116" spans="1:8" x14ac:dyDescent="0.3">
      <c r="B116" t="s">
        <v>46</v>
      </c>
      <c r="C116" s="16">
        <v>2.8818327520146762E-3</v>
      </c>
      <c r="D116" s="16">
        <v>4.1656103053978981E-3</v>
      </c>
      <c r="E116" s="16">
        <v>3.1743638375168462E-3</v>
      </c>
      <c r="F116" s="16">
        <v>4.2137248624571364E-3</v>
      </c>
      <c r="G116" s="16">
        <v>3.3064165121850018E-3</v>
      </c>
      <c r="H116" s="16">
        <v>4.3950797313727268E-3</v>
      </c>
    </row>
    <row r="117" spans="1:8" x14ac:dyDescent="0.3">
      <c r="B117" t="s">
        <v>8</v>
      </c>
      <c r="C117" s="16">
        <v>1.2902461805779993E-3</v>
      </c>
      <c r="D117" s="16">
        <v>2.294694259748287E-3</v>
      </c>
      <c r="E117" s="16">
        <v>1.411428066330453E-3</v>
      </c>
      <c r="F117" s="16">
        <v>2.3465099365813126E-3</v>
      </c>
      <c r="G117" s="16">
        <v>1.4296206587403415E-3</v>
      </c>
      <c r="H117" s="16">
        <v>2.3391076970337376E-3</v>
      </c>
    </row>
    <row r="118" spans="1:8" x14ac:dyDescent="0.3">
      <c r="B118" t="s">
        <v>33</v>
      </c>
      <c r="C118" s="16">
        <v>2.1348481211537294E-3</v>
      </c>
      <c r="D118" s="16">
        <v>1.2916908010518582E-3</v>
      </c>
      <c r="E118" s="16">
        <v>2.2989785915872181E-3</v>
      </c>
      <c r="F118" s="16">
        <v>1.293541360938752E-3</v>
      </c>
      <c r="G118" s="16">
        <v>2.3782108027068051E-3</v>
      </c>
      <c r="H118" s="16">
        <v>1.2916908010518582E-3</v>
      </c>
    </row>
    <row r="119" spans="1:8" x14ac:dyDescent="0.3">
      <c r="B119" t="s">
        <v>42</v>
      </c>
      <c r="C119" s="16">
        <v>1.277513488006506E-3</v>
      </c>
      <c r="D119" s="16">
        <v>2.0726270733210333E-3</v>
      </c>
      <c r="E119" s="16">
        <v>1.3876578472024411E-3</v>
      </c>
      <c r="F119" s="16">
        <v>2.1133393908326966E-3</v>
      </c>
      <c r="G119" s="16">
        <v>1.4272201419781526E-3</v>
      </c>
      <c r="H119" s="16">
        <v>2.1577528281181472E-3</v>
      </c>
    </row>
    <row r="120" spans="1:8" x14ac:dyDescent="0.3">
      <c r="B120" t="s">
        <v>13</v>
      </c>
      <c r="C120" s="16">
        <v>4.0267140257347926E-3</v>
      </c>
      <c r="D120" s="16">
        <v>2.3409582569206312E-3</v>
      </c>
      <c r="E120" s="16">
        <v>4.2175012975447443E-3</v>
      </c>
      <c r="F120" s="16">
        <v>2.3761188947716131E-3</v>
      </c>
      <c r="G120" s="16">
        <v>4.4934894827499587E-3</v>
      </c>
      <c r="H120" s="16">
        <v>2.3613144156764631E-3</v>
      </c>
    </row>
    <row r="121" spans="1:8" x14ac:dyDescent="0.3">
      <c r="B121" t="s">
        <v>73</v>
      </c>
      <c r="C121" s="16">
        <v>2.193913667249268E-3</v>
      </c>
      <c r="D121" s="16">
        <v>2.4982558473066025E-3</v>
      </c>
      <c r="E121" s="16">
        <v>2.3169342144409152E-3</v>
      </c>
      <c r="F121" s="16">
        <v>2.5001064071934966E-3</v>
      </c>
      <c r="G121" s="16">
        <v>2.5213146461020917E-3</v>
      </c>
      <c r="H121" s="16">
        <v>2.579680482329929E-3</v>
      </c>
    </row>
    <row r="122" spans="1:8" x14ac:dyDescent="0.3">
      <c r="B122" t="s">
        <v>18</v>
      </c>
      <c r="C122" s="16">
        <v>3.8212225150670793E-3</v>
      </c>
      <c r="D122" s="16">
        <v>3.4512941890568992E-3</v>
      </c>
      <c r="E122" s="16">
        <v>4.1328996291252655E-3</v>
      </c>
      <c r="F122" s="16">
        <v>3.6937175342399843E-3</v>
      </c>
      <c r="G122" s="16">
        <v>4.3974369805309665E-3</v>
      </c>
      <c r="H122" s="16">
        <v>3.586385060800145E-3</v>
      </c>
    </row>
    <row r="123" spans="1:8" x14ac:dyDescent="0.3">
      <c r="B123" t="s">
        <v>50</v>
      </c>
      <c r="C123" s="16">
        <v>1.8978785649620461E-3</v>
      </c>
      <c r="D123" s="16">
        <v>1.267633522522239E-3</v>
      </c>
      <c r="E123" s="16">
        <v>2.0005182145244734E-3</v>
      </c>
      <c r="F123" s="16">
        <v>1.3231503191290525E-3</v>
      </c>
      <c r="G123" s="16">
        <v>2.0719491251161301E-3</v>
      </c>
      <c r="H123" s="16">
        <v>1.2731852021829204E-3</v>
      </c>
    </row>
    <row r="124" spans="1:8" x14ac:dyDescent="0.3">
      <c r="B124" t="s">
        <v>59</v>
      </c>
      <c r="C124" s="16">
        <v>3.4197890131602731E-3</v>
      </c>
      <c r="D124" s="16">
        <v>3.5697300218181013E-3</v>
      </c>
      <c r="E124" s="16">
        <v>3.6515078494629488E-3</v>
      </c>
      <c r="F124" s="16">
        <v>3.6493040969545337E-3</v>
      </c>
      <c r="G124" s="16">
        <v>3.8910896286941015E-3</v>
      </c>
      <c r="H124" s="16">
        <v>3.6844647348055156E-3</v>
      </c>
    </row>
    <row r="125" spans="1:8" x14ac:dyDescent="0.3">
      <c r="C125" s="16"/>
      <c r="D125" s="16"/>
      <c r="E125" s="16"/>
      <c r="F125" s="16"/>
      <c r="G125" s="16"/>
      <c r="H125" s="16"/>
    </row>
    <row r="126" spans="1:8" x14ac:dyDescent="0.3">
      <c r="A126" t="s">
        <v>32</v>
      </c>
      <c r="C126" s="16">
        <v>5.2312621115885458E-2</v>
      </c>
      <c r="D126" s="16">
        <v>4.9639418406038749E-2</v>
      </c>
      <c r="E126" s="16">
        <v>5.6186568599306819E-2</v>
      </c>
      <c r="F126" s="16">
        <v>5.0851535131954173E-2</v>
      </c>
      <c r="G126" s="16">
        <v>5.893865268769008E-2</v>
      </c>
      <c r="H126" s="16">
        <v>5.0921856407656139E-2</v>
      </c>
    </row>
    <row r="127" spans="1:8" x14ac:dyDescent="0.3">
      <c r="B127" t="s">
        <v>26</v>
      </c>
      <c r="C127" s="16">
        <v>2.9023465344909711E-3</v>
      </c>
      <c r="D127" s="16">
        <v>3.3402605958432726E-3</v>
      </c>
      <c r="E127" s="16">
        <v>3.0971481413199901E-3</v>
      </c>
      <c r="F127" s="16">
        <v>3.3939268325631918E-3</v>
      </c>
      <c r="G127" s="16">
        <v>3.3244964303709447E-3</v>
      </c>
      <c r="H127" s="16">
        <v>3.3735706738073604E-3</v>
      </c>
    </row>
    <row r="128" spans="1:8" x14ac:dyDescent="0.3">
      <c r="B128" t="s">
        <v>100</v>
      </c>
      <c r="C128" s="16">
        <v>1.0398365600052955E-3</v>
      </c>
      <c r="D128" s="16">
        <v>1.1677032886299749E-3</v>
      </c>
      <c r="E128" s="16">
        <v>1.1253724644789283E-3</v>
      </c>
      <c r="F128" s="16">
        <v>1.1825077677251252E-3</v>
      </c>
      <c r="G128" s="16">
        <v>1.1760809179104791E-3</v>
      </c>
      <c r="H128" s="16">
        <v>1.1862088874989127E-3</v>
      </c>
    </row>
    <row r="129" spans="2:8" x14ac:dyDescent="0.3">
      <c r="B129" t="s">
        <v>11</v>
      </c>
      <c r="C129" s="16">
        <v>2.8899675278242416E-3</v>
      </c>
      <c r="D129" s="16">
        <v>2.9701486184645163E-3</v>
      </c>
      <c r="E129" s="16">
        <v>3.1674149200193952E-3</v>
      </c>
      <c r="F129" s="16">
        <v>3.097837250660187E-3</v>
      </c>
      <c r="G129" s="16">
        <v>3.2347976427982428E-3</v>
      </c>
      <c r="H129" s="16">
        <v>3.0793316517912493E-3</v>
      </c>
    </row>
    <row r="130" spans="2:8" x14ac:dyDescent="0.3">
      <c r="B130" t="s">
        <v>20</v>
      </c>
      <c r="C130" s="16">
        <v>2.4199189603932763E-3</v>
      </c>
      <c r="D130" s="16">
        <v>3.3162033173136534E-3</v>
      </c>
      <c r="E130" s="16">
        <v>2.5726304287586803E-3</v>
      </c>
      <c r="F130" s="16">
        <v>3.3458122755039535E-3</v>
      </c>
      <c r="G130" s="16">
        <v>2.6708348570753707E-3</v>
      </c>
      <c r="H130" s="16">
        <v>3.3384100359563785E-3</v>
      </c>
    </row>
    <row r="131" spans="2:8" x14ac:dyDescent="0.3">
      <c r="B131" t="s">
        <v>23</v>
      </c>
      <c r="C131" s="16">
        <v>2.1518250445823873E-3</v>
      </c>
      <c r="D131" s="16">
        <v>3.3421111557301662E-3</v>
      </c>
      <c r="E131" s="16">
        <v>2.3942206478187234E-3</v>
      </c>
      <c r="F131" s="16">
        <v>3.4179841110928109E-3</v>
      </c>
      <c r="G131" s="16">
        <v>2.4454141562053788E-3</v>
      </c>
      <c r="H131" s="16">
        <v>3.4438919495093242E-3</v>
      </c>
    </row>
    <row r="132" spans="2:8" x14ac:dyDescent="0.3">
      <c r="B132" t="s">
        <v>65</v>
      </c>
      <c r="C132" s="16">
        <v>2.4581170381077562E-3</v>
      </c>
      <c r="D132" s="16">
        <v>2.0263630761486887E-3</v>
      </c>
      <c r="E132" s="16">
        <v>2.6060315150734079E-3</v>
      </c>
      <c r="F132" s="16">
        <v>2.0356158755831578E-3</v>
      </c>
      <c r="G132" s="16">
        <v>2.8513288585255417E-3</v>
      </c>
      <c r="H132" s="16">
        <v>2.1244427501540589E-3</v>
      </c>
    </row>
    <row r="133" spans="2:8" x14ac:dyDescent="0.3">
      <c r="B133" t="s">
        <v>87</v>
      </c>
      <c r="C133" s="16">
        <v>2.1433365828680581E-3</v>
      </c>
      <c r="D133" s="16">
        <v>1.1066348123624802E-3</v>
      </c>
      <c r="E133" s="16">
        <v>2.353116282498242E-3</v>
      </c>
      <c r="F133" s="16">
        <v>1.1954616869333818E-3</v>
      </c>
      <c r="G133" s="16">
        <v>2.3456418887994285E-3</v>
      </c>
      <c r="H133" s="16">
        <v>1.1473471298741435E-3</v>
      </c>
    </row>
    <row r="134" spans="2:8" x14ac:dyDescent="0.3">
      <c r="B134" t="s">
        <v>90</v>
      </c>
      <c r="C134" s="16">
        <v>1.899293308581101E-3</v>
      </c>
      <c r="D134" s="16">
        <v>1.9023755637268055E-3</v>
      </c>
      <c r="E134" s="16">
        <v>2.0685820353027792E-3</v>
      </c>
      <c r="F134" s="16">
        <v>2.01711027671422E-3</v>
      </c>
      <c r="G134" s="16">
        <v>2.0914665238721476E-3</v>
      </c>
      <c r="H134" s="16">
        <v>1.8857205247447615E-3</v>
      </c>
    </row>
    <row r="135" spans="2:8" x14ac:dyDescent="0.3">
      <c r="B135" t="s">
        <v>75</v>
      </c>
      <c r="C135" s="16">
        <v>2.1090290501059785E-3</v>
      </c>
      <c r="D135" s="16">
        <v>6.1623644233562867E-4</v>
      </c>
      <c r="E135" s="16">
        <v>2.2850721670774872E-3</v>
      </c>
      <c r="F135" s="16">
        <v>6.3844316097835395E-4</v>
      </c>
      <c r="G135" s="16">
        <v>2.3359746424910801E-3</v>
      </c>
      <c r="H135" s="16">
        <v>6.236386818832038E-4</v>
      </c>
    </row>
    <row r="136" spans="2:8" x14ac:dyDescent="0.3">
      <c r="B136" t="s">
        <v>38</v>
      </c>
      <c r="C136" s="16">
        <v>1.9229902642002694E-3</v>
      </c>
      <c r="D136" s="16">
        <v>1.9208811625957434E-3</v>
      </c>
      <c r="E136" s="16">
        <v>2.0482845064939679E-3</v>
      </c>
      <c r="F136" s="16">
        <v>1.9763979592025568E-3</v>
      </c>
      <c r="G136" s="16">
        <v>2.2134522871595716E-3</v>
      </c>
      <c r="H136" s="16">
        <v>2.0152597168273259E-3</v>
      </c>
    </row>
    <row r="137" spans="2:8" x14ac:dyDescent="0.3">
      <c r="B137" t="s">
        <v>36</v>
      </c>
      <c r="C137" s="16">
        <v>2.2833962011544859E-3</v>
      </c>
      <c r="D137" s="16">
        <v>2.1781089868739786E-3</v>
      </c>
      <c r="E137" s="16">
        <v>2.4337996163585171E-3</v>
      </c>
      <c r="F137" s="16">
        <v>2.2835909004269243E-3</v>
      </c>
      <c r="G137" s="16">
        <v>2.5184801062081998E-3</v>
      </c>
      <c r="H137" s="16">
        <v>2.2650853015579865E-3</v>
      </c>
    </row>
    <row r="138" spans="2:8" x14ac:dyDescent="0.3">
      <c r="B138" t="s">
        <v>57</v>
      </c>
      <c r="C138" s="16">
        <v>2.444323287821972E-3</v>
      </c>
      <c r="D138" s="16">
        <v>3.81400392688808E-3</v>
      </c>
      <c r="E138" s="16">
        <v>2.663703538704178E-3</v>
      </c>
      <c r="F138" s="16">
        <v>3.8824746427031497E-3</v>
      </c>
      <c r="G138" s="16">
        <v>2.7394787227374888E-3</v>
      </c>
      <c r="H138" s="16">
        <v>3.9176352805541321E-3</v>
      </c>
    </row>
    <row r="139" spans="2:8" x14ac:dyDescent="0.3">
      <c r="B139" t="s">
        <v>60</v>
      </c>
      <c r="C139" s="16">
        <v>3.4222648144936188E-3</v>
      </c>
      <c r="D139" s="16">
        <v>2.1281438699278466E-3</v>
      </c>
      <c r="E139" s="16">
        <v>3.590146376579915E-3</v>
      </c>
      <c r="F139" s="16">
        <v>2.141097789136103E-3</v>
      </c>
      <c r="G139" s="16">
        <v>3.8922012129662155E-3</v>
      </c>
      <c r="H139" s="16">
        <v>2.1596033880050408E-3</v>
      </c>
    </row>
    <row r="140" spans="2:8" x14ac:dyDescent="0.3">
      <c r="B140" t="s">
        <v>46</v>
      </c>
      <c r="C140" s="16">
        <v>2.4379569415362251E-3</v>
      </c>
      <c r="D140" s="16">
        <v>1.8968238840661243E-3</v>
      </c>
      <c r="E140" s="16">
        <v>2.549461980934344E-3</v>
      </c>
      <c r="F140" s="16">
        <v>1.9393867614646812E-3</v>
      </c>
      <c r="G140" s="16">
        <v>2.7781552869545561E-3</v>
      </c>
      <c r="H140" s="16">
        <v>1.8986744439530179E-3</v>
      </c>
    </row>
    <row r="141" spans="2:8" x14ac:dyDescent="0.3">
      <c r="B141" t="s">
        <v>8</v>
      </c>
      <c r="C141" s="16">
        <v>1.8352761598188702E-3</v>
      </c>
      <c r="D141" s="16">
        <v>1.3823682355096534E-3</v>
      </c>
      <c r="E141" s="16">
        <v>1.9952760841502972E-3</v>
      </c>
      <c r="F141" s="16">
        <v>1.4119771936999539E-3</v>
      </c>
      <c r="G141" s="16">
        <v>2.1006679153173649E-3</v>
      </c>
      <c r="H141" s="16">
        <v>1.4378850321164669E-3</v>
      </c>
    </row>
    <row r="142" spans="2:8" x14ac:dyDescent="0.3">
      <c r="B142" t="s">
        <v>33</v>
      </c>
      <c r="C142" s="16">
        <v>2.477923448774524E-3</v>
      </c>
      <c r="D142" s="16">
        <v>2.8591150252508897E-3</v>
      </c>
      <c r="E142" s="16">
        <v>2.6788044110408532E-3</v>
      </c>
      <c r="F142" s="16">
        <v>2.959045259143154E-3</v>
      </c>
      <c r="G142" s="16">
        <v>2.7906899154193821E-3</v>
      </c>
      <c r="H142" s="16">
        <v>3.0145620557499673E-3</v>
      </c>
    </row>
    <row r="143" spans="2:8" x14ac:dyDescent="0.3">
      <c r="B143" t="s">
        <v>42</v>
      </c>
      <c r="C143" s="16">
        <v>2.5865050215369816E-3</v>
      </c>
      <c r="D143" s="16">
        <v>1.4304827925688917E-3</v>
      </c>
      <c r="E143" s="16">
        <v>2.8066881394230017E-3</v>
      </c>
      <c r="F143" s="16">
        <v>1.4545400710985108E-3</v>
      </c>
      <c r="G143" s="16">
        <v>2.8642596152037023E-3</v>
      </c>
      <c r="H143" s="16">
        <v>1.4397355920033605E-3</v>
      </c>
    </row>
    <row r="144" spans="2:8" x14ac:dyDescent="0.3">
      <c r="B144" t="s">
        <v>13</v>
      </c>
      <c r="C144" s="16">
        <v>1.6991070864848434E-3</v>
      </c>
      <c r="D144" s="16">
        <v>2.2373269032545796E-3</v>
      </c>
      <c r="E144" s="16">
        <v>1.7495250122089097E-3</v>
      </c>
      <c r="F144" s="16">
        <v>2.235476343367686E-3</v>
      </c>
      <c r="G144" s="16">
        <v>1.9267741981156628E-3</v>
      </c>
      <c r="H144" s="16">
        <v>2.3113492987303307E-3</v>
      </c>
    </row>
    <row r="145" spans="2:8" x14ac:dyDescent="0.3">
      <c r="B145" t="s">
        <v>73</v>
      </c>
      <c r="C145" s="16">
        <v>4.2201802156405397E-3</v>
      </c>
      <c r="D145" s="16">
        <v>2.7702881506799881E-3</v>
      </c>
      <c r="E145" s="16">
        <v>4.5202518846322714E-3</v>
      </c>
      <c r="F145" s="16">
        <v>2.8535633455902083E-3</v>
      </c>
      <c r="G145" s="16">
        <v>4.6555544274996278E-3</v>
      </c>
      <c r="H145" s="16">
        <v>2.8332071868343769E-3</v>
      </c>
    </row>
    <row r="146" spans="2:8" x14ac:dyDescent="0.3">
      <c r="B146" t="s">
        <v>18</v>
      </c>
      <c r="C146" s="16">
        <v>2.2986046950593249E-3</v>
      </c>
      <c r="D146" s="16">
        <v>2.4427390506997892E-3</v>
      </c>
      <c r="E146" s="16">
        <v>2.4025898668565897E-3</v>
      </c>
      <c r="F146" s="16">
        <v>2.5334164851575844E-3</v>
      </c>
      <c r="G146" s="16">
        <v>2.617083189066117E-3</v>
      </c>
      <c r="H146" s="16">
        <v>2.5463704043658408E-3</v>
      </c>
    </row>
    <row r="147" spans="2:8" x14ac:dyDescent="0.3">
      <c r="B147" t="s">
        <v>50</v>
      </c>
      <c r="C147" s="16">
        <v>1.2739766289588689E-3</v>
      </c>
      <c r="D147" s="16">
        <v>2.5630254433478849E-3</v>
      </c>
      <c r="E147" s="16">
        <v>1.4237959571544619E-3</v>
      </c>
      <c r="F147" s="16">
        <v>2.5685771230085663E-3</v>
      </c>
      <c r="G147" s="16">
        <v>1.4327608843090651E-3</v>
      </c>
      <c r="H147" s="16">
        <v>2.6629556772401492E-3</v>
      </c>
    </row>
    <row r="148" spans="2:8" x14ac:dyDescent="0.3">
      <c r="B148" t="s">
        <v>59</v>
      </c>
      <c r="C148" s="16">
        <v>3.3964457434458683E-3</v>
      </c>
      <c r="D148" s="16">
        <v>2.228074103820111E-3</v>
      </c>
      <c r="E148" s="16">
        <v>3.6546526224218775E-3</v>
      </c>
      <c r="F148" s="16">
        <v>2.2872920202007116E-3</v>
      </c>
      <c r="G148" s="16">
        <v>3.9330590086845193E-3</v>
      </c>
      <c r="H148" s="16">
        <v>2.2169707444987482E-3</v>
      </c>
    </row>
    <row r="149" spans="2:8" x14ac:dyDescent="0.3">
      <c r="C149" s="16"/>
      <c r="D149" s="16"/>
      <c r="E149" s="16"/>
      <c r="F149" s="16"/>
      <c r="G149" s="16"/>
      <c r="H149" s="1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83"/>
  <sheetViews>
    <sheetView workbookViewId="0">
      <selection activeCell="D3283" sqref="D3283:E3283"/>
    </sheetView>
  </sheetViews>
  <sheetFormatPr defaultRowHeight="14.4" x14ac:dyDescent="0.3"/>
  <cols>
    <col min="1" max="1" width="18.21875" bestFit="1" customWidth="1"/>
    <col min="2" max="2" width="11.5546875" bestFit="1" customWidth="1"/>
    <col min="3" max="3" width="20.21875" bestFit="1" customWidth="1"/>
    <col min="4" max="4" width="10.5546875" style="7" bestFit="1" customWidth="1"/>
    <col min="5" max="5" width="10.5546875" style="2" bestFit="1" customWidth="1"/>
    <col min="6" max="6" width="15.109375" customWidth="1"/>
    <col min="8" max="8" width="10" bestFit="1" customWidth="1"/>
    <col min="9" max="9" width="18.21875" bestFit="1" customWidth="1"/>
    <col min="10" max="10" width="11.5546875" bestFit="1" customWidth="1"/>
    <col min="11" max="11" width="20.21875" bestFit="1" customWidth="1"/>
    <col min="12" max="12" width="10.5546875" bestFit="1" customWidth="1"/>
    <col min="13" max="13" width="10.109375" bestFit="1" customWidth="1"/>
    <col min="14" max="14" width="15.5546875" bestFit="1" customWidth="1"/>
  </cols>
  <sheetData>
    <row r="1" spans="1:6" x14ac:dyDescent="0.3">
      <c r="A1" s="25" t="s">
        <v>0</v>
      </c>
      <c r="B1" s="26" t="s">
        <v>1</v>
      </c>
      <c r="C1" s="26" t="s">
        <v>2</v>
      </c>
      <c r="D1" s="27" t="s">
        <v>3</v>
      </c>
      <c r="E1" s="28" t="s">
        <v>4</v>
      </c>
      <c r="F1" s="29" t="s">
        <v>5</v>
      </c>
    </row>
    <row r="2" spans="1:6" x14ac:dyDescent="0.3">
      <c r="A2" s="30" t="s">
        <v>6</v>
      </c>
      <c r="B2" s="31" t="s">
        <v>7</v>
      </c>
      <c r="C2" s="31" t="s">
        <v>8</v>
      </c>
      <c r="D2" s="32">
        <v>44652</v>
      </c>
      <c r="E2" s="33">
        <v>5320</v>
      </c>
      <c r="F2" s="34">
        <v>180</v>
      </c>
    </row>
    <row r="3" spans="1:6" x14ac:dyDescent="0.3">
      <c r="A3" s="35" t="s">
        <v>9</v>
      </c>
      <c r="B3" s="36" t="s">
        <v>10</v>
      </c>
      <c r="C3" s="36" t="s">
        <v>11</v>
      </c>
      <c r="D3" s="37">
        <v>44569</v>
      </c>
      <c r="E3" s="38">
        <v>7896</v>
      </c>
      <c r="F3" s="39">
        <v>94</v>
      </c>
    </row>
    <row r="4" spans="1:6" x14ac:dyDescent="0.3">
      <c r="A4" s="30" t="s">
        <v>12</v>
      </c>
      <c r="B4" s="31" t="s">
        <v>10</v>
      </c>
      <c r="C4" s="31" t="s">
        <v>13</v>
      </c>
      <c r="D4" s="32">
        <v>44749</v>
      </c>
      <c r="E4" s="33">
        <v>4501</v>
      </c>
      <c r="F4" s="34">
        <v>91</v>
      </c>
    </row>
    <row r="5" spans="1:6" x14ac:dyDescent="0.3">
      <c r="A5" s="35" t="s">
        <v>14</v>
      </c>
      <c r="B5" s="36" t="s">
        <v>15</v>
      </c>
      <c r="C5" s="36" t="s">
        <v>13</v>
      </c>
      <c r="D5" s="36" t="s">
        <v>16</v>
      </c>
      <c r="E5" s="38">
        <v>12726</v>
      </c>
      <c r="F5" s="39">
        <v>342</v>
      </c>
    </row>
    <row r="6" spans="1:6" x14ac:dyDescent="0.3">
      <c r="A6" s="30" t="s">
        <v>6</v>
      </c>
      <c r="B6" s="31" t="s">
        <v>7</v>
      </c>
      <c r="C6" s="31" t="s">
        <v>13</v>
      </c>
      <c r="D6" s="31" t="s">
        <v>17</v>
      </c>
      <c r="E6" s="33">
        <v>13685</v>
      </c>
      <c r="F6" s="34">
        <v>184</v>
      </c>
    </row>
    <row r="7" spans="1:6" x14ac:dyDescent="0.3">
      <c r="A7" s="35" t="s">
        <v>9</v>
      </c>
      <c r="B7" s="36" t="s">
        <v>10</v>
      </c>
      <c r="C7" s="36" t="s">
        <v>18</v>
      </c>
      <c r="D7" s="37">
        <v>44718</v>
      </c>
      <c r="E7" s="38">
        <v>5376</v>
      </c>
      <c r="F7" s="39">
        <v>38</v>
      </c>
    </row>
    <row r="8" spans="1:6" x14ac:dyDescent="0.3">
      <c r="A8" s="30" t="s">
        <v>19</v>
      </c>
      <c r="B8" s="31" t="s">
        <v>7</v>
      </c>
      <c r="C8" s="31" t="s">
        <v>20</v>
      </c>
      <c r="D8" s="31" t="s">
        <v>21</v>
      </c>
      <c r="E8" s="33">
        <v>13685</v>
      </c>
      <c r="F8" s="34">
        <v>176</v>
      </c>
    </row>
    <row r="9" spans="1:6" x14ac:dyDescent="0.3">
      <c r="A9" s="35" t="s">
        <v>22</v>
      </c>
      <c r="B9" s="36" t="s">
        <v>15</v>
      </c>
      <c r="C9" s="36" t="s">
        <v>23</v>
      </c>
      <c r="D9" s="36" t="s">
        <v>24</v>
      </c>
      <c r="E9" s="38">
        <v>3080</v>
      </c>
      <c r="F9" s="39">
        <v>73</v>
      </c>
    </row>
    <row r="10" spans="1:6" x14ac:dyDescent="0.3">
      <c r="A10" s="30" t="s">
        <v>6</v>
      </c>
      <c r="B10" s="31" t="s">
        <v>25</v>
      </c>
      <c r="C10" s="31" t="s">
        <v>26</v>
      </c>
      <c r="D10" s="31" t="s">
        <v>27</v>
      </c>
      <c r="E10" s="33">
        <v>3990</v>
      </c>
      <c r="F10" s="34">
        <v>59</v>
      </c>
    </row>
    <row r="11" spans="1:6" x14ac:dyDescent="0.3">
      <c r="A11" s="35" t="s">
        <v>28</v>
      </c>
      <c r="B11" s="36" t="s">
        <v>15</v>
      </c>
      <c r="C11" s="36" t="s">
        <v>20</v>
      </c>
      <c r="D11" s="37">
        <v>44658</v>
      </c>
      <c r="E11" s="38">
        <v>2835</v>
      </c>
      <c r="F11" s="39">
        <v>102</v>
      </c>
    </row>
    <row r="12" spans="1:6" x14ac:dyDescent="0.3">
      <c r="A12" s="30" t="s">
        <v>29</v>
      </c>
      <c r="B12" s="31" t="s">
        <v>7</v>
      </c>
      <c r="C12" s="31" t="s">
        <v>18</v>
      </c>
      <c r="D12" s="31" t="s">
        <v>30</v>
      </c>
      <c r="E12" s="33">
        <v>4704</v>
      </c>
      <c r="F12" s="34">
        <v>62</v>
      </c>
    </row>
    <row r="13" spans="1:6" x14ac:dyDescent="0.3">
      <c r="A13" s="35" t="s">
        <v>31</v>
      </c>
      <c r="B13" s="36" t="s">
        <v>32</v>
      </c>
      <c r="C13" s="36" t="s">
        <v>33</v>
      </c>
      <c r="D13" s="37">
        <v>44837</v>
      </c>
      <c r="E13" s="38">
        <v>3703</v>
      </c>
      <c r="F13" s="39">
        <v>11</v>
      </c>
    </row>
    <row r="14" spans="1:6" x14ac:dyDescent="0.3">
      <c r="A14" s="30" t="s">
        <v>34</v>
      </c>
      <c r="B14" s="31" t="s">
        <v>35</v>
      </c>
      <c r="C14" s="31" t="s">
        <v>36</v>
      </c>
      <c r="D14" s="31" t="s">
        <v>30</v>
      </c>
      <c r="E14" s="33">
        <v>1442</v>
      </c>
      <c r="F14" s="34">
        <v>286</v>
      </c>
    </row>
    <row r="15" spans="1:6" x14ac:dyDescent="0.3">
      <c r="A15" s="35" t="s">
        <v>37</v>
      </c>
      <c r="B15" s="36" t="s">
        <v>25</v>
      </c>
      <c r="C15" s="36" t="s">
        <v>38</v>
      </c>
      <c r="D15" s="36" t="s">
        <v>39</v>
      </c>
      <c r="E15" s="38">
        <v>168</v>
      </c>
      <c r="F15" s="39">
        <v>156</v>
      </c>
    </row>
    <row r="16" spans="1:6" x14ac:dyDescent="0.3">
      <c r="A16" s="30" t="s">
        <v>40</v>
      </c>
      <c r="B16" s="31" t="s">
        <v>25</v>
      </c>
      <c r="C16" s="31" t="s">
        <v>13</v>
      </c>
      <c r="D16" s="32">
        <v>44628</v>
      </c>
      <c r="E16" s="33">
        <v>8379</v>
      </c>
      <c r="F16" s="34">
        <v>173</v>
      </c>
    </row>
    <row r="17" spans="1:6" x14ac:dyDescent="0.3">
      <c r="A17" s="35" t="s">
        <v>41</v>
      </c>
      <c r="B17" s="36" t="s">
        <v>15</v>
      </c>
      <c r="C17" s="36" t="s">
        <v>42</v>
      </c>
      <c r="D17" s="36" t="s">
        <v>43</v>
      </c>
      <c r="E17" s="38">
        <v>6790</v>
      </c>
      <c r="F17" s="39">
        <v>356</v>
      </c>
    </row>
    <row r="18" spans="1:6" x14ac:dyDescent="0.3">
      <c r="A18" s="30" t="s">
        <v>9</v>
      </c>
      <c r="B18" s="31" t="s">
        <v>35</v>
      </c>
      <c r="C18" s="31" t="s">
        <v>42</v>
      </c>
      <c r="D18" s="31" t="s">
        <v>44</v>
      </c>
      <c r="E18" s="33">
        <v>4067</v>
      </c>
      <c r="F18" s="34">
        <v>42</v>
      </c>
    </row>
    <row r="19" spans="1:6" x14ac:dyDescent="0.3">
      <c r="A19" s="35" t="s">
        <v>45</v>
      </c>
      <c r="B19" s="36" t="s">
        <v>32</v>
      </c>
      <c r="C19" s="36" t="s">
        <v>18</v>
      </c>
      <c r="D19" s="37">
        <v>44685</v>
      </c>
      <c r="E19" s="38">
        <v>3017</v>
      </c>
      <c r="F19" s="39">
        <v>140</v>
      </c>
    </row>
    <row r="20" spans="1:6" x14ac:dyDescent="0.3">
      <c r="A20" s="30" t="s">
        <v>41</v>
      </c>
      <c r="B20" s="31" t="s">
        <v>35</v>
      </c>
      <c r="C20" s="31" t="s">
        <v>46</v>
      </c>
      <c r="D20" s="31" t="s">
        <v>47</v>
      </c>
      <c r="E20" s="33">
        <v>8799</v>
      </c>
      <c r="F20" s="34">
        <v>250</v>
      </c>
    </row>
    <row r="21" spans="1:6" x14ac:dyDescent="0.3">
      <c r="A21" s="35" t="s">
        <v>48</v>
      </c>
      <c r="B21" s="36" t="s">
        <v>7</v>
      </c>
      <c r="C21" s="36" t="s">
        <v>11</v>
      </c>
      <c r="D21" s="37">
        <v>44779</v>
      </c>
      <c r="E21" s="38">
        <v>1085</v>
      </c>
      <c r="F21" s="39">
        <v>172</v>
      </c>
    </row>
    <row r="22" spans="1:6" x14ac:dyDescent="0.3">
      <c r="A22" s="30" t="s">
        <v>28</v>
      </c>
      <c r="B22" s="31" t="s">
        <v>15</v>
      </c>
      <c r="C22" s="31" t="s">
        <v>36</v>
      </c>
      <c r="D22" s="31" t="s">
        <v>49</v>
      </c>
      <c r="E22" s="33">
        <v>6888</v>
      </c>
      <c r="F22" s="34">
        <v>88</v>
      </c>
    </row>
    <row r="23" spans="1:6" x14ac:dyDescent="0.3">
      <c r="A23" s="35" t="s">
        <v>22</v>
      </c>
      <c r="B23" s="36" t="s">
        <v>32</v>
      </c>
      <c r="C23" s="36" t="s">
        <v>50</v>
      </c>
      <c r="D23" s="36" t="s">
        <v>51</v>
      </c>
      <c r="E23" s="38">
        <v>1267</v>
      </c>
      <c r="F23" s="39">
        <v>157</v>
      </c>
    </row>
    <row r="24" spans="1:6" x14ac:dyDescent="0.3">
      <c r="A24" s="30" t="s">
        <v>40</v>
      </c>
      <c r="B24" s="31" t="s">
        <v>32</v>
      </c>
      <c r="C24" s="31" t="s">
        <v>23</v>
      </c>
      <c r="D24" s="31" t="s">
        <v>52</v>
      </c>
      <c r="E24" s="33">
        <v>4753</v>
      </c>
      <c r="F24" s="34">
        <v>163</v>
      </c>
    </row>
    <row r="25" spans="1:6" x14ac:dyDescent="0.3">
      <c r="A25" s="35" t="s">
        <v>53</v>
      </c>
      <c r="B25" s="36" t="s">
        <v>7</v>
      </c>
      <c r="C25" s="36" t="s">
        <v>38</v>
      </c>
      <c r="D25" s="36" t="s">
        <v>54</v>
      </c>
      <c r="E25" s="38">
        <v>3003</v>
      </c>
      <c r="F25" s="39">
        <v>113</v>
      </c>
    </row>
    <row r="26" spans="1:6" x14ac:dyDescent="0.3">
      <c r="A26" s="30" t="s">
        <v>55</v>
      </c>
      <c r="B26" s="31" t="s">
        <v>15</v>
      </c>
      <c r="C26" s="31" t="s">
        <v>36</v>
      </c>
      <c r="D26" s="31" t="s">
        <v>56</v>
      </c>
      <c r="E26" s="33">
        <v>7672</v>
      </c>
      <c r="F26" s="34">
        <v>115</v>
      </c>
    </row>
    <row r="27" spans="1:6" x14ac:dyDescent="0.3">
      <c r="A27" s="35" t="s">
        <v>37</v>
      </c>
      <c r="B27" s="36" t="s">
        <v>10</v>
      </c>
      <c r="C27" s="36" t="s">
        <v>57</v>
      </c>
      <c r="D27" s="36" t="s">
        <v>43</v>
      </c>
      <c r="E27" s="38">
        <v>168</v>
      </c>
      <c r="F27" s="39">
        <v>321</v>
      </c>
    </row>
    <row r="28" spans="1:6" x14ac:dyDescent="0.3">
      <c r="A28" s="30" t="s">
        <v>45</v>
      </c>
      <c r="B28" s="31" t="s">
        <v>35</v>
      </c>
      <c r="C28" s="31" t="s">
        <v>50</v>
      </c>
      <c r="D28" s="32">
        <v>44806</v>
      </c>
      <c r="E28" s="33">
        <v>1652</v>
      </c>
      <c r="F28" s="34">
        <v>186</v>
      </c>
    </row>
    <row r="29" spans="1:6" x14ac:dyDescent="0.3">
      <c r="A29" s="35" t="s">
        <v>53</v>
      </c>
      <c r="B29" s="36" t="s">
        <v>32</v>
      </c>
      <c r="C29" s="36" t="s">
        <v>36</v>
      </c>
      <c r="D29" s="37">
        <v>44749</v>
      </c>
      <c r="E29" s="38">
        <v>4025</v>
      </c>
      <c r="F29" s="39">
        <v>112</v>
      </c>
    </row>
    <row r="30" spans="1:6" x14ac:dyDescent="0.3">
      <c r="A30" s="30" t="s">
        <v>58</v>
      </c>
      <c r="B30" s="31" t="s">
        <v>25</v>
      </c>
      <c r="C30" s="31" t="s">
        <v>59</v>
      </c>
      <c r="D30" s="32">
        <v>44688</v>
      </c>
      <c r="E30" s="33">
        <v>9492</v>
      </c>
      <c r="F30" s="34">
        <v>151</v>
      </c>
    </row>
    <row r="31" spans="1:6" x14ac:dyDescent="0.3">
      <c r="A31" s="35" t="s">
        <v>58</v>
      </c>
      <c r="B31" s="36" t="s">
        <v>25</v>
      </c>
      <c r="C31" s="36" t="s">
        <v>60</v>
      </c>
      <c r="D31" s="36" t="s">
        <v>61</v>
      </c>
      <c r="E31" s="38">
        <v>5061</v>
      </c>
      <c r="F31" s="39">
        <v>301</v>
      </c>
    </row>
    <row r="32" spans="1:6" x14ac:dyDescent="0.3">
      <c r="A32" s="30" t="s">
        <v>9</v>
      </c>
      <c r="B32" s="31" t="s">
        <v>25</v>
      </c>
      <c r="C32" s="31" t="s">
        <v>11</v>
      </c>
      <c r="D32" s="31" t="s">
        <v>62</v>
      </c>
      <c r="E32" s="33">
        <v>1722</v>
      </c>
      <c r="F32" s="34">
        <v>121</v>
      </c>
    </row>
    <row r="33" spans="1:6" x14ac:dyDescent="0.3">
      <c r="A33" s="35" t="s">
        <v>29</v>
      </c>
      <c r="B33" s="36" t="s">
        <v>7</v>
      </c>
      <c r="C33" s="36" t="s">
        <v>20</v>
      </c>
      <c r="D33" s="36" t="s">
        <v>63</v>
      </c>
      <c r="E33" s="38">
        <v>12446</v>
      </c>
      <c r="F33" s="39">
        <v>150</v>
      </c>
    </row>
    <row r="34" spans="1:6" x14ac:dyDescent="0.3">
      <c r="A34" s="30" t="s">
        <v>64</v>
      </c>
      <c r="B34" s="31" t="s">
        <v>15</v>
      </c>
      <c r="C34" s="31" t="s">
        <v>60</v>
      </c>
      <c r="D34" s="32">
        <v>44870</v>
      </c>
      <c r="E34" s="33">
        <v>4284</v>
      </c>
      <c r="F34" s="34">
        <v>94</v>
      </c>
    </row>
    <row r="35" spans="1:6" x14ac:dyDescent="0.3">
      <c r="A35" s="35" t="s">
        <v>37</v>
      </c>
      <c r="B35" s="36" t="s">
        <v>7</v>
      </c>
      <c r="C35" s="36" t="s">
        <v>65</v>
      </c>
      <c r="D35" s="36" t="s">
        <v>66</v>
      </c>
      <c r="E35" s="38">
        <v>6839</v>
      </c>
      <c r="F35" s="39">
        <v>133</v>
      </c>
    </row>
    <row r="36" spans="1:6" x14ac:dyDescent="0.3">
      <c r="A36" s="30" t="s">
        <v>67</v>
      </c>
      <c r="B36" s="31" t="s">
        <v>35</v>
      </c>
      <c r="C36" s="31" t="s">
        <v>23</v>
      </c>
      <c r="D36" s="32">
        <v>44870</v>
      </c>
      <c r="E36" s="33">
        <v>2163</v>
      </c>
      <c r="F36" s="34">
        <v>70</v>
      </c>
    </row>
    <row r="37" spans="1:6" x14ac:dyDescent="0.3">
      <c r="A37" s="35" t="s">
        <v>45</v>
      </c>
      <c r="B37" s="36" t="s">
        <v>32</v>
      </c>
      <c r="C37" s="36" t="s">
        <v>60</v>
      </c>
      <c r="D37" s="36" t="s">
        <v>68</v>
      </c>
      <c r="E37" s="38">
        <v>9583</v>
      </c>
      <c r="F37" s="39">
        <v>315</v>
      </c>
    </row>
    <row r="38" spans="1:6" x14ac:dyDescent="0.3">
      <c r="A38" s="30" t="s">
        <v>67</v>
      </c>
      <c r="B38" s="31" t="s">
        <v>7</v>
      </c>
      <c r="C38" s="31" t="s">
        <v>26</v>
      </c>
      <c r="D38" s="31" t="s">
        <v>69</v>
      </c>
      <c r="E38" s="33">
        <v>2653</v>
      </c>
      <c r="F38" s="34">
        <v>314</v>
      </c>
    </row>
    <row r="39" spans="1:6" x14ac:dyDescent="0.3">
      <c r="A39" s="35" t="s">
        <v>70</v>
      </c>
      <c r="B39" s="36" t="s">
        <v>25</v>
      </c>
      <c r="C39" s="36" t="s">
        <v>23</v>
      </c>
      <c r="D39" s="37">
        <v>44749</v>
      </c>
      <c r="E39" s="38">
        <v>147</v>
      </c>
      <c r="F39" s="39">
        <v>72</v>
      </c>
    </row>
    <row r="40" spans="1:6" x14ac:dyDescent="0.3">
      <c r="A40" s="30" t="s">
        <v>71</v>
      </c>
      <c r="B40" s="31" t="s">
        <v>15</v>
      </c>
      <c r="C40" s="31" t="s">
        <v>11</v>
      </c>
      <c r="D40" s="31" t="s">
        <v>72</v>
      </c>
      <c r="E40" s="33">
        <v>3654</v>
      </c>
      <c r="F40" s="34">
        <v>14</v>
      </c>
    </row>
    <row r="41" spans="1:6" x14ac:dyDescent="0.3">
      <c r="A41" s="35" t="s">
        <v>37</v>
      </c>
      <c r="B41" s="36" t="s">
        <v>10</v>
      </c>
      <c r="C41" s="36" t="s">
        <v>60</v>
      </c>
      <c r="D41" s="37">
        <v>44658</v>
      </c>
      <c r="E41" s="38">
        <v>2443</v>
      </c>
      <c r="F41" s="39">
        <v>581</v>
      </c>
    </row>
    <row r="42" spans="1:6" x14ac:dyDescent="0.3">
      <c r="A42" s="30" t="s">
        <v>70</v>
      </c>
      <c r="B42" s="31" t="s">
        <v>32</v>
      </c>
      <c r="C42" s="31" t="s">
        <v>23</v>
      </c>
      <c r="D42" s="32">
        <v>44598</v>
      </c>
      <c r="E42" s="33">
        <v>938</v>
      </c>
      <c r="F42" s="34">
        <v>16</v>
      </c>
    </row>
    <row r="43" spans="1:6" x14ac:dyDescent="0.3">
      <c r="A43" s="35" t="s">
        <v>37</v>
      </c>
      <c r="B43" s="36" t="s">
        <v>32</v>
      </c>
      <c r="C43" s="36" t="s">
        <v>73</v>
      </c>
      <c r="D43" s="36" t="s">
        <v>74</v>
      </c>
      <c r="E43" s="38">
        <v>14749</v>
      </c>
      <c r="F43" s="39">
        <v>354</v>
      </c>
    </row>
    <row r="44" spans="1:6" x14ac:dyDescent="0.3">
      <c r="A44" s="30" t="s">
        <v>34</v>
      </c>
      <c r="B44" s="31" t="s">
        <v>35</v>
      </c>
      <c r="C44" s="31" t="s">
        <v>75</v>
      </c>
      <c r="D44" s="32">
        <v>44872</v>
      </c>
      <c r="E44" s="33">
        <v>4781</v>
      </c>
      <c r="F44" s="34">
        <v>241</v>
      </c>
    </row>
    <row r="45" spans="1:6" x14ac:dyDescent="0.3">
      <c r="A45" s="35" t="s">
        <v>67</v>
      </c>
      <c r="B45" s="36" t="s">
        <v>10</v>
      </c>
      <c r="C45" s="36" t="s">
        <v>50</v>
      </c>
      <c r="D45" s="36" t="s">
        <v>76</v>
      </c>
      <c r="E45" s="38">
        <v>6307</v>
      </c>
      <c r="F45" s="39">
        <v>142</v>
      </c>
    </row>
    <row r="46" spans="1:6" x14ac:dyDescent="0.3">
      <c r="A46" s="30" t="s">
        <v>77</v>
      </c>
      <c r="B46" s="31" t="s">
        <v>35</v>
      </c>
      <c r="C46" s="31" t="s">
        <v>65</v>
      </c>
      <c r="D46" s="31" t="s">
        <v>78</v>
      </c>
      <c r="E46" s="33">
        <v>7602</v>
      </c>
      <c r="F46" s="34">
        <v>102</v>
      </c>
    </row>
    <row r="47" spans="1:6" x14ac:dyDescent="0.3">
      <c r="A47" s="35" t="s">
        <v>55</v>
      </c>
      <c r="B47" s="36" t="s">
        <v>32</v>
      </c>
      <c r="C47" s="36" t="s">
        <v>13</v>
      </c>
      <c r="D47" s="36" t="s">
        <v>47</v>
      </c>
      <c r="E47" s="38">
        <v>6790</v>
      </c>
      <c r="F47" s="39">
        <v>188</v>
      </c>
    </row>
    <row r="48" spans="1:6" x14ac:dyDescent="0.3">
      <c r="A48" s="30" t="s">
        <v>9</v>
      </c>
      <c r="B48" s="31" t="s">
        <v>32</v>
      </c>
      <c r="C48" s="31" t="s">
        <v>26</v>
      </c>
      <c r="D48" s="31" t="s">
        <v>30</v>
      </c>
      <c r="E48" s="33">
        <v>9737</v>
      </c>
      <c r="F48" s="34">
        <v>160</v>
      </c>
    </row>
    <row r="49" spans="1:6" x14ac:dyDescent="0.3">
      <c r="A49" s="35" t="s">
        <v>48</v>
      </c>
      <c r="B49" s="36" t="s">
        <v>15</v>
      </c>
      <c r="C49" s="36" t="s">
        <v>46</v>
      </c>
      <c r="D49" s="36" t="s">
        <v>44</v>
      </c>
      <c r="E49" s="38">
        <v>6979</v>
      </c>
      <c r="F49" s="39">
        <v>18</v>
      </c>
    </row>
    <row r="50" spans="1:6" x14ac:dyDescent="0.3">
      <c r="A50" s="30" t="s">
        <v>45</v>
      </c>
      <c r="B50" s="31" t="s">
        <v>10</v>
      </c>
      <c r="C50" s="31" t="s">
        <v>36</v>
      </c>
      <c r="D50" s="32">
        <v>44840</v>
      </c>
      <c r="E50" s="33">
        <v>4382</v>
      </c>
      <c r="F50" s="34">
        <v>303</v>
      </c>
    </row>
    <row r="51" spans="1:6" x14ac:dyDescent="0.3">
      <c r="A51" s="35" t="s">
        <v>48</v>
      </c>
      <c r="B51" s="36" t="s">
        <v>10</v>
      </c>
      <c r="C51" s="36" t="s">
        <v>57</v>
      </c>
      <c r="D51" s="37">
        <v>44749</v>
      </c>
      <c r="E51" s="38">
        <v>5243</v>
      </c>
      <c r="F51" s="39">
        <v>176</v>
      </c>
    </row>
    <row r="52" spans="1:6" x14ac:dyDescent="0.3">
      <c r="A52" s="30" t="s">
        <v>48</v>
      </c>
      <c r="B52" s="31" t="s">
        <v>35</v>
      </c>
      <c r="C52" s="31" t="s">
        <v>65</v>
      </c>
      <c r="D52" s="31" t="s">
        <v>24</v>
      </c>
      <c r="E52" s="33">
        <v>4865</v>
      </c>
      <c r="F52" s="34">
        <v>70</v>
      </c>
    </row>
    <row r="53" spans="1:6" x14ac:dyDescent="0.3">
      <c r="A53" s="35" t="s">
        <v>28</v>
      </c>
      <c r="B53" s="36" t="s">
        <v>15</v>
      </c>
      <c r="C53" s="36" t="s">
        <v>57</v>
      </c>
      <c r="D53" s="37">
        <v>44718</v>
      </c>
      <c r="E53" s="38">
        <v>8575</v>
      </c>
      <c r="F53" s="39">
        <v>23</v>
      </c>
    </row>
    <row r="54" spans="1:6" x14ac:dyDescent="0.3">
      <c r="A54" s="30" t="s">
        <v>41</v>
      </c>
      <c r="B54" s="31" t="s">
        <v>25</v>
      </c>
      <c r="C54" s="31" t="s">
        <v>50</v>
      </c>
      <c r="D54" s="40">
        <v>44748</v>
      </c>
      <c r="E54" s="33">
        <v>63</v>
      </c>
      <c r="F54" s="34">
        <f>SUBTOTAL(102,F2:F53)</f>
        <v>52</v>
      </c>
    </row>
    <row r="55" spans="1:6" x14ac:dyDescent="0.3">
      <c r="A55" s="35" t="s">
        <v>41</v>
      </c>
      <c r="B55" s="36" t="s">
        <v>32</v>
      </c>
      <c r="C55" s="36" t="s">
        <v>73</v>
      </c>
      <c r="D55" s="36" t="s">
        <v>81</v>
      </c>
      <c r="E55" s="38">
        <v>14798</v>
      </c>
      <c r="F55" s="39">
        <v>83</v>
      </c>
    </row>
    <row r="56" spans="1:6" x14ac:dyDescent="0.3">
      <c r="A56" s="30" t="s">
        <v>40</v>
      </c>
      <c r="B56" s="31" t="s">
        <v>10</v>
      </c>
      <c r="C56" s="31" t="s">
        <v>11</v>
      </c>
      <c r="D56" s="31" t="s">
        <v>80</v>
      </c>
      <c r="E56" s="33">
        <v>2205</v>
      </c>
      <c r="F56" s="34">
        <v>179</v>
      </c>
    </row>
    <row r="57" spans="1:6" x14ac:dyDescent="0.3">
      <c r="A57" s="35" t="s">
        <v>6</v>
      </c>
      <c r="B57" s="36" t="s">
        <v>35</v>
      </c>
      <c r="C57" s="36" t="s">
        <v>38</v>
      </c>
      <c r="D57" s="36" t="s">
        <v>82</v>
      </c>
      <c r="E57" s="38">
        <v>441</v>
      </c>
      <c r="F57" s="39">
        <v>24</v>
      </c>
    </row>
    <row r="58" spans="1:6" x14ac:dyDescent="0.3">
      <c r="A58" s="30" t="s">
        <v>83</v>
      </c>
      <c r="B58" s="31" t="s">
        <v>25</v>
      </c>
      <c r="C58" s="31" t="s">
        <v>50</v>
      </c>
      <c r="D58" s="31" t="s">
        <v>44</v>
      </c>
      <c r="E58" s="33">
        <v>3556</v>
      </c>
      <c r="F58" s="34">
        <v>18</v>
      </c>
    </row>
    <row r="59" spans="1:6" x14ac:dyDescent="0.3">
      <c r="A59" s="35" t="s">
        <v>28</v>
      </c>
      <c r="B59" s="36" t="s">
        <v>35</v>
      </c>
      <c r="C59" s="36" t="s">
        <v>20</v>
      </c>
      <c r="D59" s="36" t="s">
        <v>84</v>
      </c>
      <c r="E59" s="38">
        <v>16793</v>
      </c>
      <c r="F59" s="39">
        <v>416</v>
      </c>
    </row>
    <row r="60" spans="1:6" x14ac:dyDescent="0.3">
      <c r="A60" s="30" t="s">
        <v>31</v>
      </c>
      <c r="B60" s="31" t="s">
        <v>15</v>
      </c>
      <c r="C60" s="31" t="s">
        <v>57</v>
      </c>
      <c r="D60" s="31" t="s">
        <v>66</v>
      </c>
      <c r="E60" s="33">
        <v>15421</v>
      </c>
      <c r="F60" s="34">
        <v>55</v>
      </c>
    </row>
    <row r="61" spans="1:6" x14ac:dyDescent="0.3">
      <c r="A61" s="35" t="s">
        <v>67</v>
      </c>
      <c r="B61" s="36" t="s">
        <v>15</v>
      </c>
      <c r="C61" s="36" t="s">
        <v>26</v>
      </c>
      <c r="D61" s="37">
        <v>44598</v>
      </c>
      <c r="E61" s="38">
        <v>4438</v>
      </c>
      <c r="F61" s="39">
        <v>227</v>
      </c>
    </row>
    <row r="62" spans="1:6" x14ac:dyDescent="0.3">
      <c r="A62" s="30" t="s">
        <v>67</v>
      </c>
      <c r="B62" s="31" t="s">
        <v>15</v>
      </c>
      <c r="C62" s="31" t="s">
        <v>38</v>
      </c>
      <c r="D62" s="31" t="s">
        <v>85</v>
      </c>
      <c r="E62" s="33">
        <v>1603</v>
      </c>
      <c r="F62" s="34">
        <v>48</v>
      </c>
    </row>
    <row r="63" spans="1:6" x14ac:dyDescent="0.3">
      <c r="A63" s="35" t="s">
        <v>40</v>
      </c>
      <c r="B63" s="36" t="s">
        <v>15</v>
      </c>
      <c r="C63" s="36" t="s">
        <v>42</v>
      </c>
      <c r="D63" s="36" t="s">
        <v>86</v>
      </c>
      <c r="E63" s="38">
        <v>273</v>
      </c>
      <c r="F63" s="39">
        <v>174</v>
      </c>
    </row>
    <row r="64" spans="1:6" x14ac:dyDescent="0.3">
      <c r="A64" s="30" t="s">
        <v>70</v>
      </c>
      <c r="B64" s="31" t="s">
        <v>35</v>
      </c>
      <c r="C64" s="31" t="s">
        <v>87</v>
      </c>
      <c r="D64" s="31" t="s">
        <v>88</v>
      </c>
      <c r="E64" s="33">
        <v>3073</v>
      </c>
      <c r="F64" s="34">
        <v>302</v>
      </c>
    </row>
    <row r="65" spans="1:6" x14ac:dyDescent="0.3">
      <c r="A65" s="35" t="s">
        <v>37</v>
      </c>
      <c r="B65" s="36" t="s">
        <v>10</v>
      </c>
      <c r="C65" s="36" t="s">
        <v>65</v>
      </c>
      <c r="D65" s="37">
        <v>44719</v>
      </c>
      <c r="E65" s="38">
        <v>6090</v>
      </c>
      <c r="F65" s="39">
        <v>149</v>
      </c>
    </row>
    <row r="66" spans="1:6" x14ac:dyDescent="0.3">
      <c r="A66" s="30" t="s">
        <v>19</v>
      </c>
      <c r="B66" s="31" t="s">
        <v>10</v>
      </c>
      <c r="C66" s="31" t="s">
        <v>20</v>
      </c>
      <c r="D66" s="31" t="s">
        <v>89</v>
      </c>
      <c r="E66" s="33">
        <v>10255</v>
      </c>
      <c r="F66" s="34">
        <v>11</v>
      </c>
    </row>
    <row r="67" spans="1:6" x14ac:dyDescent="0.3">
      <c r="A67" s="35" t="s">
        <v>64</v>
      </c>
      <c r="B67" s="36" t="s">
        <v>15</v>
      </c>
      <c r="C67" s="36" t="s">
        <v>90</v>
      </c>
      <c r="D67" s="36" t="s">
        <v>91</v>
      </c>
      <c r="E67" s="38">
        <v>2030</v>
      </c>
      <c r="F67" s="39">
        <v>11</v>
      </c>
    </row>
    <row r="68" spans="1:6" x14ac:dyDescent="0.3">
      <c r="A68" s="30" t="s">
        <v>9</v>
      </c>
      <c r="B68" s="31" t="s">
        <v>15</v>
      </c>
      <c r="C68" s="31" t="s">
        <v>42</v>
      </c>
      <c r="D68" s="32">
        <v>44842</v>
      </c>
      <c r="E68" s="33">
        <v>19453</v>
      </c>
      <c r="F68" s="34">
        <v>14</v>
      </c>
    </row>
    <row r="69" spans="1:6" x14ac:dyDescent="0.3">
      <c r="A69" s="35" t="s">
        <v>71</v>
      </c>
      <c r="B69" s="36" t="s">
        <v>10</v>
      </c>
      <c r="C69" s="36" t="s">
        <v>26</v>
      </c>
      <c r="D69" s="37">
        <v>44658</v>
      </c>
      <c r="E69" s="38">
        <v>9275</v>
      </c>
      <c r="F69" s="39">
        <v>411</v>
      </c>
    </row>
    <row r="70" spans="1:6" x14ac:dyDescent="0.3">
      <c r="A70" s="30" t="s">
        <v>19</v>
      </c>
      <c r="B70" s="31" t="s">
        <v>10</v>
      </c>
      <c r="C70" s="31" t="s">
        <v>42</v>
      </c>
      <c r="D70" s="32">
        <v>44780</v>
      </c>
      <c r="E70" s="33">
        <v>6181</v>
      </c>
      <c r="F70" s="34">
        <v>56</v>
      </c>
    </row>
    <row r="71" spans="1:6" x14ac:dyDescent="0.3">
      <c r="A71" s="35" t="s">
        <v>14</v>
      </c>
      <c r="B71" s="36" t="s">
        <v>32</v>
      </c>
      <c r="C71" s="36" t="s">
        <v>13</v>
      </c>
      <c r="D71" s="36" t="s">
        <v>68</v>
      </c>
      <c r="E71" s="38">
        <v>9037</v>
      </c>
      <c r="F71" s="39">
        <v>102</v>
      </c>
    </row>
    <row r="72" spans="1:6" x14ac:dyDescent="0.3">
      <c r="A72" s="30" t="s">
        <v>12</v>
      </c>
      <c r="B72" s="31" t="s">
        <v>32</v>
      </c>
      <c r="C72" s="31" t="s">
        <v>75</v>
      </c>
      <c r="D72" s="32">
        <v>44595</v>
      </c>
      <c r="E72" s="33">
        <v>12313</v>
      </c>
      <c r="F72" s="34">
        <v>103</v>
      </c>
    </row>
    <row r="73" spans="1:6" x14ac:dyDescent="0.3">
      <c r="A73" s="35" t="s">
        <v>12</v>
      </c>
      <c r="B73" s="36" t="s">
        <v>7</v>
      </c>
      <c r="C73" s="36" t="s">
        <v>65</v>
      </c>
      <c r="D73" s="37">
        <v>44835</v>
      </c>
      <c r="E73" s="38">
        <v>5642</v>
      </c>
      <c r="F73" s="39">
        <v>9</v>
      </c>
    </row>
    <row r="74" spans="1:6" x14ac:dyDescent="0.3">
      <c r="A74" s="30" t="s">
        <v>6</v>
      </c>
      <c r="B74" s="31" t="s">
        <v>25</v>
      </c>
      <c r="C74" s="31" t="s">
        <v>59</v>
      </c>
      <c r="D74" s="32">
        <v>44868</v>
      </c>
      <c r="E74" s="33">
        <v>2800</v>
      </c>
      <c r="F74" s="34">
        <v>241</v>
      </c>
    </row>
    <row r="75" spans="1:6" x14ac:dyDescent="0.3">
      <c r="A75" s="35" t="s">
        <v>67</v>
      </c>
      <c r="B75" s="36" t="s">
        <v>25</v>
      </c>
      <c r="C75" s="36" t="s">
        <v>13</v>
      </c>
      <c r="D75" s="36" t="s">
        <v>92</v>
      </c>
      <c r="E75" s="38">
        <v>959</v>
      </c>
      <c r="F75" s="39">
        <v>265</v>
      </c>
    </row>
    <row r="76" spans="1:6" x14ac:dyDescent="0.3">
      <c r="A76" s="30" t="s">
        <v>9</v>
      </c>
      <c r="B76" s="31" t="s">
        <v>7</v>
      </c>
      <c r="C76" s="31" t="s">
        <v>42</v>
      </c>
      <c r="D76" s="31" t="s">
        <v>93</v>
      </c>
      <c r="E76" s="33">
        <v>2002</v>
      </c>
      <c r="F76" s="34">
        <v>214</v>
      </c>
    </row>
    <row r="77" spans="1:6" x14ac:dyDescent="0.3">
      <c r="A77" s="35" t="s">
        <v>45</v>
      </c>
      <c r="B77" s="36" t="s">
        <v>35</v>
      </c>
      <c r="C77" s="36" t="s">
        <v>46</v>
      </c>
      <c r="D77" s="36" t="s">
        <v>94</v>
      </c>
      <c r="E77" s="38">
        <v>609</v>
      </c>
      <c r="F77" s="39">
        <v>32</v>
      </c>
    </row>
    <row r="78" spans="1:6" x14ac:dyDescent="0.3">
      <c r="A78" s="30" t="s">
        <v>71</v>
      </c>
      <c r="B78" s="31" t="s">
        <v>32</v>
      </c>
      <c r="C78" s="31" t="s">
        <v>50</v>
      </c>
      <c r="D78" s="32">
        <v>44867</v>
      </c>
      <c r="E78" s="33">
        <v>1274</v>
      </c>
      <c r="F78" s="34">
        <v>244</v>
      </c>
    </row>
    <row r="79" spans="1:6" x14ac:dyDescent="0.3">
      <c r="A79" s="35" t="s">
        <v>40</v>
      </c>
      <c r="B79" s="36" t="s">
        <v>32</v>
      </c>
      <c r="C79" s="36" t="s">
        <v>33</v>
      </c>
      <c r="D79" s="36" t="s">
        <v>95</v>
      </c>
      <c r="E79" s="38">
        <v>7595</v>
      </c>
      <c r="F79" s="39">
        <v>181</v>
      </c>
    </row>
    <row r="80" spans="1:6" x14ac:dyDescent="0.3">
      <c r="A80" s="30" t="s">
        <v>9</v>
      </c>
      <c r="B80" s="31" t="s">
        <v>7</v>
      </c>
      <c r="C80" s="31" t="s">
        <v>20</v>
      </c>
      <c r="D80" s="31" t="s">
        <v>96</v>
      </c>
      <c r="E80" s="33">
        <v>4725</v>
      </c>
      <c r="F80" s="34">
        <v>137</v>
      </c>
    </row>
    <row r="81" spans="1:6" x14ac:dyDescent="0.3">
      <c r="A81" s="35" t="s">
        <v>71</v>
      </c>
      <c r="B81" s="36" t="s">
        <v>32</v>
      </c>
      <c r="C81" s="36" t="s">
        <v>59</v>
      </c>
      <c r="D81" s="36" t="s">
        <v>97</v>
      </c>
      <c r="E81" s="38">
        <v>9681</v>
      </c>
      <c r="F81" s="39">
        <v>24</v>
      </c>
    </row>
    <row r="82" spans="1:6" x14ac:dyDescent="0.3">
      <c r="A82" s="30" t="s">
        <v>67</v>
      </c>
      <c r="B82" s="31" t="s">
        <v>32</v>
      </c>
      <c r="C82" s="31" t="s">
        <v>73</v>
      </c>
      <c r="D82" s="31" t="s">
        <v>66</v>
      </c>
      <c r="E82" s="33">
        <v>14504</v>
      </c>
      <c r="F82" s="34">
        <v>21</v>
      </c>
    </row>
    <row r="83" spans="1:6" x14ac:dyDescent="0.3">
      <c r="A83" s="35" t="s">
        <v>79</v>
      </c>
      <c r="B83" s="36" t="s">
        <v>15</v>
      </c>
      <c r="C83" s="36" t="s">
        <v>57</v>
      </c>
      <c r="D83" s="36" t="s">
        <v>98</v>
      </c>
      <c r="E83" s="38">
        <v>280</v>
      </c>
      <c r="F83" s="39">
        <v>311</v>
      </c>
    </row>
    <row r="84" spans="1:6" x14ac:dyDescent="0.3">
      <c r="A84" s="30" t="s">
        <v>41</v>
      </c>
      <c r="B84" s="31" t="s">
        <v>25</v>
      </c>
      <c r="C84" s="31" t="s">
        <v>50</v>
      </c>
      <c r="D84" s="40">
        <v>45113</v>
      </c>
      <c r="E84" s="33">
        <v>66.13</v>
      </c>
      <c r="F84" s="34">
        <v>65</v>
      </c>
    </row>
    <row r="85" spans="1:6" x14ac:dyDescent="0.3">
      <c r="A85" s="35" t="s">
        <v>45</v>
      </c>
      <c r="B85" s="36" t="s">
        <v>25</v>
      </c>
      <c r="C85" s="36" t="s">
        <v>23</v>
      </c>
      <c r="D85" s="36" t="s">
        <v>99</v>
      </c>
      <c r="E85" s="38">
        <v>8001</v>
      </c>
      <c r="F85" s="39">
        <v>10</v>
      </c>
    </row>
    <row r="86" spans="1:6" x14ac:dyDescent="0.3">
      <c r="A86" s="30" t="s">
        <v>45</v>
      </c>
      <c r="B86" s="31" t="s">
        <v>35</v>
      </c>
      <c r="C86" s="31" t="s">
        <v>42</v>
      </c>
      <c r="D86" s="32">
        <v>44835</v>
      </c>
      <c r="E86" s="33">
        <v>4032</v>
      </c>
      <c r="F86" s="34">
        <v>82</v>
      </c>
    </row>
    <row r="87" spans="1:6" x14ac:dyDescent="0.3">
      <c r="A87" s="35" t="s">
        <v>58</v>
      </c>
      <c r="B87" s="36" t="s">
        <v>15</v>
      </c>
      <c r="C87" s="36" t="s">
        <v>100</v>
      </c>
      <c r="D87" s="37">
        <v>44744</v>
      </c>
      <c r="E87" s="38">
        <v>5859</v>
      </c>
      <c r="F87" s="39">
        <v>108</v>
      </c>
    </row>
    <row r="88" spans="1:6" x14ac:dyDescent="0.3">
      <c r="A88" s="30" t="s">
        <v>37</v>
      </c>
      <c r="B88" s="31" t="s">
        <v>32</v>
      </c>
      <c r="C88" s="31" t="s">
        <v>33</v>
      </c>
      <c r="D88" s="32">
        <v>44900</v>
      </c>
      <c r="E88" s="33">
        <v>11095</v>
      </c>
      <c r="F88" s="34">
        <v>401</v>
      </c>
    </row>
    <row r="89" spans="1:6" x14ac:dyDescent="0.3">
      <c r="A89" s="35" t="s">
        <v>77</v>
      </c>
      <c r="B89" s="36" t="s">
        <v>15</v>
      </c>
      <c r="C89" s="36" t="s">
        <v>50</v>
      </c>
      <c r="D89" s="37">
        <v>44745</v>
      </c>
      <c r="E89" s="38">
        <v>7182</v>
      </c>
      <c r="F89" s="39">
        <v>408</v>
      </c>
    </row>
    <row r="90" spans="1:6" x14ac:dyDescent="0.3">
      <c r="A90" s="30" t="s">
        <v>58</v>
      </c>
      <c r="B90" s="31" t="s">
        <v>15</v>
      </c>
      <c r="C90" s="31" t="s">
        <v>11</v>
      </c>
      <c r="D90" s="32">
        <v>44685</v>
      </c>
      <c r="E90" s="33">
        <v>6881</v>
      </c>
      <c r="F90" s="34">
        <v>420</v>
      </c>
    </row>
    <row r="91" spans="1:6" x14ac:dyDescent="0.3">
      <c r="A91" s="35" t="s">
        <v>67</v>
      </c>
      <c r="B91" s="36" t="s">
        <v>35</v>
      </c>
      <c r="C91" s="36" t="s">
        <v>90</v>
      </c>
      <c r="D91" s="37">
        <v>44621</v>
      </c>
      <c r="E91" s="38">
        <v>7154</v>
      </c>
      <c r="F91" s="39">
        <v>348</v>
      </c>
    </row>
    <row r="92" spans="1:6" x14ac:dyDescent="0.3">
      <c r="A92" s="30" t="s">
        <v>58</v>
      </c>
      <c r="B92" s="31" t="s">
        <v>7</v>
      </c>
      <c r="C92" s="31" t="s">
        <v>36</v>
      </c>
      <c r="D92" s="31" t="s">
        <v>24</v>
      </c>
      <c r="E92" s="33">
        <v>6188</v>
      </c>
      <c r="F92" s="34">
        <v>270</v>
      </c>
    </row>
    <row r="93" spans="1:6" x14ac:dyDescent="0.3">
      <c r="A93" s="35" t="s">
        <v>77</v>
      </c>
      <c r="B93" s="36" t="s">
        <v>10</v>
      </c>
      <c r="C93" s="36" t="s">
        <v>73</v>
      </c>
      <c r="D93" s="37">
        <v>44749</v>
      </c>
      <c r="E93" s="38">
        <v>4221</v>
      </c>
      <c r="F93" s="39">
        <v>9</v>
      </c>
    </row>
    <row r="94" spans="1:6" x14ac:dyDescent="0.3">
      <c r="A94" s="30" t="s">
        <v>9</v>
      </c>
      <c r="B94" s="31" t="s">
        <v>32</v>
      </c>
      <c r="C94" s="31" t="s">
        <v>23</v>
      </c>
      <c r="D94" s="31" t="s">
        <v>101</v>
      </c>
      <c r="E94" s="33">
        <v>630</v>
      </c>
      <c r="F94" s="34">
        <v>264</v>
      </c>
    </row>
    <row r="95" spans="1:6" x14ac:dyDescent="0.3">
      <c r="A95" s="35" t="s">
        <v>64</v>
      </c>
      <c r="B95" s="36" t="s">
        <v>15</v>
      </c>
      <c r="C95" s="36" t="s">
        <v>42</v>
      </c>
      <c r="D95" s="37">
        <v>44749</v>
      </c>
      <c r="E95" s="38">
        <v>1743</v>
      </c>
      <c r="F95" s="39">
        <v>111</v>
      </c>
    </row>
    <row r="96" spans="1:6" x14ac:dyDescent="0.3">
      <c r="A96" s="30" t="s">
        <v>37</v>
      </c>
      <c r="B96" s="31" t="s">
        <v>35</v>
      </c>
      <c r="C96" s="31" t="s">
        <v>26</v>
      </c>
      <c r="D96" s="31" t="s">
        <v>82</v>
      </c>
      <c r="E96" s="33">
        <v>2919</v>
      </c>
      <c r="F96" s="34">
        <v>65</v>
      </c>
    </row>
    <row r="97" spans="1:6" x14ac:dyDescent="0.3">
      <c r="A97" s="35" t="s">
        <v>41</v>
      </c>
      <c r="B97" s="36" t="s">
        <v>25</v>
      </c>
      <c r="C97" s="36" t="s">
        <v>50</v>
      </c>
      <c r="D97" s="41">
        <v>45479</v>
      </c>
      <c r="E97" s="38">
        <v>70.19</v>
      </c>
      <c r="F97" s="39">
        <v>63</v>
      </c>
    </row>
    <row r="98" spans="1:6" x14ac:dyDescent="0.3">
      <c r="A98" s="30" t="s">
        <v>41</v>
      </c>
      <c r="B98" s="31" t="s">
        <v>15</v>
      </c>
      <c r="C98" s="31" t="s">
        <v>36</v>
      </c>
      <c r="D98" s="31" t="s">
        <v>92</v>
      </c>
      <c r="E98" s="33">
        <v>1827</v>
      </c>
      <c r="F98" s="34">
        <v>6</v>
      </c>
    </row>
    <row r="99" spans="1:6" x14ac:dyDescent="0.3">
      <c r="A99" s="35" t="s">
        <v>70</v>
      </c>
      <c r="B99" s="36" t="s">
        <v>7</v>
      </c>
      <c r="C99" s="36" t="s">
        <v>57</v>
      </c>
      <c r="D99" s="36" t="s">
        <v>63</v>
      </c>
      <c r="E99" s="38">
        <v>13006</v>
      </c>
      <c r="F99" s="39">
        <v>482</v>
      </c>
    </row>
    <row r="100" spans="1:6" x14ac:dyDescent="0.3">
      <c r="A100" s="30" t="s">
        <v>40</v>
      </c>
      <c r="B100" s="31" t="s">
        <v>32</v>
      </c>
      <c r="C100" s="31" t="s">
        <v>26</v>
      </c>
      <c r="D100" s="31" t="s">
        <v>61</v>
      </c>
      <c r="E100" s="33">
        <v>1064</v>
      </c>
      <c r="F100" s="34">
        <v>106</v>
      </c>
    </row>
    <row r="101" spans="1:6" x14ac:dyDescent="0.3">
      <c r="A101" s="35" t="s">
        <v>53</v>
      </c>
      <c r="B101" s="36" t="s">
        <v>32</v>
      </c>
      <c r="C101" s="36" t="s">
        <v>23</v>
      </c>
      <c r="D101" s="37">
        <v>44777</v>
      </c>
      <c r="E101" s="38">
        <v>11571</v>
      </c>
      <c r="F101" s="39">
        <v>180</v>
      </c>
    </row>
    <row r="102" spans="1:6" x14ac:dyDescent="0.3">
      <c r="A102" s="30" t="s">
        <v>58</v>
      </c>
      <c r="B102" s="31" t="s">
        <v>15</v>
      </c>
      <c r="C102" s="31" t="s">
        <v>73</v>
      </c>
      <c r="D102" s="31" t="s">
        <v>54</v>
      </c>
      <c r="E102" s="33">
        <v>5740</v>
      </c>
      <c r="F102" s="34">
        <v>31</v>
      </c>
    </row>
    <row r="103" spans="1:6" x14ac:dyDescent="0.3">
      <c r="A103" s="35" t="s">
        <v>67</v>
      </c>
      <c r="B103" s="36" t="s">
        <v>32</v>
      </c>
      <c r="C103" s="36" t="s">
        <v>57</v>
      </c>
      <c r="D103" s="36" t="s">
        <v>82</v>
      </c>
      <c r="E103" s="38">
        <v>1456</v>
      </c>
      <c r="F103" s="39">
        <v>359</v>
      </c>
    </row>
    <row r="104" spans="1:6" x14ac:dyDescent="0.3">
      <c r="A104" s="30" t="s">
        <v>70</v>
      </c>
      <c r="B104" s="31" t="s">
        <v>10</v>
      </c>
      <c r="C104" s="31" t="s">
        <v>36</v>
      </c>
      <c r="D104" s="31" t="s">
        <v>81</v>
      </c>
      <c r="E104" s="33">
        <v>5334</v>
      </c>
      <c r="F104" s="34">
        <v>80</v>
      </c>
    </row>
    <row r="105" spans="1:6" x14ac:dyDescent="0.3">
      <c r="A105" s="35" t="s">
        <v>40</v>
      </c>
      <c r="B105" s="36" t="s">
        <v>32</v>
      </c>
      <c r="C105" s="36" t="s">
        <v>20</v>
      </c>
      <c r="D105" s="36" t="s">
        <v>102</v>
      </c>
      <c r="E105" s="38">
        <v>4151</v>
      </c>
      <c r="F105" s="39">
        <v>296</v>
      </c>
    </row>
    <row r="106" spans="1:6" x14ac:dyDescent="0.3">
      <c r="A106" s="30" t="s">
        <v>28</v>
      </c>
      <c r="B106" s="31" t="s">
        <v>35</v>
      </c>
      <c r="C106" s="31" t="s">
        <v>50</v>
      </c>
      <c r="D106" s="32">
        <v>44654</v>
      </c>
      <c r="E106" s="33">
        <v>8106</v>
      </c>
      <c r="F106" s="34">
        <v>101</v>
      </c>
    </row>
    <row r="107" spans="1:6" x14ac:dyDescent="0.3">
      <c r="A107" s="35" t="s">
        <v>37</v>
      </c>
      <c r="B107" s="36" t="s">
        <v>25</v>
      </c>
      <c r="C107" s="36" t="s">
        <v>100</v>
      </c>
      <c r="D107" s="37">
        <v>44600</v>
      </c>
      <c r="E107" s="38">
        <v>126</v>
      </c>
      <c r="F107" s="39">
        <v>40</v>
      </c>
    </row>
    <row r="108" spans="1:6" x14ac:dyDescent="0.3">
      <c r="A108" s="30" t="s">
        <v>53</v>
      </c>
      <c r="B108" s="31" t="s">
        <v>7</v>
      </c>
      <c r="C108" s="31" t="s">
        <v>50</v>
      </c>
      <c r="D108" s="31" t="s">
        <v>103</v>
      </c>
      <c r="E108" s="33">
        <v>4697</v>
      </c>
      <c r="F108" s="34">
        <v>42</v>
      </c>
    </row>
    <row r="109" spans="1:6" x14ac:dyDescent="0.3">
      <c r="A109" s="35" t="s">
        <v>40</v>
      </c>
      <c r="B109" s="36" t="s">
        <v>32</v>
      </c>
      <c r="C109" s="36" t="s">
        <v>65</v>
      </c>
      <c r="D109" s="36" t="s">
        <v>104</v>
      </c>
      <c r="E109" s="38">
        <v>7798</v>
      </c>
      <c r="F109" s="39">
        <v>167</v>
      </c>
    </row>
    <row r="110" spans="1:6" x14ac:dyDescent="0.3">
      <c r="A110" s="30" t="s">
        <v>70</v>
      </c>
      <c r="B110" s="31" t="s">
        <v>10</v>
      </c>
      <c r="C110" s="31" t="s">
        <v>33</v>
      </c>
      <c r="D110" s="32">
        <v>44748</v>
      </c>
      <c r="E110" s="33">
        <v>9408</v>
      </c>
      <c r="F110" s="34">
        <v>138</v>
      </c>
    </row>
    <row r="111" spans="1:6" x14ac:dyDescent="0.3">
      <c r="A111" s="35" t="s">
        <v>14</v>
      </c>
      <c r="B111" s="36" t="s">
        <v>10</v>
      </c>
      <c r="C111" s="36" t="s">
        <v>50</v>
      </c>
      <c r="D111" s="37">
        <v>44899</v>
      </c>
      <c r="E111" s="38">
        <v>1939</v>
      </c>
      <c r="F111" s="39">
        <v>520</v>
      </c>
    </row>
    <row r="112" spans="1:6" x14ac:dyDescent="0.3">
      <c r="A112" s="30" t="s">
        <v>83</v>
      </c>
      <c r="B112" s="31" t="s">
        <v>10</v>
      </c>
      <c r="C112" s="31" t="s">
        <v>50</v>
      </c>
      <c r="D112" s="32">
        <v>44719</v>
      </c>
      <c r="E112" s="33">
        <v>10906</v>
      </c>
      <c r="F112" s="34">
        <v>94</v>
      </c>
    </row>
    <row r="113" spans="1:6" x14ac:dyDescent="0.3">
      <c r="A113" s="35" t="s">
        <v>70</v>
      </c>
      <c r="B113" s="36" t="s">
        <v>7</v>
      </c>
      <c r="C113" s="36" t="s">
        <v>18</v>
      </c>
      <c r="D113" s="36" t="s">
        <v>105</v>
      </c>
      <c r="E113" s="38">
        <v>5929</v>
      </c>
      <c r="F113" s="39">
        <v>175</v>
      </c>
    </row>
    <row r="114" spans="1:6" x14ac:dyDescent="0.3">
      <c r="A114" s="30" t="s">
        <v>77</v>
      </c>
      <c r="B114" s="31" t="s">
        <v>15</v>
      </c>
      <c r="C114" s="31" t="s">
        <v>57</v>
      </c>
      <c r="D114" s="32">
        <v>44682</v>
      </c>
      <c r="E114" s="33">
        <v>5579</v>
      </c>
      <c r="F114" s="34">
        <v>92</v>
      </c>
    </row>
    <row r="115" spans="1:6" x14ac:dyDescent="0.3">
      <c r="A115" s="35" t="s">
        <v>77</v>
      </c>
      <c r="B115" s="36" t="s">
        <v>35</v>
      </c>
      <c r="C115" s="36" t="s">
        <v>100</v>
      </c>
      <c r="D115" s="36" t="s">
        <v>106</v>
      </c>
      <c r="E115" s="38">
        <v>10927</v>
      </c>
      <c r="F115" s="39">
        <v>141</v>
      </c>
    </row>
    <row r="116" spans="1:6" x14ac:dyDescent="0.3">
      <c r="A116" s="30" t="s">
        <v>64</v>
      </c>
      <c r="B116" s="31" t="s">
        <v>15</v>
      </c>
      <c r="C116" s="31" t="s">
        <v>38</v>
      </c>
      <c r="D116" s="32">
        <v>44716</v>
      </c>
      <c r="E116" s="33">
        <v>623</v>
      </c>
      <c r="F116" s="34">
        <v>283</v>
      </c>
    </row>
    <row r="117" spans="1:6" x14ac:dyDescent="0.3">
      <c r="A117" s="35" t="s">
        <v>22</v>
      </c>
      <c r="B117" s="36" t="s">
        <v>15</v>
      </c>
      <c r="C117" s="36" t="s">
        <v>57</v>
      </c>
      <c r="D117" s="36" t="s">
        <v>61</v>
      </c>
      <c r="E117" s="38">
        <v>6013</v>
      </c>
      <c r="F117" s="39">
        <v>21</v>
      </c>
    </row>
    <row r="118" spans="1:6" x14ac:dyDescent="0.3">
      <c r="A118" s="30" t="s">
        <v>12</v>
      </c>
      <c r="B118" s="31" t="s">
        <v>35</v>
      </c>
      <c r="C118" s="31" t="s">
        <v>87</v>
      </c>
      <c r="D118" s="31" t="s">
        <v>107</v>
      </c>
      <c r="E118" s="33">
        <v>1505</v>
      </c>
      <c r="F118" s="34">
        <v>47</v>
      </c>
    </row>
    <row r="119" spans="1:6" x14ac:dyDescent="0.3">
      <c r="A119" s="35" t="s">
        <v>70</v>
      </c>
      <c r="B119" s="36" t="s">
        <v>10</v>
      </c>
      <c r="C119" s="36" t="s">
        <v>90</v>
      </c>
      <c r="D119" s="36" t="s">
        <v>108</v>
      </c>
      <c r="E119" s="38">
        <v>476</v>
      </c>
      <c r="F119" s="39">
        <v>125</v>
      </c>
    </row>
    <row r="120" spans="1:6" x14ac:dyDescent="0.3">
      <c r="A120" s="30" t="s">
        <v>29</v>
      </c>
      <c r="B120" s="31" t="s">
        <v>15</v>
      </c>
      <c r="C120" s="31" t="s">
        <v>38</v>
      </c>
      <c r="D120" s="31" t="s">
        <v>109</v>
      </c>
      <c r="E120" s="33">
        <v>11550</v>
      </c>
      <c r="F120" s="34">
        <v>396</v>
      </c>
    </row>
    <row r="121" spans="1:6" x14ac:dyDescent="0.3">
      <c r="A121" s="35" t="s">
        <v>70</v>
      </c>
      <c r="B121" s="36" t="s">
        <v>32</v>
      </c>
      <c r="C121" s="36" t="s">
        <v>60</v>
      </c>
      <c r="D121" s="36" t="s">
        <v>47</v>
      </c>
      <c r="E121" s="38">
        <v>17318</v>
      </c>
      <c r="F121" s="39">
        <v>87</v>
      </c>
    </row>
    <row r="122" spans="1:6" x14ac:dyDescent="0.3">
      <c r="A122" s="30" t="s">
        <v>6</v>
      </c>
      <c r="B122" s="31" t="s">
        <v>35</v>
      </c>
      <c r="C122" s="31" t="s">
        <v>50</v>
      </c>
      <c r="D122" s="31" t="s">
        <v>30</v>
      </c>
      <c r="E122" s="33">
        <v>1848</v>
      </c>
      <c r="F122" s="34">
        <v>27</v>
      </c>
    </row>
    <row r="123" spans="1:6" x14ac:dyDescent="0.3">
      <c r="A123" s="35" t="s">
        <v>70</v>
      </c>
      <c r="B123" s="36" t="s">
        <v>15</v>
      </c>
      <c r="C123" s="36" t="s">
        <v>36</v>
      </c>
      <c r="D123" s="36" t="s">
        <v>110</v>
      </c>
      <c r="E123" s="38">
        <v>7273</v>
      </c>
      <c r="F123" s="39">
        <v>547</v>
      </c>
    </row>
    <row r="124" spans="1:6" x14ac:dyDescent="0.3">
      <c r="A124" s="30" t="s">
        <v>48</v>
      </c>
      <c r="B124" s="31" t="s">
        <v>35</v>
      </c>
      <c r="C124" s="31" t="s">
        <v>50</v>
      </c>
      <c r="D124" s="31" t="s">
        <v>111</v>
      </c>
      <c r="E124" s="33">
        <v>854</v>
      </c>
      <c r="F124" s="34">
        <v>118</v>
      </c>
    </row>
    <row r="125" spans="1:6" x14ac:dyDescent="0.3">
      <c r="A125" s="35" t="s">
        <v>19</v>
      </c>
      <c r="B125" s="36" t="s">
        <v>10</v>
      </c>
      <c r="C125" s="36" t="s">
        <v>73</v>
      </c>
      <c r="D125" s="36" t="s">
        <v>91</v>
      </c>
      <c r="E125" s="38">
        <v>6832</v>
      </c>
      <c r="F125" s="39">
        <v>46</v>
      </c>
    </row>
    <row r="126" spans="1:6" x14ac:dyDescent="0.3">
      <c r="A126" s="30" t="s">
        <v>70</v>
      </c>
      <c r="B126" s="31" t="s">
        <v>7</v>
      </c>
      <c r="C126" s="31" t="s">
        <v>36</v>
      </c>
      <c r="D126" s="31" t="s">
        <v>21</v>
      </c>
      <c r="E126" s="33">
        <v>4606</v>
      </c>
      <c r="F126" s="34">
        <v>57</v>
      </c>
    </row>
    <row r="127" spans="1:6" x14ac:dyDescent="0.3">
      <c r="A127" s="35" t="s">
        <v>14</v>
      </c>
      <c r="B127" s="36" t="s">
        <v>10</v>
      </c>
      <c r="C127" s="36" t="s">
        <v>65</v>
      </c>
      <c r="D127" s="37">
        <v>44868</v>
      </c>
      <c r="E127" s="38">
        <v>4466</v>
      </c>
      <c r="F127" s="39">
        <v>22</v>
      </c>
    </row>
    <row r="128" spans="1:6" x14ac:dyDescent="0.3">
      <c r="A128" s="30" t="s">
        <v>79</v>
      </c>
      <c r="B128" s="31" t="s">
        <v>7</v>
      </c>
      <c r="C128" s="31" t="s">
        <v>65</v>
      </c>
      <c r="D128" s="31" t="s">
        <v>39</v>
      </c>
      <c r="E128" s="33">
        <v>16114</v>
      </c>
      <c r="F128" s="34">
        <v>96</v>
      </c>
    </row>
    <row r="129" spans="1:6" x14ac:dyDescent="0.3">
      <c r="A129" s="35" t="s">
        <v>40</v>
      </c>
      <c r="B129" s="36" t="s">
        <v>25</v>
      </c>
      <c r="C129" s="36" t="s">
        <v>23</v>
      </c>
      <c r="D129" s="37">
        <v>44807</v>
      </c>
      <c r="E129" s="38">
        <v>1561</v>
      </c>
      <c r="F129" s="39">
        <v>44</v>
      </c>
    </row>
    <row r="130" spans="1:6" x14ac:dyDescent="0.3">
      <c r="A130" s="30" t="s">
        <v>53</v>
      </c>
      <c r="B130" s="31" t="s">
        <v>15</v>
      </c>
      <c r="C130" s="31" t="s">
        <v>33</v>
      </c>
      <c r="D130" s="31" t="s">
        <v>85</v>
      </c>
      <c r="E130" s="33">
        <v>8897</v>
      </c>
      <c r="F130" s="34">
        <v>188</v>
      </c>
    </row>
    <row r="131" spans="1:6" x14ac:dyDescent="0.3">
      <c r="A131" s="35" t="s">
        <v>40</v>
      </c>
      <c r="B131" s="36" t="s">
        <v>15</v>
      </c>
      <c r="C131" s="36" t="s">
        <v>46</v>
      </c>
      <c r="D131" s="36" t="s">
        <v>39</v>
      </c>
      <c r="E131" s="38">
        <v>2464</v>
      </c>
      <c r="F131" s="39">
        <v>387</v>
      </c>
    </row>
    <row r="132" spans="1:6" x14ac:dyDescent="0.3">
      <c r="A132" s="30" t="s">
        <v>70</v>
      </c>
      <c r="B132" s="31" t="s">
        <v>35</v>
      </c>
      <c r="C132" s="31" t="s">
        <v>20</v>
      </c>
      <c r="D132" s="31" t="s">
        <v>112</v>
      </c>
      <c r="E132" s="33">
        <v>4830</v>
      </c>
      <c r="F132" s="34">
        <v>50</v>
      </c>
    </row>
    <row r="133" spans="1:6" x14ac:dyDescent="0.3">
      <c r="A133" s="35" t="s">
        <v>55</v>
      </c>
      <c r="B133" s="36" t="s">
        <v>15</v>
      </c>
      <c r="C133" s="36" t="s">
        <v>60</v>
      </c>
      <c r="D133" s="37">
        <v>44896</v>
      </c>
      <c r="E133" s="38">
        <v>2765</v>
      </c>
      <c r="F133" s="39">
        <v>264</v>
      </c>
    </row>
    <row r="134" spans="1:6" x14ac:dyDescent="0.3">
      <c r="A134" s="30" t="s">
        <v>41</v>
      </c>
      <c r="B134" s="31" t="s">
        <v>25</v>
      </c>
      <c r="C134" s="31" t="s">
        <v>59</v>
      </c>
      <c r="D134" s="31" t="s">
        <v>24</v>
      </c>
      <c r="E134" s="33">
        <v>7126</v>
      </c>
      <c r="F134" s="34">
        <v>7</v>
      </c>
    </row>
    <row r="135" spans="1:6" x14ac:dyDescent="0.3">
      <c r="A135" s="35" t="s">
        <v>9</v>
      </c>
      <c r="B135" s="36" t="s">
        <v>7</v>
      </c>
      <c r="C135" s="36" t="s">
        <v>46</v>
      </c>
      <c r="D135" s="36" t="s">
        <v>113</v>
      </c>
      <c r="E135" s="38">
        <v>4263</v>
      </c>
      <c r="F135" s="39">
        <v>90</v>
      </c>
    </row>
    <row r="136" spans="1:6" x14ac:dyDescent="0.3">
      <c r="A136" s="30" t="s">
        <v>19</v>
      </c>
      <c r="B136" s="31" t="s">
        <v>35</v>
      </c>
      <c r="C136" s="31" t="s">
        <v>20</v>
      </c>
      <c r="D136" s="32">
        <v>44569</v>
      </c>
      <c r="E136" s="33">
        <v>3605</v>
      </c>
      <c r="F136" s="34">
        <v>403</v>
      </c>
    </row>
    <row r="137" spans="1:6" x14ac:dyDescent="0.3">
      <c r="A137" s="35" t="s">
        <v>9</v>
      </c>
      <c r="B137" s="36" t="s">
        <v>10</v>
      </c>
      <c r="C137" s="36" t="s">
        <v>42</v>
      </c>
      <c r="D137" s="36" t="s">
        <v>86</v>
      </c>
      <c r="E137" s="38">
        <v>19929</v>
      </c>
      <c r="F137" s="39">
        <v>174</v>
      </c>
    </row>
    <row r="138" spans="1:6" x14ac:dyDescent="0.3">
      <c r="A138" s="30" t="s">
        <v>45</v>
      </c>
      <c r="B138" s="31" t="s">
        <v>10</v>
      </c>
      <c r="C138" s="31" t="s">
        <v>18</v>
      </c>
      <c r="D138" s="32">
        <v>44842</v>
      </c>
      <c r="E138" s="33">
        <v>5103</v>
      </c>
      <c r="F138" s="34">
        <v>140</v>
      </c>
    </row>
    <row r="139" spans="1:6" x14ac:dyDescent="0.3">
      <c r="A139" s="35" t="s">
        <v>14</v>
      </c>
      <c r="B139" s="36" t="s">
        <v>10</v>
      </c>
      <c r="C139" s="36" t="s">
        <v>36</v>
      </c>
      <c r="D139" s="37">
        <v>44682</v>
      </c>
      <c r="E139" s="38">
        <v>2541</v>
      </c>
      <c r="F139" s="39">
        <v>27</v>
      </c>
    </row>
    <row r="140" spans="1:6" x14ac:dyDescent="0.3">
      <c r="A140" s="30" t="s">
        <v>83</v>
      </c>
      <c r="B140" s="31" t="s">
        <v>7</v>
      </c>
      <c r="C140" s="31" t="s">
        <v>18</v>
      </c>
      <c r="D140" s="32">
        <v>44872</v>
      </c>
      <c r="E140" s="33">
        <v>5663</v>
      </c>
      <c r="F140" s="34">
        <v>110</v>
      </c>
    </row>
    <row r="141" spans="1:6" x14ac:dyDescent="0.3">
      <c r="A141" s="35" t="s">
        <v>64</v>
      </c>
      <c r="B141" s="36" t="s">
        <v>32</v>
      </c>
      <c r="C141" s="36" t="s">
        <v>23</v>
      </c>
      <c r="D141" s="36" t="s">
        <v>114</v>
      </c>
      <c r="E141" s="38">
        <v>392</v>
      </c>
      <c r="F141" s="39">
        <v>30</v>
      </c>
    </row>
    <row r="142" spans="1:6" x14ac:dyDescent="0.3">
      <c r="A142" s="30" t="s">
        <v>12</v>
      </c>
      <c r="B142" s="31" t="s">
        <v>25</v>
      </c>
      <c r="C142" s="31" t="s">
        <v>57</v>
      </c>
      <c r="D142" s="32">
        <v>44655</v>
      </c>
      <c r="E142" s="33">
        <v>10976</v>
      </c>
      <c r="F142" s="34">
        <v>121</v>
      </c>
    </row>
    <row r="143" spans="1:6" x14ac:dyDescent="0.3">
      <c r="A143" s="35" t="s">
        <v>31</v>
      </c>
      <c r="B143" s="36" t="s">
        <v>32</v>
      </c>
      <c r="C143" s="36" t="s">
        <v>73</v>
      </c>
      <c r="D143" s="37">
        <v>44899</v>
      </c>
      <c r="E143" s="38">
        <v>9282</v>
      </c>
      <c r="F143" s="39">
        <v>101</v>
      </c>
    </row>
    <row r="144" spans="1:6" x14ac:dyDescent="0.3">
      <c r="A144" s="30" t="s">
        <v>64</v>
      </c>
      <c r="B144" s="31" t="s">
        <v>25</v>
      </c>
      <c r="C144" s="31" t="s">
        <v>11</v>
      </c>
      <c r="D144" s="32">
        <v>44600</v>
      </c>
      <c r="E144" s="33">
        <v>1827</v>
      </c>
      <c r="F144" s="34">
        <v>117</v>
      </c>
    </row>
    <row r="145" spans="1:6" x14ac:dyDescent="0.3">
      <c r="A145" s="35" t="s">
        <v>12</v>
      </c>
      <c r="B145" s="36" t="s">
        <v>25</v>
      </c>
      <c r="C145" s="36" t="s">
        <v>60</v>
      </c>
      <c r="D145" s="36" t="s">
        <v>85</v>
      </c>
      <c r="E145" s="38">
        <v>8267</v>
      </c>
      <c r="F145" s="39">
        <v>272</v>
      </c>
    </row>
    <row r="146" spans="1:6" x14ac:dyDescent="0.3">
      <c r="A146" s="30" t="s">
        <v>83</v>
      </c>
      <c r="B146" s="31" t="s">
        <v>15</v>
      </c>
      <c r="C146" s="31" t="s">
        <v>36</v>
      </c>
      <c r="D146" s="32">
        <v>44688</v>
      </c>
      <c r="E146" s="33">
        <v>4116</v>
      </c>
      <c r="F146" s="34">
        <v>128</v>
      </c>
    </row>
    <row r="147" spans="1:6" x14ac:dyDescent="0.3">
      <c r="A147" s="35" t="s">
        <v>29</v>
      </c>
      <c r="B147" s="36" t="s">
        <v>25</v>
      </c>
      <c r="C147" s="36" t="s">
        <v>75</v>
      </c>
      <c r="D147" s="37">
        <v>44748</v>
      </c>
      <c r="E147" s="38">
        <v>2093</v>
      </c>
      <c r="F147" s="39">
        <v>45</v>
      </c>
    </row>
    <row r="148" spans="1:6" x14ac:dyDescent="0.3">
      <c r="A148" s="30" t="s">
        <v>28</v>
      </c>
      <c r="B148" s="31" t="s">
        <v>25</v>
      </c>
      <c r="C148" s="31" t="s">
        <v>18</v>
      </c>
      <c r="D148" s="31" t="s">
        <v>115</v>
      </c>
      <c r="E148" s="33">
        <v>1015</v>
      </c>
      <c r="F148" s="34">
        <v>27</v>
      </c>
    </row>
    <row r="149" spans="1:6" x14ac:dyDescent="0.3">
      <c r="A149" s="35" t="s">
        <v>28</v>
      </c>
      <c r="B149" s="36" t="s">
        <v>15</v>
      </c>
      <c r="C149" s="36" t="s">
        <v>87</v>
      </c>
      <c r="D149" s="37">
        <v>44652</v>
      </c>
      <c r="E149" s="38">
        <v>12516</v>
      </c>
      <c r="F149" s="39">
        <v>212</v>
      </c>
    </row>
    <row r="150" spans="1:6" x14ac:dyDescent="0.3">
      <c r="A150" s="30" t="s">
        <v>58</v>
      </c>
      <c r="B150" s="31" t="s">
        <v>15</v>
      </c>
      <c r="C150" s="31" t="s">
        <v>20</v>
      </c>
      <c r="D150" s="31" t="s">
        <v>96</v>
      </c>
      <c r="E150" s="33">
        <v>2758</v>
      </c>
      <c r="F150" s="34">
        <v>18</v>
      </c>
    </row>
    <row r="151" spans="1:6" x14ac:dyDescent="0.3">
      <c r="A151" s="35" t="s">
        <v>70</v>
      </c>
      <c r="B151" s="36" t="s">
        <v>10</v>
      </c>
      <c r="C151" s="36" t="s">
        <v>65</v>
      </c>
      <c r="D151" s="36" t="s">
        <v>54</v>
      </c>
      <c r="E151" s="38">
        <v>3297</v>
      </c>
      <c r="F151" s="39">
        <v>149</v>
      </c>
    </row>
    <row r="152" spans="1:6" x14ac:dyDescent="0.3">
      <c r="A152" s="30" t="s">
        <v>71</v>
      </c>
      <c r="B152" s="31" t="s">
        <v>15</v>
      </c>
      <c r="C152" s="31" t="s">
        <v>100</v>
      </c>
      <c r="D152" s="31" t="s">
        <v>116</v>
      </c>
      <c r="E152" s="33">
        <v>6048</v>
      </c>
      <c r="F152" s="34">
        <v>477</v>
      </c>
    </row>
    <row r="153" spans="1:6" x14ac:dyDescent="0.3">
      <c r="A153" s="35" t="s">
        <v>19</v>
      </c>
      <c r="B153" s="36" t="s">
        <v>10</v>
      </c>
      <c r="C153" s="36" t="s">
        <v>18</v>
      </c>
      <c r="D153" s="37">
        <v>44744</v>
      </c>
      <c r="E153" s="38">
        <v>10101</v>
      </c>
      <c r="F153" s="39">
        <v>108</v>
      </c>
    </row>
    <row r="154" spans="1:6" x14ac:dyDescent="0.3">
      <c r="A154" s="30" t="s">
        <v>55</v>
      </c>
      <c r="B154" s="31" t="s">
        <v>7</v>
      </c>
      <c r="C154" s="31" t="s">
        <v>42</v>
      </c>
      <c r="D154" s="31" t="s">
        <v>117</v>
      </c>
      <c r="E154" s="33">
        <v>2282</v>
      </c>
      <c r="F154" s="34">
        <v>178</v>
      </c>
    </row>
    <row r="155" spans="1:6" x14ac:dyDescent="0.3">
      <c r="A155" s="35" t="s">
        <v>40</v>
      </c>
      <c r="B155" s="36" t="s">
        <v>10</v>
      </c>
      <c r="C155" s="36" t="s">
        <v>90</v>
      </c>
      <c r="D155" s="36" t="s">
        <v>108</v>
      </c>
      <c r="E155" s="38">
        <v>4361</v>
      </c>
      <c r="F155" s="39">
        <v>81</v>
      </c>
    </row>
    <row r="156" spans="1:6" x14ac:dyDescent="0.3">
      <c r="A156" s="30" t="s">
        <v>37</v>
      </c>
      <c r="B156" s="31" t="s">
        <v>7</v>
      </c>
      <c r="C156" s="31" t="s">
        <v>36</v>
      </c>
      <c r="D156" s="31" t="s">
        <v>21</v>
      </c>
      <c r="E156" s="33">
        <v>7798</v>
      </c>
      <c r="F156" s="34">
        <v>196</v>
      </c>
    </row>
    <row r="157" spans="1:6" x14ac:dyDescent="0.3">
      <c r="A157" s="35" t="s">
        <v>9</v>
      </c>
      <c r="B157" s="36" t="s">
        <v>10</v>
      </c>
      <c r="C157" s="36" t="s">
        <v>87</v>
      </c>
      <c r="D157" s="36" t="s">
        <v>92</v>
      </c>
      <c r="E157" s="38">
        <v>3052</v>
      </c>
      <c r="F157" s="39">
        <v>447</v>
      </c>
    </row>
    <row r="158" spans="1:6" x14ac:dyDescent="0.3">
      <c r="A158" s="30" t="s">
        <v>12</v>
      </c>
      <c r="B158" s="31" t="s">
        <v>7</v>
      </c>
      <c r="C158" s="31" t="s">
        <v>23</v>
      </c>
      <c r="D158" s="31" t="s">
        <v>118</v>
      </c>
      <c r="E158" s="33">
        <v>8029</v>
      </c>
      <c r="F158" s="34">
        <v>175</v>
      </c>
    </row>
    <row r="159" spans="1:6" x14ac:dyDescent="0.3">
      <c r="A159" s="35" t="s">
        <v>48</v>
      </c>
      <c r="B159" s="36" t="s">
        <v>15</v>
      </c>
      <c r="C159" s="36" t="s">
        <v>33</v>
      </c>
      <c r="D159" s="37">
        <v>44902</v>
      </c>
      <c r="E159" s="38">
        <v>854</v>
      </c>
      <c r="F159" s="39">
        <v>136</v>
      </c>
    </row>
    <row r="160" spans="1:6" x14ac:dyDescent="0.3">
      <c r="A160" s="30" t="s">
        <v>6</v>
      </c>
      <c r="B160" s="31" t="s">
        <v>35</v>
      </c>
      <c r="C160" s="31" t="s">
        <v>18</v>
      </c>
      <c r="D160" s="32">
        <v>44872</v>
      </c>
      <c r="E160" s="33">
        <v>5460</v>
      </c>
      <c r="F160" s="34">
        <v>138</v>
      </c>
    </row>
    <row r="161" spans="1:6" x14ac:dyDescent="0.3">
      <c r="A161" s="35" t="s">
        <v>37</v>
      </c>
      <c r="B161" s="36" t="s">
        <v>35</v>
      </c>
      <c r="C161" s="36" t="s">
        <v>18</v>
      </c>
      <c r="D161" s="36" t="s">
        <v>105</v>
      </c>
      <c r="E161" s="38">
        <v>3017</v>
      </c>
      <c r="F161" s="39">
        <v>184</v>
      </c>
    </row>
    <row r="162" spans="1:6" x14ac:dyDescent="0.3">
      <c r="A162" s="30" t="s">
        <v>67</v>
      </c>
      <c r="B162" s="31" t="s">
        <v>32</v>
      </c>
      <c r="C162" s="31" t="s">
        <v>11</v>
      </c>
      <c r="D162" s="32">
        <v>44685</v>
      </c>
      <c r="E162" s="33">
        <v>8911</v>
      </c>
      <c r="F162" s="34">
        <v>82</v>
      </c>
    </row>
    <row r="163" spans="1:6" x14ac:dyDescent="0.3">
      <c r="A163" s="35" t="s">
        <v>6</v>
      </c>
      <c r="B163" s="36" t="s">
        <v>35</v>
      </c>
      <c r="C163" s="36" t="s">
        <v>46</v>
      </c>
      <c r="D163" s="36" t="s">
        <v>109</v>
      </c>
      <c r="E163" s="38">
        <v>7203</v>
      </c>
      <c r="F163" s="39">
        <v>12</v>
      </c>
    </row>
    <row r="164" spans="1:6" x14ac:dyDescent="0.3">
      <c r="A164" s="30" t="s">
        <v>29</v>
      </c>
      <c r="B164" s="31" t="s">
        <v>25</v>
      </c>
      <c r="C164" s="31" t="s">
        <v>90</v>
      </c>
      <c r="D164" s="31" t="s">
        <v>119</v>
      </c>
      <c r="E164" s="33">
        <v>13083</v>
      </c>
      <c r="F164" s="34">
        <v>14</v>
      </c>
    </row>
    <row r="165" spans="1:6" x14ac:dyDescent="0.3">
      <c r="A165" s="35" t="s">
        <v>34</v>
      </c>
      <c r="B165" s="36" t="s">
        <v>15</v>
      </c>
      <c r="C165" s="36" t="s">
        <v>46</v>
      </c>
      <c r="D165" s="36" t="s">
        <v>120</v>
      </c>
      <c r="E165" s="38">
        <v>2779</v>
      </c>
      <c r="F165" s="39">
        <v>104</v>
      </c>
    </row>
    <row r="166" spans="1:6" x14ac:dyDescent="0.3">
      <c r="A166" s="30" t="s">
        <v>31</v>
      </c>
      <c r="B166" s="31" t="s">
        <v>32</v>
      </c>
      <c r="C166" s="31" t="s">
        <v>57</v>
      </c>
      <c r="D166" s="31" t="s">
        <v>107</v>
      </c>
      <c r="E166" s="33">
        <v>9058</v>
      </c>
      <c r="F166" s="34">
        <v>46</v>
      </c>
    </row>
    <row r="167" spans="1:6" x14ac:dyDescent="0.3">
      <c r="A167" s="35" t="s">
        <v>40</v>
      </c>
      <c r="B167" s="36" t="s">
        <v>7</v>
      </c>
      <c r="C167" s="36" t="s">
        <v>90</v>
      </c>
      <c r="D167" s="36" t="s">
        <v>80</v>
      </c>
      <c r="E167" s="38">
        <v>3549</v>
      </c>
      <c r="F167" s="39">
        <v>112</v>
      </c>
    </row>
    <row r="168" spans="1:6" x14ac:dyDescent="0.3">
      <c r="A168" s="30" t="s">
        <v>34</v>
      </c>
      <c r="B168" s="31" t="s">
        <v>25</v>
      </c>
      <c r="C168" s="31" t="s">
        <v>60</v>
      </c>
      <c r="D168" s="31" t="s">
        <v>121</v>
      </c>
      <c r="E168" s="33">
        <v>9436</v>
      </c>
      <c r="F168" s="34">
        <v>11</v>
      </c>
    </row>
    <row r="169" spans="1:6" x14ac:dyDescent="0.3">
      <c r="A169" s="35" t="s">
        <v>45</v>
      </c>
      <c r="B169" s="36" t="s">
        <v>10</v>
      </c>
      <c r="C169" s="36" t="s">
        <v>13</v>
      </c>
      <c r="D169" s="37">
        <v>44867</v>
      </c>
      <c r="E169" s="38">
        <v>10283</v>
      </c>
      <c r="F169" s="39">
        <v>21</v>
      </c>
    </row>
    <row r="170" spans="1:6" x14ac:dyDescent="0.3">
      <c r="A170" s="30" t="s">
        <v>45</v>
      </c>
      <c r="B170" s="31" t="s">
        <v>25</v>
      </c>
      <c r="C170" s="31" t="s">
        <v>46</v>
      </c>
      <c r="D170" s="32">
        <v>44595</v>
      </c>
      <c r="E170" s="33">
        <v>5446</v>
      </c>
      <c r="F170" s="34">
        <v>116</v>
      </c>
    </row>
    <row r="171" spans="1:6" x14ac:dyDescent="0.3">
      <c r="A171" s="35" t="s">
        <v>83</v>
      </c>
      <c r="B171" s="36" t="s">
        <v>15</v>
      </c>
      <c r="C171" s="36" t="s">
        <v>59</v>
      </c>
      <c r="D171" s="37">
        <v>44595</v>
      </c>
      <c r="E171" s="38">
        <v>1043</v>
      </c>
      <c r="F171" s="39">
        <v>202</v>
      </c>
    </row>
    <row r="172" spans="1:6" x14ac:dyDescent="0.3">
      <c r="A172" s="30" t="s">
        <v>9</v>
      </c>
      <c r="B172" s="31" t="s">
        <v>32</v>
      </c>
      <c r="C172" s="31" t="s">
        <v>20</v>
      </c>
      <c r="D172" s="31" t="s">
        <v>39</v>
      </c>
      <c r="E172" s="33">
        <v>12586</v>
      </c>
      <c r="F172" s="34">
        <v>6</v>
      </c>
    </row>
    <row r="173" spans="1:6" x14ac:dyDescent="0.3">
      <c r="A173" s="35" t="s">
        <v>70</v>
      </c>
      <c r="B173" s="36" t="s">
        <v>10</v>
      </c>
      <c r="C173" s="36" t="s">
        <v>23</v>
      </c>
      <c r="D173" s="37">
        <v>44743</v>
      </c>
      <c r="E173" s="38">
        <v>1687</v>
      </c>
      <c r="F173" s="39">
        <v>520</v>
      </c>
    </row>
    <row r="174" spans="1:6" x14ac:dyDescent="0.3">
      <c r="A174" s="30" t="s">
        <v>28</v>
      </c>
      <c r="B174" s="31" t="s">
        <v>7</v>
      </c>
      <c r="C174" s="31" t="s">
        <v>59</v>
      </c>
      <c r="D174" s="32">
        <v>44899</v>
      </c>
      <c r="E174" s="33">
        <v>5299</v>
      </c>
      <c r="F174" s="34">
        <v>167</v>
      </c>
    </row>
    <row r="175" spans="1:6" x14ac:dyDescent="0.3">
      <c r="A175" s="35" t="s">
        <v>9</v>
      </c>
      <c r="B175" s="36" t="s">
        <v>35</v>
      </c>
      <c r="C175" s="36" t="s">
        <v>65</v>
      </c>
      <c r="D175" s="36" t="s">
        <v>49</v>
      </c>
      <c r="E175" s="38">
        <v>3213</v>
      </c>
      <c r="F175" s="39">
        <v>72</v>
      </c>
    </row>
    <row r="176" spans="1:6" x14ac:dyDescent="0.3">
      <c r="A176" s="30" t="s">
        <v>6</v>
      </c>
      <c r="B176" s="31" t="s">
        <v>15</v>
      </c>
      <c r="C176" s="31" t="s">
        <v>26</v>
      </c>
      <c r="D176" s="31" t="s">
        <v>122</v>
      </c>
      <c r="E176" s="33">
        <v>5194</v>
      </c>
      <c r="F176" s="34">
        <v>418</v>
      </c>
    </row>
    <row r="177" spans="1:6" x14ac:dyDescent="0.3">
      <c r="A177" s="35" t="s">
        <v>37</v>
      </c>
      <c r="B177" s="36" t="s">
        <v>7</v>
      </c>
      <c r="C177" s="36" t="s">
        <v>87</v>
      </c>
      <c r="D177" s="37">
        <v>44744</v>
      </c>
      <c r="E177" s="38">
        <v>4753</v>
      </c>
      <c r="F177" s="39">
        <v>389</v>
      </c>
    </row>
    <row r="178" spans="1:6" x14ac:dyDescent="0.3">
      <c r="A178" s="30" t="s">
        <v>6</v>
      </c>
      <c r="B178" s="31" t="s">
        <v>15</v>
      </c>
      <c r="C178" s="31" t="s">
        <v>33</v>
      </c>
      <c r="D178" s="31" t="s">
        <v>110</v>
      </c>
      <c r="E178" s="33">
        <v>13706</v>
      </c>
      <c r="F178" s="34">
        <v>26</v>
      </c>
    </row>
    <row r="179" spans="1:6" x14ac:dyDescent="0.3">
      <c r="A179" s="35" t="s">
        <v>40</v>
      </c>
      <c r="B179" s="36" t="s">
        <v>10</v>
      </c>
      <c r="C179" s="36" t="s">
        <v>13</v>
      </c>
      <c r="D179" s="37">
        <v>44835</v>
      </c>
      <c r="E179" s="38">
        <v>6489</v>
      </c>
      <c r="F179" s="39">
        <v>146</v>
      </c>
    </row>
    <row r="180" spans="1:6" x14ac:dyDescent="0.3">
      <c r="A180" s="30" t="s">
        <v>19</v>
      </c>
      <c r="B180" s="31" t="s">
        <v>7</v>
      </c>
      <c r="C180" s="31" t="s">
        <v>75</v>
      </c>
      <c r="D180" s="31" t="s">
        <v>123</v>
      </c>
      <c r="E180" s="33">
        <v>9324</v>
      </c>
      <c r="F180" s="34">
        <v>41</v>
      </c>
    </row>
    <row r="181" spans="1:6" x14ac:dyDescent="0.3">
      <c r="A181" s="35" t="s">
        <v>12</v>
      </c>
      <c r="B181" s="36" t="s">
        <v>32</v>
      </c>
      <c r="C181" s="36" t="s">
        <v>50</v>
      </c>
      <c r="D181" s="36" t="s">
        <v>124</v>
      </c>
      <c r="E181" s="38">
        <v>10829</v>
      </c>
      <c r="F181" s="39">
        <v>54</v>
      </c>
    </row>
    <row r="182" spans="1:6" x14ac:dyDescent="0.3">
      <c r="A182" s="30" t="s">
        <v>31</v>
      </c>
      <c r="B182" s="31" t="s">
        <v>15</v>
      </c>
      <c r="C182" s="31" t="s">
        <v>59</v>
      </c>
      <c r="D182" s="32">
        <v>44658</v>
      </c>
      <c r="E182" s="33">
        <v>8113</v>
      </c>
      <c r="F182" s="34">
        <v>370</v>
      </c>
    </row>
    <row r="183" spans="1:6" x14ac:dyDescent="0.3">
      <c r="A183" s="35" t="s">
        <v>55</v>
      </c>
      <c r="B183" s="36" t="s">
        <v>35</v>
      </c>
      <c r="C183" s="36" t="s">
        <v>13</v>
      </c>
      <c r="D183" s="37">
        <v>44658</v>
      </c>
      <c r="E183" s="38">
        <v>3269</v>
      </c>
      <c r="F183" s="39">
        <v>176</v>
      </c>
    </row>
    <row r="184" spans="1:6" x14ac:dyDescent="0.3">
      <c r="A184" s="30" t="s">
        <v>79</v>
      </c>
      <c r="B184" s="31" t="s">
        <v>32</v>
      </c>
      <c r="C184" s="31" t="s">
        <v>60</v>
      </c>
      <c r="D184" s="32">
        <v>44842</v>
      </c>
      <c r="E184" s="33">
        <v>273</v>
      </c>
      <c r="F184" s="34">
        <v>210</v>
      </c>
    </row>
    <row r="185" spans="1:6" x14ac:dyDescent="0.3">
      <c r="A185" s="35" t="s">
        <v>58</v>
      </c>
      <c r="B185" s="36" t="s">
        <v>15</v>
      </c>
      <c r="C185" s="36" t="s">
        <v>26</v>
      </c>
      <c r="D185" s="37">
        <v>44565</v>
      </c>
      <c r="E185" s="38">
        <v>7287</v>
      </c>
      <c r="F185" s="39">
        <v>12</v>
      </c>
    </row>
    <row r="186" spans="1:6" x14ac:dyDescent="0.3">
      <c r="A186" s="30" t="s">
        <v>12</v>
      </c>
      <c r="B186" s="31" t="s">
        <v>10</v>
      </c>
      <c r="C186" s="31" t="s">
        <v>73</v>
      </c>
      <c r="D186" s="31" t="s">
        <v>125</v>
      </c>
      <c r="E186" s="33">
        <v>2583</v>
      </c>
      <c r="F186" s="34">
        <v>159</v>
      </c>
    </row>
    <row r="187" spans="1:6" x14ac:dyDescent="0.3">
      <c r="A187" s="35" t="s">
        <v>71</v>
      </c>
      <c r="B187" s="36" t="s">
        <v>7</v>
      </c>
      <c r="C187" s="36" t="s">
        <v>59</v>
      </c>
      <c r="D187" s="37">
        <v>44621</v>
      </c>
      <c r="E187" s="38">
        <v>9982</v>
      </c>
      <c r="F187" s="39">
        <v>187</v>
      </c>
    </row>
    <row r="188" spans="1:6" x14ac:dyDescent="0.3">
      <c r="A188" s="30" t="s">
        <v>37</v>
      </c>
      <c r="B188" s="31" t="s">
        <v>10</v>
      </c>
      <c r="C188" s="31" t="s">
        <v>38</v>
      </c>
      <c r="D188" s="31" t="s">
        <v>126</v>
      </c>
      <c r="E188" s="33">
        <v>4795</v>
      </c>
      <c r="F188" s="34">
        <v>233</v>
      </c>
    </row>
    <row r="189" spans="1:6" x14ac:dyDescent="0.3">
      <c r="A189" s="35" t="s">
        <v>79</v>
      </c>
      <c r="B189" s="36" t="s">
        <v>7</v>
      </c>
      <c r="C189" s="36" t="s">
        <v>20</v>
      </c>
      <c r="D189" s="37">
        <v>44621</v>
      </c>
      <c r="E189" s="38">
        <v>9310</v>
      </c>
      <c r="F189" s="39">
        <v>282</v>
      </c>
    </row>
    <row r="190" spans="1:6" x14ac:dyDescent="0.3">
      <c r="A190" s="30" t="s">
        <v>53</v>
      </c>
      <c r="B190" s="31" t="s">
        <v>25</v>
      </c>
      <c r="C190" s="31" t="s">
        <v>90</v>
      </c>
      <c r="D190" s="31" t="s">
        <v>95</v>
      </c>
      <c r="E190" s="33">
        <v>497</v>
      </c>
      <c r="F190" s="34">
        <v>475</v>
      </c>
    </row>
    <row r="191" spans="1:6" x14ac:dyDescent="0.3">
      <c r="A191" s="35" t="s">
        <v>31</v>
      </c>
      <c r="B191" s="36" t="s">
        <v>7</v>
      </c>
      <c r="C191" s="36" t="s">
        <v>26</v>
      </c>
      <c r="D191" s="36" t="s">
        <v>107</v>
      </c>
      <c r="E191" s="38">
        <v>581</v>
      </c>
      <c r="F191" s="39">
        <v>65</v>
      </c>
    </row>
    <row r="192" spans="1:6" x14ac:dyDescent="0.3">
      <c r="A192" s="30" t="s">
        <v>48</v>
      </c>
      <c r="B192" s="31" t="s">
        <v>15</v>
      </c>
      <c r="C192" s="31" t="s">
        <v>42</v>
      </c>
      <c r="D192" s="31" t="s">
        <v>85</v>
      </c>
      <c r="E192" s="33">
        <v>3472</v>
      </c>
      <c r="F192" s="34">
        <v>311</v>
      </c>
    </row>
    <row r="193" spans="1:6" x14ac:dyDescent="0.3">
      <c r="A193" s="35" t="s">
        <v>53</v>
      </c>
      <c r="B193" s="36" t="s">
        <v>7</v>
      </c>
      <c r="C193" s="36" t="s">
        <v>75</v>
      </c>
      <c r="D193" s="37">
        <v>44595</v>
      </c>
      <c r="E193" s="38">
        <v>4333</v>
      </c>
      <c r="F193" s="39">
        <v>43</v>
      </c>
    </row>
    <row r="194" spans="1:6" x14ac:dyDescent="0.3">
      <c r="A194" s="30" t="s">
        <v>64</v>
      </c>
      <c r="B194" s="31" t="s">
        <v>15</v>
      </c>
      <c r="C194" s="31" t="s">
        <v>23</v>
      </c>
      <c r="D194" s="31" t="s">
        <v>89</v>
      </c>
      <c r="E194" s="33">
        <v>3325</v>
      </c>
      <c r="F194" s="34">
        <v>26</v>
      </c>
    </row>
    <row r="195" spans="1:6" x14ac:dyDescent="0.3">
      <c r="A195" s="35" t="s">
        <v>58</v>
      </c>
      <c r="B195" s="36" t="s">
        <v>32</v>
      </c>
      <c r="C195" s="36" t="s">
        <v>65</v>
      </c>
      <c r="D195" s="36" t="s">
        <v>66</v>
      </c>
      <c r="E195" s="38">
        <v>11718</v>
      </c>
      <c r="F195" s="39">
        <v>84</v>
      </c>
    </row>
    <row r="196" spans="1:6" x14ac:dyDescent="0.3">
      <c r="A196" s="30" t="s">
        <v>31</v>
      </c>
      <c r="B196" s="31" t="s">
        <v>35</v>
      </c>
      <c r="C196" s="31" t="s">
        <v>13</v>
      </c>
      <c r="D196" s="32">
        <v>44748</v>
      </c>
      <c r="E196" s="33">
        <v>2100</v>
      </c>
      <c r="F196" s="34">
        <v>78</v>
      </c>
    </row>
    <row r="197" spans="1:6" x14ac:dyDescent="0.3">
      <c r="A197" s="35" t="s">
        <v>55</v>
      </c>
      <c r="B197" s="36" t="s">
        <v>32</v>
      </c>
      <c r="C197" s="36" t="s">
        <v>100</v>
      </c>
      <c r="D197" s="37">
        <v>44900</v>
      </c>
      <c r="E197" s="38">
        <v>4018</v>
      </c>
      <c r="F197" s="39">
        <v>100</v>
      </c>
    </row>
    <row r="198" spans="1:6" x14ac:dyDescent="0.3">
      <c r="A198" s="30" t="s">
        <v>31</v>
      </c>
      <c r="B198" s="31" t="s">
        <v>25</v>
      </c>
      <c r="C198" s="31" t="s">
        <v>73</v>
      </c>
      <c r="D198" s="31" t="s">
        <v>120</v>
      </c>
      <c r="E198" s="33">
        <v>6468</v>
      </c>
      <c r="F198" s="34">
        <v>66</v>
      </c>
    </row>
    <row r="199" spans="1:6" x14ac:dyDescent="0.3">
      <c r="A199" s="35" t="s">
        <v>58</v>
      </c>
      <c r="B199" s="36" t="s">
        <v>7</v>
      </c>
      <c r="C199" s="36" t="s">
        <v>59</v>
      </c>
      <c r="D199" s="37">
        <v>44628</v>
      </c>
      <c r="E199" s="38">
        <v>7238</v>
      </c>
      <c r="F199" s="39">
        <v>265</v>
      </c>
    </row>
    <row r="200" spans="1:6" x14ac:dyDescent="0.3">
      <c r="A200" s="30" t="s">
        <v>31</v>
      </c>
      <c r="B200" s="31" t="s">
        <v>10</v>
      </c>
      <c r="C200" s="31" t="s">
        <v>87</v>
      </c>
      <c r="D200" s="31" t="s">
        <v>97</v>
      </c>
      <c r="E200" s="33">
        <v>6454</v>
      </c>
      <c r="F200" s="34">
        <v>141</v>
      </c>
    </row>
    <row r="201" spans="1:6" x14ac:dyDescent="0.3">
      <c r="A201" s="35" t="s">
        <v>9</v>
      </c>
      <c r="B201" s="36" t="s">
        <v>25</v>
      </c>
      <c r="C201" s="36" t="s">
        <v>18</v>
      </c>
      <c r="D201" s="36" t="s">
        <v>127</v>
      </c>
      <c r="E201" s="38">
        <v>3115</v>
      </c>
      <c r="F201" s="39">
        <v>42</v>
      </c>
    </row>
    <row r="202" spans="1:6" x14ac:dyDescent="0.3">
      <c r="A202" s="30" t="s">
        <v>41</v>
      </c>
      <c r="B202" s="31" t="s">
        <v>7</v>
      </c>
      <c r="C202" s="31" t="s">
        <v>59</v>
      </c>
      <c r="D202" s="31" t="s">
        <v>66</v>
      </c>
      <c r="E202" s="33">
        <v>6475</v>
      </c>
      <c r="F202" s="34">
        <v>76</v>
      </c>
    </row>
    <row r="203" spans="1:6" x14ac:dyDescent="0.3">
      <c r="A203" s="35" t="s">
        <v>71</v>
      </c>
      <c r="B203" s="36" t="s">
        <v>25</v>
      </c>
      <c r="C203" s="36" t="s">
        <v>8</v>
      </c>
      <c r="D203" s="36" t="s">
        <v>128</v>
      </c>
      <c r="E203" s="38">
        <v>1162</v>
      </c>
      <c r="F203" s="39">
        <v>190</v>
      </c>
    </row>
    <row r="204" spans="1:6" x14ac:dyDescent="0.3">
      <c r="A204" s="30" t="s">
        <v>83</v>
      </c>
      <c r="B204" s="31" t="s">
        <v>7</v>
      </c>
      <c r="C204" s="31" t="s">
        <v>33</v>
      </c>
      <c r="D204" s="31" t="s">
        <v>16</v>
      </c>
      <c r="E204" s="33">
        <v>14238</v>
      </c>
      <c r="F204" s="34">
        <v>54</v>
      </c>
    </row>
    <row r="205" spans="1:6" x14ac:dyDescent="0.3">
      <c r="A205" s="35" t="s">
        <v>14</v>
      </c>
      <c r="B205" s="36" t="s">
        <v>15</v>
      </c>
      <c r="C205" s="36" t="s">
        <v>59</v>
      </c>
      <c r="D205" s="36" t="s">
        <v>129</v>
      </c>
      <c r="E205" s="38">
        <v>3472</v>
      </c>
      <c r="F205" s="39">
        <v>32</v>
      </c>
    </row>
    <row r="206" spans="1:6" x14ac:dyDescent="0.3">
      <c r="A206" s="30" t="s">
        <v>34</v>
      </c>
      <c r="B206" s="31" t="s">
        <v>35</v>
      </c>
      <c r="C206" s="31" t="s">
        <v>11</v>
      </c>
      <c r="D206" s="31" t="s">
        <v>27</v>
      </c>
      <c r="E206" s="33">
        <v>1428</v>
      </c>
      <c r="F206" s="34">
        <v>424</v>
      </c>
    </row>
    <row r="207" spans="1:6" x14ac:dyDescent="0.3">
      <c r="A207" s="35" t="s">
        <v>29</v>
      </c>
      <c r="B207" s="36" t="s">
        <v>10</v>
      </c>
      <c r="C207" s="36" t="s">
        <v>50</v>
      </c>
      <c r="D207" s="37">
        <v>44652</v>
      </c>
      <c r="E207" s="38">
        <v>8064</v>
      </c>
      <c r="F207" s="39">
        <v>134</v>
      </c>
    </row>
    <row r="208" spans="1:6" x14ac:dyDescent="0.3">
      <c r="A208" s="30" t="s">
        <v>83</v>
      </c>
      <c r="B208" s="31" t="s">
        <v>15</v>
      </c>
      <c r="C208" s="31" t="s">
        <v>8</v>
      </c>
      <c r="D208" s="31" t="s">
        <v>109</v>
      </c>
      <c r="E208" s="33">
        <v>9660</v>
      </c>
      <c r="F208" s="34">
        <v>92</v>
      </c>
    </row>
    <row r="209" spans="1:6" x14ac:dyDescent="0.3">
      <c r="A209" s="35" t="s">
        <v>37</v>
      </c>
      <c r="B209" s="36" t="s">
        <v>15</v>
      </c>
      <c r="C209" s="36" t="s">
        <v>59</v>
      </c>
      <c r="D209" s="37">
        <v>44682</v>
      </c>
      <c r="E209" s="38">
        <v>7357</v>
      </c>
      <c r="F209" s="39">
        <v>48</v>
      </c>
    </row>
    <row r="210" spans="1:6" x14ac:dyDescent="0.3">
      <c r="A210" s="30" t="s">
        <v>41</v>
      </c>
      <c r="B210" s="31" t="s">
        <v>10</v>
      </c>
      <c r="C210" s="31" t="s">
        <v>38</v>
      </c>
      <c r="D210" s="31" t="s">
        <v>82</v>
      </c>
      <c r="E210" s="33">
        <v>6055</v>
      </c>
      <c r="F210" s="34">
        <v>46</v>
      </c>
    </row>
    <row r="211" spans="1:6" x14ac:dyDescent="0.3">
      <c r="A211" s="35" t="s">
        <v>28</v>
      </c>
      <c r="B211" s="36" t="s">
        <v>15</v>
      </c>
      <c r="C211" s="36" t="s">
        <v>75</v>
      </c>
      <c r="D211" s="36" t="s">
        <v>99</v>
      </c>
      <c r="E211" s="38">
        <v>5124</v>
      </c>
      <c r="F211" s="39">
        <v>62</v>
      </c>
    </row>
    <row r="212" spans="1:6" x14ac:dyDescent="0.3">
      <c r="A212" s="30" t="s">
        <v>37</v>
      </c>
      <c r="B212" s="31" t="s">
        <v>35</v>
      </c>
      <c r="C212" s="31" t="s">
        <v>36</v>
      </c>
      <c r="D212" s="31" t="s">
        <v>27</v>
      </c>
      <c r="E212" s="33">
        <v>3479</v>
      </c>
      <c r="F212" s="34">
        <v>358</v>
      </c>
    </row>
    <row r="213" spans="1:6" x14ac:dyDescent="0.3">
      <c r="A213" s="35" t="s">
        <v>12</v>
      </c>
      <c r="B213" s="36" t="s">
        <v>32</v>
      </c>
      <c r="C213" s="36" t="s">
        <v>20</v>
      </c>
      <c r="D213" s="37">
        <v>44598</v>
      </c>
      <c r="E213" s="38">
        <v>784</v>
      </c>
      <c r="F213" s="39">
        <v>249</v>
      </c>
    </row>
    <row r="214" spans="1:6" x14ac:dyDescent="0.3">
      <c r="A214" s="30" t="s">
        <v>40</v>
      </c>
      <c r="B214" s="31" t="s">
        <v>7</v>
      </c>
      <c r="C214" s="31" t="s">
        <v>18</v>
      </c>
      <c r="D214" s="31" t="s">
        <v>130</v>
      </c>
      <c r="E214" s="33">
        <v>18991</v>
      </c>
      <c r="F214" s="34">
        <v>88</v>
      </c>
    </row>
    <row r="215" spans="1:6" x14ac:dyDescent="0.3">
      <c r="A215" s="35" t="s">
        <v>41</v>
      </c>
      <c r="B215" s="36" t="s">
        <v>25</v>
      </c>
      <c r="C215" s="36" t="s">
        <v>87</v>
      </c>
      <c r="D215" s="37">
        <v>44628</v>
      </c>
      <c r="E215" s="38">
        <v>1372</v>
      </c>
      <c r="F215" s="39">
        <v>144</v>
      </c>
    </row>
    <row r="216" spans="1:6" x14ac:dyDescent="0.3">
      <c r="A216" s="30" t="s">
        <v>41</v>
      </c>
      <c r="B216" s="31" t="s">
        <v>15</v>
      </c>
      <c r="C216" s="31" t="s">
        <v>46</v>
      </c>
      <c r="D216" s="31" t="s">
        <v>99</v>
      </c>
      <c r="E216" s="33">
        <v>735</v>
      </c>
      <c r="F216" s="34">
        <v>390</v>
      </c>
    </row>
    <row r="217" spans="1:6" x14ac:dyDescent="0.3">
      <c r="A217" s="35" t="s">
        <v>9</v>
      </c>
      <c r="B217" s="36" t="s">
        <v>7</v>
      </c>
      <c r="C217" s="36" t="s">
        <v>73</v>
      </c>
      <c r="D217" s="36" t="s">
        <v>108</v>
      </c>
      <c r="E217" s="38">
        <v>6538</v>
      </c>
      <c r="F217" s="39">
        <v>79</v>
      </c>
    </row>
    <row r="218" spans="1:6" x14ac:dyDescent="0.3">
      <c r="A218" s="30" t="s">
        <v>14</v>
      </c>
      <c r="B218" s="31" t="s">
        <v>15</v>
      </c>
      <c r="C218" s="31" t="s">
        <v>33</v>
      </c>
      <c r="D218" s="32">
        <v>44658</v>
      </c>
      <c r="E218" s="33">
        <v>3199</v>
      </c>
      <c r="F218" s="34">
        <v>122</v>
      </c>
    </row>
    <row r="219" spans="1:6" x14ac:dyDescent="0.3">
      <c r="A219" s="35" t="s">
        <v>6</v>
      </c>
      <c r="B219" s="36" t="s">
        <v>10</v>
      </c>
      <c r="C219" s="36" t="s">
        <v>26</v>
      </c>
      <c r="D219" s="37">
        <v>44688</v>
      </c>
      <c r="E219" s="38">
        <v>3472</v>
      </c>
      <c r="F219" s="39">
        <v>135</v>
      </c>
    </row>
    <row r="220" spans="1:6" x14ac:dyDescent="0.3">
      <c r="A220" s="30" t="s">
        <v>77</v>
      </c>
      <c r="B220" s="31" t="s">
        <v>32</v>
      </c>
      <c r="C220" s="31" t="s">
        <v>23</v>
      </c>
      <c r="D220" s="31" t="s">
        <v>131</v>
      </c>
      <c r="E220" s="33">
        <v>4571</v>
      </c>
      <c r="F220" s="34">
        <v>430</v>
      </c>
    </row>
    <row r="221" spans="1:6" x14ac:dyDescent="0.3">
      <c r="A221" s="35" t="s">
        <v>31</v>
      </c>
      <c r="B221" s="36" t="s">
        <v>7</v>
      </c>
      <c r="C221" s="36" t="s">
        <v>73</v>
      </c>
      <c r="D221" s="36" t="s">
        <v>78</v>
      </c>
      <c r="E221" s="38">
        <v>5481</v>
      </c>
      <c r="F221" s="39">
        <v>69</v>
      </c>
    </row>
    <row r="222" spans="1:6" x14ac:dyDescent="0.3">
      <c r="A222" s="30" t="s">
        <v>83</v>
      </c>
      <c r="B222" s="31" t="s">
        <v>15</v>
      </c>
      <c r="C222" s="31" t="s">
        <v>100</v>
      </c>
      <c r="D222" s="32">
        <v>44896</v>
      </c>
      <c r="E222" s="33">
        <v>3136</v>
      </c>
      <c r="F222" s="34">
        <v>125</v>
      </c>
    </row>
    <row r="223" spans="1:6" x14ac:dyDescent="0.3">
      <c r="A223" s="35" t="s">
        <v>40</v>
      </c>
      <c r="B223" s="36" t="s">
        <v>7</v>
      </c>
      <c r="C223" s="36" t="s">
        <v>87</v>
      </c>
      <c r="D223" s="37">
        <v>44840</v>
      </c>
      <c r="E223" s="38">
        <v>252</v>
      </c>
      <c r="F223" s="39">
        <v>154</v>
      </c>
    </row>
    <row r="224" spans="1:6" x14ac:dyDescent="0.3">
      <c r="A224" s="30" t="s">
        <v>55</v>
      </c>
      <c r="B224" s="31" t="s">
        <v>15</v>
      </c>
      <c r="C224" s="31" t="s">
        <v>13</v>
      </c>
      <c r="D224" s="31" t="s">
        <v>132</v>
      </c>
      <c r="E224" s="33">
        <v>5460</v>
      </c>
      <c r="F224" s="34">
        <v>286</v>
      </c>
    </row>
    <row r="225" spans="1:6" x14ac:dyDescent="0.3">
      <c r="A225" s="35" t="s">
        <v>29</v>
      </c>
      <c r="B225" s="36" t="s">
        <v>10</v>
      </c>
      <c r="C225" s="36" t="s">
        <v>65</v>
      </c>
      <c r="D225" s="36" t="s">
        <v>129</v>
      </c>
      <c r="E225" s="38">
        <v>3395</v>
      </c>
      <c r="F225" s="39">
        <v>99</v>
      </c>
    </row>
    <row r="226" spans="1:6" x14ac:dyDescent="0.3">
      <c r="A226" s="30" t="s">
        <v>53</v>
      </c>
      <c r="B226" s="31" t="s">
        <v>7</v>
      </c>
      <c r="C226" s="31" t="s">
        <v>90</v>
      </c>
      <c r="D226" s="31" t="s">
        <v>74</v>
      </c>
      <c r="E226" s="33">
        <v>14938</v>
      </c>
      <c r="F226" s="34">
        <v>433</v>
      </c>
    </row>
    <row r="227" spans="1:6" x14ac:dyDescent="0.3">
      <c r="A227" s="35" t="s">
        <v>45</v>
      </c>
      <c r="B227" s="36" t="s">
        <v>10</v>
      </c>
      <c r="C227" s="36" t="s">
        <v>33</v>
      </c>
      <c r="D227" s="36" t="s">
        <v>49</v>
      </c>
      <c r="E227" s="38">
        <v>4053</v>
      </c>
      <c r="F227" s="39">
        <v>19</v>
      </c>
    </row>
    <row r="228" spans="1:6" x14ac:dyDescent="0.3">
      <c r="A228" s="30" t="s">
        <v>6</v>
      </c>
      <c r="B228" s="31" t="s">
        <v>7</v>
      </c>
      <c r="C228" s="31" t="s">
        <v>100</v>
      </c>
      <c r="D228" s="31" t="s">
        <v>91</v>
      </c>
      <c r="E228" s="33">
        <v>5565</v>
      </c>
      <c r="F228" s="34">
        <v>258</v>
      </c>
    </row>
    <row r="229" spans="1:6" x14ac:dyDescent="0.3">
      <c r="A229" s="35" t="s">
        <v>53</v>
      </c>
      <c r="B229" s="36" t="s">
        <v>15</v>
      </c>
      <c r="C229" s="36" t="s">
        <v>60</v>
      </c>
      <c r="D229" s="36" t="s">
        <v>131</v>
      </c>
      <c r="E229" s="38">
        <v>7161</v>
      </c>
      <c r="F229" s="39">
        <v>92</v>
      </c>
    </row>
    <row r="230" spans="1:6" x14ac:dyDescent="0.3">
      <c r="A230" s="30" t="s">
        <v>77</v>
      </c>
      <c r="B230" s="31" t="s">
        <v>32</v>
      </c>
      <c r="C230" s="31" t="s">
        <v>36</v>
      </c>
      <c r="D230" s="31" t="s">
        <v>133</v>
      </c>
      <c r="E230" s="33">
        <v>8883</v>
      </c>
      <c r="F230" s="34">
        <v>200</v>
      </c>
    </row>
    <row r="231" spans="1:6" x14ac:dyDescent="0.3">
      <c r="A231" s="35" t="s">
        <v>28</v>
      </c>
      <c r="B231" s="36" t="s">
        <v>10</v>
      </c>
      <c r="C231" s="36" t="s">
        <v>36</v>
      </c>
      <c r="D231" s="36" t="s">
        <v>116</v>
      </c>
      <c r="E231" s="38">
        <v>1351</v>
      </c>
      <c r="F231" s="39">
        <v>61</v>
      </c>
    </row>
    <row r="232" spans="1:6" x14ac:dyDescent="0.3">
      <c r="A232" s="30" t="s">
        <v>34</v>
      </c>
      <c r="B232" s="31" t="s">
        <v>25</v>
      </c>
      <c r="C232" s="31" t="s">
        <v>59</v>
      </c>
      <c r="D232" s="31" t="s">
        <v>104</v>
      </c>
      <c r="E232" s="33">
        <v>3171</v>
      </c>
      <c r="F232" s="34">
        <v>246</v>
      </c>
    </row>
    <row r="233" spans="1:6" x14ac:dyDescent="0.3">
      <c r="A233" s="35" t="s">
        <v>53</v>
      </c>
      <c r="B233" s="36" t="s">
        <v>32</v>
      </c>
      <c r="C233" s="36" t="s">
        <v>46</v>
      </c>
      <c r="D233" s="37">
        <v>44595</v>
      </c>
      <c r="E233" s="38">
        <v>854</v>
      </c>
      <c r="F233" s="39">
        <v>56</v>
      </c>
    </row>
    <row r="234" spans="1:6" x14ac:dyDescent="0.3">
      <c r="A234" s="30" t="s">
        <v>9</v>
      </c>
      <c r="B234" s="31" t="s">
        <v>15</v>
      </c>
      <c r="C234" s="31" t="s">
        <v>46</v>
      </c>
      <c r="D234" s="31" t="s">
        <v>92</v>
      </c>
      <c r="E234" s="33">
        <v>7910</v>
      </c>
      <c r="F234" s="34">
        <v>87</v>
      </c>
    </row>
    <row r="235" spans="1:6" x14ac:dyDescent="0.3">
      <c r="A235" s="35" t="s">
        <v>41</v>
      </c>
      <c r="B235" s="36" t="s">
        <v>35</v>
      </c>
      <c r="C235" s="36" t="s">
        <v>59</v>
      </c>
      <c r="D235" s="36" t="s">
        <v>82</v>
      </c>
      <c r="E235" s="38">
        <v>9275</v>
      </c>
      <c r="F235" s="39">
        <v>173</v>
      </c>
    </row>
    <row r="236" spans="1:6" x14ac:dyDescent="0.3">
      <c r="A236" s="30" t="s">
        <v>79</v>
      </c>
      <c r="B236" s="31" t="s">
        <v>15</v>
      </c>
      <c r="C236" s="31" t="s">
        <v>26</v>
      </c>
      <c r="D236" s="32">
        <v>44900</v>
      </c>
      <c r="E236" s="33">
        <v>3108</v>
      </c>
      <c r="F236" s="34">
        <v>252</v>
      </c>
    </row>
    <row r="237" spans="1:6" x14ac:dyDescent="0.3">
      <c r="A237" s="35" t="s">
        <v>34</v>
      </c>
      <c r="B237" s="36" t="s">
        <v>25</v>
      </c>
      <c r="C237" s="36" t="s">
        <v>42</v>
      </c>
      <c r="D237" s="37">
        <v>44568</v>
      </c>
      <c r="E237" s="38">
        <v>5075</v>
      </c>
      <c r="F237" s="39">
        <v>256</v>
      </c>
    </row>
    <row r="238" spans="1:6" x14ac:dyDescent="0.3">
      <c r="A238" s="30" t="s">
        <v>53</v>
      </c>
      <c r="B238" s="31" t="s">
        <v>32</v>
      </c>
      <c r="C238" s="31" t="s">
        <v>11</v>
      </c>
      <c r="D238" s="32">
        <v>44781</v>
      </c>
      <c r="E238" s="33">
        <v>378</v>
      </c>
      <c r="F238" s="34">
        <v>54</v>
      </c>
    </row>
    <row r="239" spans="1:6" x14ac:dyDescent="0.3">
      <c r="A239" s="35" t="s">
        <v>77</v>
      </c>
      <c r="B239" s="36" t="s">
        <v>15</v>
      </c>
      <c r="C239" s="36" t="s">
        <v>26</v>
      </c>
      <c r="D239" s="36" t="s">
        <v>113</v>
      </c>
      <c r="E239" s="38">
        <v>7350</v>
      </c>
      <c r="F239" s="39">
        <v>6</v>
      </c>
    </row>
    <row r="240" spans="1:6" x14ac:dyDescent="0.3">
      <c r="A240" s="30" t="s">
        <v>64</v>
      </c>
      <c r="B240" s="31" t="s">
        <v>7</v>
      </c>
      <c r="C240" s="31" t="s">
        <v>38</v>
      </c>
      <c r="D240" s="31" t="s">
        <v>84</v>
      </c>
      <c r="E240" s="33">
        <v>3388</v>
      </c>
      <c r="F240" s="34">
        <v>55</v>
      </c>
    </row>
    <row r="241" spans="1:6" x14ac:dyDescent="0.3">
      <c r="A241" s="35" t="s">
        <v>71</v>
      </c>
      <c r="B241" s="36" t="s">
        <v>10</v>
      </c>
      <c r="C241" s="36" t="s">
        <v>13</v>
      </c>
      <c r="D241" s="36" t="s">
        <v>82</v>
      </c>
      <c r="E241" s="38">
        <v>11837</v>
      </c>
      <c r="F241" s="39">
        <v>277</v>
      </c>
    </row>
    <row r="242" spans="1:6" x14ac:dyDescent="0.3">
      <c r="A242" s="30" t="s">
        <v>48</v>
      </c>
      <c r="B242" s="31" t="s">
        <v>10</v>
      </c>
      <c r="C242" s="31" t="s">
        <v>100</v>
      </c>
      <c r="D242" s="32">
        <v>44688</v>
      </c>
      <c r="E242" s="33">
        <v>2282</v>
      </c>
      <c r="F242" s="34">
        <v>44</v>
      </c>
    </row>
    <row r="243" spans="1:6" x14ac:dyDescent="0.3">
      <c r="A243" s="35" t="s">
        <v>34</v>
      </c>
      <c r="B243" s="36" t="s">
        <v>32</v>
      </c>
      <c r="C243" s="36" t="s">
        <v>60</v>
      </c>
      <c r="D243" s="37">
        <v>44658</v>
      </c>
      <c r="E243" s="38">
        <v>5425</v>
      </c>
      <c r="F243" s="39">
        <v>96</v>
      </c>
    </row>
    <row r="244" spans="1:6" x14ac:dyDescent="0.3">
      <c r="A244" s="30" t="s">
        <v>79</v>
      </c>
      <c r="B244" s="31" t="s">
        <v>7</v>
      </c>
      <c r="C244" s="31" t="s">
        <v>100</v>
      </c>
      <c r="D244" s="31" t="s">
        <v>92</v>
      </c>
      <c r="E244" s="33">
        <v>1267</v>
      </c>
      <c r="F244" s="34">
        <v>216</v>
      </c>
    </row>
    <row r="245" spans="1:6" x14ac:dyDescent="0.3">
      <c r="A245" s="35" t="s">
        <v>22</v>
      </c>
      <c r="B245" s="36" t="s">
        <v>15</v>
      </c>
      <c r="C245" s="36" t="s">
        <v>65</v>
      </c>
      <c r="D245" s="36" t="s">
        <v>21</v>
      </c>
      <c r="E245" s="38">
        <v>3752</v>
      </c>
      <c r="F245" s="39">
        <v>424</v>
      </c>
    </row>
    <row r="246" spans="1:6" x14ac:dyDescent="0.3">
      <c r="A246" s="30" t="s">
        <v>55</v>
      </c>
      <c r="B246" s="31" t="s">
        <v>25</v>
      </c>
      <c r="C246" s="31" t="s">
        <v>50</v>
      </c>
      <c r="D246" s="32">
        <v>44568</v>
      </c>
      <c r="E246" s="33">
        <v>7728</v>
      </c>
      <c r="F246" s="34">
        <v>37</v>
      </c>
    </row>
    <row r="247" spans="1:6" x14ac:dyDescent="0.3">
      <c r="A247" s="35" t="s">
        <v>12</v>
      </c>
      <c r="B247" s="36" t="s">
        <v>32</v>
      </c>
      <c r="C247" s="36" t="s">
        <v>26</v>
      </c>
      <c r="D247" s="36" t="s">
        <v>121</v>
      </c>
      <c r="E247" s="38">
        <v>2296</v>
      </c>
      <c r="F247" s="39">
        <v>59</v>
      </c>
    </row>
    <row r="248" spans="1:6" x14ac:dyDescent="0.3">
      <c r="A248" s="30" t="s">
        <v>41</v>
      </c>
      <c r="B248" s="31" t="s">
        <v>7</v>
      </c>
      <c r="C248" s="31" t="s">
        <v>18</v>
      </c>
      <c r="D248" s="32">
        <v>44656</v>
      </c>
      <c r="E248" s="33">
        <v>4403</v>
      </c>
      <c r="F248" s="34">
        <v>76</v>
      </c>
    </row>
    <row r="249" spans="1:6" x14ac:dyDescent="0.3">
      <c r="A249" s="35" t="s">
        <v>41</v>
      </c>
      <c r="B249" s="36" t="s">
        <v>15</v>
      </c>
      <c r="C249" s="36" t="s">
        <v>87</v>
      </c>
      <c r="D249" s="37">
        <v>44659</v>
      </c>
      <c r="E249" s="38">
        <v>3192</v>
      </c>
      <c r="F249" s="39">
        <v>109</v>
      </c>
    </row>
    <row r="250" spans="1:6" x14ac:dyDescent="0.3">
      <c r="A250" s="30" t="s">
        <v>41</v>
      </c>
      <c r="B250" s="31" t="s">
        <v>10</v>
      </c>
      <c r="C250" s="31" t="s">
        <v>100</v>
      </c>
      <c r="D250" s="32">
        <v>44567</v>
      </c>
      <c r="E250" s="33">
        <v>448</v>
      </c>
      <c r="F250" s="34">
        <v>146</v>
      </c>
    </row>
    <row r="251" spans="1:6" x14ac:dyDescent="0.3">
      <c r="A251" s="35" t="s">
        <v>6</v>
      </c>
      <c r="B251" s="36" t="s">
        <v>7</v>
      </c>
      <c r="C251" s="36" t="s">
        <v>75</v>
      </c>
      <c r="D251" s="36" t="s">
        <v>134</v>
      </c>
      <c r="E251" s="38">
        <v>4270</v>
      </c>
      <c r="F251" s="39">
        <v>185</v>
      </c>
    </row>
    <row r="252" spans="1:6" x14ac:dyDescent="0.3">
      <c r="A252" s="30" t="s">
        <v>28</v>
      </c>
      <c r="B252" s="31" t="s">
        <v>25</v>
      </c>
      <c r="C252" s="31" t="s">
        <v>8</v>
      </c>
      <c r="D252" s="40">
        <v>44569</v>
      </c>
      <c r="E252" s="33">
        <v>63</v>
      </c>
      <c r="F252" s="34">
        <v>181</v>
      </c>
    </row>
    <row r="253" spans="1:6" x14ac:dyDescent="0.3">
      <c r="A253" s="35" t="s">
        <v>83</v>
      </c>
      <c r="B253" s="36" t="s">
        <v>32</v>
      </c>
      <c r="C253" s="36" t="s">
        <v>33</v>
      </c>
      <c r="D253" s="37">
        <v>44840</v>
      </c>
      <c r="E253" s="38">
        <v>1743</v>
      </c>
      <c r="F253" s="39">
        <v>69</v>
      </c>
    </row>
    <row r="254" spans="1:6" x14ac:dyDescent="0.3">
      <c r="A254" s="30" t="s">
        <v>22</v>
      </c>
      <c r="B254" s="31" t="s">
        <v>7</v>
      </c>
      <c r="C254" s="31" t="s">
        <v>60</v>
      </c>
      <c r="D254" s="31" t="s">
        <v>49</v>
      </c>
      <c r="E254" s="33">
        <v>6762</v>
      </c>
      <c r="F254" s="34">
        <v>46</v>
      </c>
    </row>
    <row r="255" spans="1:6" x14ac:dyDescent="0.3">
      <c r="A255" s="35" t="s">
        <v>40</v>
      </c>
      <c r="B255" s="36" t="s">
        <v>15</v>
      </c>
      <c r="C255" s="36" t="s">
        <v>18</v>
      </c>
      <c r="D255" s="37">
        <v>44621</v>
      </c>
      <c r="E255" s="38">
        <v>3745</v>
      </c>
      <c r="F255" s="39">
        <v>170</v>
      </c>
    </row>
    <row r="256" spans="1:6" x14ac:dyDescent="0.3">
      <c r="A256" s="30" t="s">
        <v>40</v>
      </c>
      <c r="B256" s="31" t="s">
        <v>10</v>
      </c>
      <c r="C256" s="31" t="s">
        <v>23</v>
      </c>
      <c r="D256" s="32">
        <v>44872</v>
      </c>
      <c r="E256" s="33">
        <v>2639</v>
      </c>
      <c r="F256" s="34">
        <v>179</v>
      </c>
    </row>
    <row r="257" spans="1:6" x14ac:dyDescent="0.3">
      <c r="A257" s="35" t="s">
        <v>83</v>
      </c>
      <c r="B257" s="36" t="s">
        <v>25</v>
      </c>
      <c r="C257" s="36" t="s">
        <v>46</v>
      </c>
      <c r="D257" s="36" t="s">
        <v>135</v>
      </c>
      <c r="E257" s="38">
        <v>4389</v>
      </c>
      <c r="F257" s="39">
        <v>126</v>
      </c>
    </row>
    <row r="258" spans="1:6" x14ac:dyDescent="0.3">
      <c r="A258" s="30" t="s">
        <v>29</v>
      </c>
      <c r="B258" s="31" t="s">
        <v>32</v>
      </c>
      <c r="C258" s="31" t="s">
        <v>57</v>
      </c>
      <c r="D258" s="31" t="s">
        <v>115</v>
      </c>
      <c r="E258" s="33">
        <v>2604</v>
      </c>
      <c r="F258" s="34">
        <v>65</v>
      </c>
    </row>
    <row r="259" spans="1:6" x14ac:dyDescent="0.3">
      <c r="A259" s="35" t="s">
        <v>83</v>
      </c>
      <c r="B259" s="36" t="s">
        <v>10</v>
      </c>
      <c r="C259" s="36" t="s">
        <v>42</v>
      </c>
      <c r="D259" s="37">
        <v>44776</v>
      </c>
      <c r="E259" s="38">
        <v>16569</v>
      </c>
      <c r="F259" s="39">
        <v>99</v>
      </c>
    </row>
    <row r="260" spans="1:6" x14ac:dyDescent="0.3">
      <c r="A260" s="30" t="s">
        <v>34</v>
      </c>
      <c r="B260" s="31" t="s">
        <v>15</v>
      </c>
      <c r="C260" s="31" t="s">
        <v>33</v>
      </c>
      <c r="D260" s="32">
        <v>44745</v>
      </c>
      <c r="E260" s="33">
        <v>14658</v>
      </c>
      <c r="F260" s="34">
        <v>275</v>
      </c>
    </row>
    <row r="261" spans="1:6" x14ac:dyDescent="0.3">
      <c r="A261" s="35" t="s">
        <v>53</v>
      </c>
      <c r="B261" s="36" t="s">
        <v>10</v>
      </c>
      <c r="C261" s="36" t="s">
        <v>100</v>
      </c>
      <c r="D261" s="37">
        <v>44809</v>
      </c>
      <c r="E261" s="38">
        <v>6454</v>
      </c>
      <c r="F261" s="39">
        <v>157</v>
      </c>
    </row>
    <row r="262" spans="1:6" x14ac:dyDescent="0.3">
      <c r="A262" s="30" t="s">
        <v>31</v>
      </c>
      <c r="B262" s="31" t="s">
        <v>25</v>
      </c>
      <c r="C262" s="31" t="s">
        <v>11</v>
      </c>
      <c r="D262" s="31" t="s">
        <v>136</v>
      </c>
      <c r="E262" s="33">
        <v>2100</v>
      </c>
      <c r="F262" s="34">
        <v>157</v>
      </c>
    </row>
    <row r="263" spans="1:6" x14ac:dyDescent="0.3">
      <c r="A263" s="35" t="s">
        <v>77</v>
      </c>
      <c r="B263" s="36" t="s">
        <v>7</v>
      </c>
      <c r="C263" s="36" t="s">
        <v>90</v>
      </c>
      <c r="D263" s="36" t="s">
        <v>74</v>
      </c>
      <c r="E263" s="38">
        <v>161</v>
      </c>
      <c r="F263" s="39">
        <v>145</v>
      </c>
    </row>
    <row r="264" spans="1:6" x14ac:dyDescent="0.3">
      <c r="A264" s="30" t="s">
        <v>12</v>
      </c>
      <c r="B264" s="31" t="s">
        <v>15</v>
      </c>
      <c r="C264" s="31" t="s">
        <v>38</v>
      </c>
      <c r="D264" s="31" t="s">
        <v>129</v>
      </c>
      <c r="E264" s="33">
        <v>2807</v>
      </c>
      <c r="F264" s="34">
        <v>139</v>
      </c>
    </row>
    <row r="265" spans="1:6" x14ac:dyDescent="0.3">
      <c r="A265" s="35" t="s">
        <v>40</v>
      </c>
      <c r="B265" s="36" t="s">
        <v>35</v>
      </c>
      <c r="C265" s="36" t="s">
        <v>75</v>
      </c>
      <c r="D265" s="36" t="s">
        <v>78</v>
      </c>
      <c r="E265" s="38">
        <v>2639</v>
      </c>
      <c r="F265" s="39">
        <v>406</v>
      </c>
    </row>
    <row r="266" spans="1:6" x14ac:dyDescent="0.3">
      <c r="A266" s="30" t="s">
        <v>83</v>
      </c>
      <c r="B266" s="31" t="s">
        <v>32</v>
      </c>
      <c r="C266" s="31" t="s">
        <v>100</v>
      </c>
      <c r="D266" s="32">
        <v>44870</v>
      </c>
      <c r="E266" s="33">
        <v>4571</v>
      </c>
      <c r="F266" s="34">
        <v>122</v>
      </c>
    </row>
    <row r="267" spans="1:6" x14ac:dyDescent="0.3">
      <c r="A267" s="35" t="s">
        <v>77</v>
      </c>
      <c r="B267" s="36" t="s">
        <v>10</v>
      </c>
      <c r="C267" s="36" t="s">
        <v>42</v>
      </c>
      <c r="D267" s="36" t="s">
        <v>43</v>
      </c>
      <c r="E267" s="38">
        <v>4781</v>
      </c>
      <c r="F267" s="39">
        <v>38</v>
      </c>
    </row>
    <row r="268" spans="1:6" x14ac:dyDescent="0.3">
      <c r="A268" s="30" t="s">
        <v>31</v>
      </c>
      <c r="B268" s="31" t="s">
        <v>32</v>
      </c>
      <c r="C268" s="31" t="s">
        <v>26</v>
      </c>
      <c r="D268" s="31" t="s">
        <v>91</v>
      </c>
      <c r="E268" s="33">
        <v>13034</v>
      </c>
      <c r="F268" s="34">
        <v>117</v>
      </c>
    </row>
    <row r="269" spans="1:6" x14ac:dyDescent="0.3">
      <c r="A269" s="35" t="s">
        <v>58</v>
      </c>
      <c r="B269" s="36" t="s">
        <v>25</v>
      </c>
      <c r="C269" s="36" t="s">
        <v>8</v>
      </c>
      <c r="D269" s="37">
        <v>44685</v>
      </c>
      <c r="E269" s="38">
        <v>6454</v>
      </c>
      <c r="F269" s="39">
        <v>417</v>
      </c>
    </row>
    <row r="270" spans="1:6" x14ac:dyDescent="0.3">
      <c r="A270" s="30" t="s">
        <v>40</v>
      </c>
      <c r="B270" s="31" t="s">
        <v>25</v>
      </c>
      <c r="C270" s="31" t="s">
        <v>18</v>
      </c>
      <c r="D270" s="31" t="s">
        <v>127</v>
      </c>
      <c r="E270" s="33">
        <v>8484</v>
      </c>
      <c r="F270" s="34">
        <v>57</v>
      </c>
    </row>
    <row r="271" spans="1:6" x14ac:dyDescent="0.3">
      <c r="A271" s="35" t="s">
        <v>28</v>
      </c>
      <c r="B271" s="36" t="s">
        <v>35</v>
      </c>
      <c r="C271" s="36" t="s">
        <v>65</v>
      </c>
      <c r="D271" s="36" t="s">
        <v>121</v>
      </c>
      <c r="E271" s="38">
        <v>4781</v>
      </c>
      <c r="F271" s="39">
        <v>125</v>
      </c>
    </row>
    <row r="272" spans="1:6" x14ac:dyDescent="0.3">
      <c r="A272" s="30" t="s">
        <v>41</v>
      </c>
      <c r="B272" s="31" t="s">
        <v>15</v>
      </c>
      <c r="C272" s="31" t="s">
        <v>59</v>
      </c>
      <c r="D272" s="31" t="s">
        <v>49</v>
      </c>
      <c r="E272" s="33">
        <v>2240</v>
      </c>
      <c r="F272" s="34">
        <v>166</v>
      </c>
    </row>
    <row r="273" spans="1:6" x14ac:dyDescent="0.3">
      <c r="A273" s="35" t="s">
        <v>79</v>
      </c>
      <c r="B273" s="36" t="s">
        <v>15</v>
      </c>
      <c r="C273" s="36" t="s">
        <v>36</v>
      </c>
      <c r="D273" s="36" t="s">
        <v>43</v>
      </c>
      <c r="E273" s="38">
        <v>6979</v>
      </c>
      <c r="F273" s="39">
        <v>3</v>
      </c>
    </row>
    <row r="274" spans="1:6" x14ac:dyDescent="0.3">
      <c r="A274" s="30" t="s">
        <v>31</v>
      </c>
      <c r="B274" s="31" t="s">
        <v>7</v>
      </c>
      <c r="C274" s="31" t="s">
        <v>59</v>
      </c>
      <c r="D274" s="32">
        <v>44688</v>
      </c>
      <c r="E274" s="33">
        <v>1652</v>
      </c>
      <c r="F274" s="34">
        <v>72</v>
      </c>
    </row>
    <row r="275" spans="1:6" x14ac:dyDescent="0.3">
      <c r="A275" s="35" t="s">
        <v>41</v>
      </c>
      <c r="B275" s="36" t="s">
        <v>35</v>
      </c>
      <c r="C275" s="36" t="s">
        <v>87</v>
      </c>
      <c r="D275" s="37">
        <v>44866</v>
      </c>
      <c r="E275" s="38">
        <v>13447</v>
      </c>
      <c r="F275" s="39">
        <v>95</v>
      </c>
    </row>
    <row r="276" spans="1:6" x14ac:dyDescent="0.3">
      <c r="A276" s="30" t="s">
        <v>70</v>
      </c>
      <c r="B276" s="31" t="s">
        <v>32</v>
      </c>
      <c r="C276" s="31" t="s">
        <v>59</v>
      </c>
      <c r="D276" s="32">
        <v>44745</v>
      </c>
      <c r="E276" s="33">
        <v>9422</v>
      </c>
      <c r="F276" s="34">
        <v>22</v>
      </c>
    </row>
    <row r="277" spans="1:6" x14ac:dyDescent="0.3">
      <c r="A277" s="35" t="s">
        <v>55</v>
      </c>
      <c r="B277" s="36" t="s">
        <v>35</v>
      </c>
      <c r="C277" s="36" t="s">
        <v>26</v>
      </c>
      <c r="D277" s="37">
        <v>44654</v>
      </c>
      <c r="E277" s="38">
        <v>8687</v>
      </c>
      <c r="F277" s="39">
        <v>100</v>
      </c>
    </row>
    <row r="278" spans="1:6" x14ac:dyDescent="0.3">
      <c r="A278" s="30" t="s">
        <v>37</v>
      </c>
      <c r="B278" s="31" t="s">
        <v>35</v>
      </c>
      <c r="C278" s="31" t="s">
        <v>42</v>
      </c>
      <c r="D278" s="31" t="s">
        <v>82</v>
      </c>
      <c r="E278" s="33">
        <v>2415</v>
      </c>
      <c r="F278" s="34">
        <v>312</v>
      </c>
    </row>
    <row r="279" spans="1:6" x14ac:dyDescent="0.3">
      <c r="A279" s="35" t="s">
        <v>55</v>
      </c>
      <c r="B279" s="36" t="s">
        <v>7</v>
      </c>
      <c r="C279" s="36" t="s">
        <v>13</v>
      </c>
      <c r="D279" s="37">
        <v>44870</v>
      </c>
      <c r="E279" s="38">
        <v>6272</v>
      </c>
      <c r="F279" s="39">
        <v>86</v>
      </c>
    </row>
    <row r="280" spans="1:6" x14ac:dyDescent="0.3">
      <c r="A280" s="30" t="s">
        <v>37</v>
      </c>
      <c r="B280" s="31" t="s">
        <v>32</v>
      </c>
      <c r="C280" s="31" t="s">
        <v>46</v>
      </c>
      <c r="D280" s="31" t="s">
        <v>95</v>
      </c>
      <c r="E280" s="33">
        <v>4389</v>
      </c>
      <c r="F280" s="34">
        <v>7</v>
      </c>
    </row>
    <row r="281" spans="1:6" x14ac:dyDescent="0.3">
      <c r="A281" s="35" t="s">
        <v>37</v>
      </c>
      <c r="B281" s="36" t="s">
        <v>10</v>
      </c>
      <c r="C281" s="36" t="s">
        <v>33</v>
      </c>
      <c r="D281" s="36" t="s">
        <v>49</v>
      </c>
      <c r="E281" s="38">
        <v>3122</v>
      </c>
      <c r="F281" s="39">
        <v>149</v>
      </c>
    </row>
    <row r="282" spans="1:6" x14ac:dyDescent="0.3">
      <c r="A282" s="30" t="s">
        <v>83</v>
      </c>
      <c r="B282" s="31" t="s">
        <v>10</v>
      </c>
      <c r="C282" s="31" t="s">
        <v>18</v>
      </c>
      <c r="D282" s="32">
        <v>44628</v>
      </c>
      <c r="E282" s="33">
        <v>8043</v>
      </c>
      <c r="F282" s="34">
        <v>18</v>
      </c>
    </row>
    <row r="283" spans="1:6" x14ac:dyDescent="0.3">
      <c r="A283" s="35" t="s">
        <v>64</v>
      </c>
      <c r="B283" s="36" t="s">
        <v>25</v>
      </c>
      <c r="C283" s="36" t="s">
        <v>8</v>
      </c>
      <c r="D283" s="36" t="s">
        <v>137</v>
      </c>
      <c r="E283" s="38">
        <v>11662</v>
      </c>
      <c r="F283" s="39">
        <v>242</v>
      </c>
    </row>
    <row r="284" spans="1:6" x14ac:dyDescent="0.3">
      <c r="A284" s="30" t="s">
        <v>64</v>
      </c>
      <c r="B284" s="31" t="s">
        <v>15</v>
      </c>
      <c r="C284" s="31" t="s">
        <v>57</v>
      </c>
      <c r="D284" s="31" t="s">
        <v>61</v>
      </c>
      <c r="E284" s="33">
        <v>392</v>
      </c>
      <c r="F284" s="34">
        <v>102</v>
      </c>
    </row>
    <row r="285" spans="1:6" x14ac:dyDescent="0.3">
      <c r="A285" s="35" t="s">
        <v>58</v>
      </c>
      <c r="B285" s="36" t="s">
        <v>7</v>
      </c>
      <c r="C285" s="36" t="s">
        <v>13</v>
      </c>
      <c r="D285" s="37">
        <v>44744</v>
      </c>
      <c r="E285" s="38">
        <v>8925</v>
      </c>
      <c r="F285" s="39">
        <v>158</v>
      </c>
    </row>
    <row r="286" spans="1:6" x14ac:dyDescent="0.3">
      <c r="A286" s="30" t="s">
        <v>37</v>
      </c>
      <c r="B286" s="31" t="s">
        <v>15</v>
      </c>
      <c r="C286" s="31" t="s">
        <v>65</v>
      </c>
      <c r="D286" s="32">
        <v>44780</v>
      </c>
      <c r="E286" s="33">
        <v>7294</v>
      </c>
      <c r="F286" s="34">
        <v>128</v>
      </c>
    </row>
    <row r="287" spans="1:6" x14ac:dyDescent="0.3">
      <c r="A287" s="35" t="s">
        <v>58</v>
      </c>
      <c r="B287" s="36" t="s">
        <v>10</v>
      </c>
      <c r="C287" s="36" t="s">
        <v>46</v>
      </c>
      <c r="D287" s="36" t="s">
        <v>138</v>
      </c>
      <c r="E287" s="38">
        <v>1526</v>
      </c>
      <c r="F287" s="39">
        <v>96</v>
      </c>
    </row>
    <row r="288" spans="1:6" x14ac:dyDescent="0.3">
      <c r="A288" s="30" t="s">
        <v>83</v>
      </c>
      <c r="B288" s="31" t="s">
        <v>7</v>
      </c>
      <c r="C288" s="31" t="s">
        <v>8</v>
      </c>
      <c r="D288" s="32">
        <v>44777</v>
      </c>
      <c r="E288" s="33">
        <v>2688</v>
      </c>
      <c r="F288" s="34">
        <v>209</v>
      </c>
    </row>
    <row r="289" spans="1:6" x14ac:dyDescent="0.3">
      <c r="A289" s="35" t="s">
        <v>53</v>
      </c>
      <c r="B289" s="36" t="s">
        <v>15</v>
      </c>
      <c r="C289" s="36" t="s">
        <v>26</v>
      </c>
      <c r="D289" s="36" t="s">
        <v>137</v>
      </c>
      <c r="E289" s="38">
        <v>14889</v>
      </c>
      <c r="F289" s="39">
        <v>52</v>
      </c>
    </row>
    <row r="290" spans="1:6" x14ac:dyDescent="0.3">
      <c r="A290" s="30" t="s">
        <v>14</v>
      </c>
      <c r="B290" s="31" t="s">
        <v>10</v>
      </c>
      <c r="C290" s="31" t="s">
        <v>57</v>
      </c>
      <c r="D290" s="32">
        <v>44656</v>
      </c>
      <c r="E290" s="33">
        <v>2912</v>
      </c>
      <c r="F290" s="34">
        <v>55</v>
      </c>
    </row>
    <row r="291" spans="1:6" x14ac:dyDescent="0.3">
      <c r="A291" s="35" t="s">
        <v>34</v>
      </c>
      <c r="B291" s="36" t="s">
        <v>32</v>
      </c>
      <c r="C291" s="36" t="s">
        <v>11</v>
      </c>
      <c r="D291" s="37">
        <v>44870</v>
      </c>
      <c r="E291" s="38">
        <v>2632</v>
      </c>
      <c r="F291" s="39">
        <v>108</v>
      </c>
    </row>
    <row r="292" spans="1:6" x14ac:dyDescent="0.3">
      <c r="A292" s="30" t="s">
        <v>34</v>
      </c>
      <c r="B292" s="31" t="s">
        <v>32</v>
      </c>
      <c r="C292" s="31" t="s">
        <v>36</v>
      </c>
      <c r="D292" s="31" t="s">
        <v>139</v>
      </c>
      <c r="E292" s="33">
        <v>6328</v>
      </c>
      <c r="F292" s="34">
        <v>51</v>
      </c>
    </row>
    <row r="293" spans="1:6" x14ac:dyDescent="0.3">
      <c r="A293" s="35" t="s">
        <v>58</v>
      </c>
      <c r="B293" s="36" t="s">
        <v>35</v>
      </c>
      <c r="C293" s="36" t="s">
        <v>50</v>
      </c>
      <c r="D293" s="37">
        <v>44842</v>
      </c>
      <c r="E293" s="38">
        <v>2527</v>
      </c>
      <c r="F293" s="39">
        <v>216</v>
      </c>
    </row>
    <row r="294" spans="1:6" x14ac:dyDescent="0.3">
      <c r="A294" s="30" t="s">
        <v>58</v>
      </c>
      <c r="B294" s="31" t="s">
        <v>32</v>
      </c>
      <c r="C294" s="31" t="s">
        <v>57</v>
      </c>
      <c r="D294" s="32">
        <v>44656</v>
      </c>
      <c r="E294" s="33">
        <v>1414</v>
      </c>
      <c r="F294" s="34">
        <v>318</v>
      </c>
    </row>
    <row r="295" spans="1:6" x14ac:dyDescent="0.3">
      <c r="A295" s="35" t="s">
        <v>70</v>
      </c>
      <c r="B295" s="36" t="s">
        <v>32</v>
      </c>
      <c r="C295" s="36" t="s">
        <v>20</v>
      </c>
      <c r="D295" s="36" t="s">
        <v>97</v>
      </c>
      <c r="E295" s="38">
        <v>7714</v>
      </c>
      <c r="F295" s="39">
        <v>238</v>
      </c>
    </row>
    <row r="296" spans="1:6" x14ac:dyDescent="0.3">
      <c r="A296" s="30" t="s">
        <v>79</v>
      </c>
      <c r="B296" s="31" t="s">
        <v>35</v>
      </c>
      <c r="C296" s="31" t="s">
        <v>73</v>
      </c>
      <c r="D296" s="32">
        <v>44628</v>
      </c>
      <c r="E296" s="33">
        <v>4347</v>
      </c>
      <c r="F296" s="34">
        <v>238</v>
      </c>
    </row>
    <row r="297" spans="1:6" x14ac:dyDescent="0.3">
      <c r="A297" s="35" t="s">
        <v>40</v>
      </c>
      <c r="B297" s="36" t="s">
        <v>25</v>
      </c>
      <c r="C297" s="36" t="s">
        <v>46</v>
      </c>
      <c r="D297" s="36" t="s">
        <v>122</v>
      </c>
      <c r="E297" s="38">
        <v>7490</v>
      </c>
      <c r="F297" s="39">
        <v>315</v>
      </c>
    </row>
    <row r="298" spans="1:6" x14ac:dyDescent="0.3">
      <c r="A298" s="30" t="s">
        <v>77</v>
      </c>
      <c r="B298" s="31" t="s">
        <v>15</v>
      </c>
      <c r="C298" s="31" t="s">
        <v>75</v>
      </c>
      <c r="D298" s="32">
        <v>44777</v>
      </c>
      <c r="E298" s="33">
        <v>2058</v>
      </c>
      <c r="F298" s="34">
        <v>72</v>
      </c>
    </row>
    <row r="299" spans="1:6" x14ac:dyDescent="0.3">
      <c r="A299" s="35" t="s">
        <v>70</v>
      </c>
      <c r="B299" s="36" t="s">
        <v>7</v>
      </c>
      <c r="C299" s="36" t="s">
        <v>33</v>
      </c>
      <c r="D299" s="37">
        <v>44569</v>
      </c>
      <c r="E299" s="38">
        <v>3640</v>
      </c>
      <c r="F299" s="39">
        <v>3</v>
      </c>
    </row>
    <row r="300" spans="1:6" x14ac:dyDescent="0.3">
      <c r="A300" s="30" t="s">
        <v>58</v>
      </c>
      <c r="B300" s="31" t="s">
        <v>35</v>
      </c>
      <c r="C300" s="31" t="s">
        <v>36</v>
      </c>
      <c r="D300" s="31" t="s">
        <v>131</v>
      </c>
      <c r="E300" s="33">
        <v>455</v>
      </c>
      <c r="F300" s="34">
        <v>45</v>
      </c>
    </row>
    <row r="301" spans="1:6" x14ac:dyDescent="0.3">
      <c r="A301" s="35" t="s">
        <v>37</v>
      </c>
      <c r="B301" s="36" t="s">
        <v>10</v>
      </c>
      <c r="C301" s="36" t="s">
        <v>8</v>
      </c>
      <c r="D301" s="36" t="s">
        <v>82</v>
      </c>
      <c r="E301" s="38">
        <v>10990</v>
      </c>
      <c r="F301" s="39">
        <v>184</v>
      </c>
    </row>
    <row r="302" spans="1:6" x14ac:dyDescent="0.3">
      <c r="A302" s="30" t="s">
        <v>31</v>
      </c>
      <c r="B302" s="31" t="s">
        <v>25</v>
      </c>
      <c r="C302" s="31" t="s">
        <v>65</v>
      </c>
      <c r="D302" s="31" t="s">
        <v>30</v>
      </c>
      <c r="E302" s="33">
        <v>5558</v>
      </c>
      <c r="F302" s="34">
        <v>127</v>
      </c>
    </row>
    <row r="303" spans="1:6" x14ac:dyDescent="0.3">
      <c r="A303" s="35" t="s">
        <v>34</v>
      </c>
      <c r="B303" s="36" t="s">
        <v>15</v>
      </c>
      <c r="C303" s="36" t="s">
        <v>11</v>
      </c>
      <c r="D303" s="36" t="s">
        <v>93</v>
      </c>
      <c r="E303" s="38">
        <v>2541</v>
      </c>
      <c r="F303" s="39">
        <v>53</v>
      </c>
    </row>
    <row r="304" spans="1:6" x14ac:dyDescent="0.3">
      <c r="A304" s="30" t="s">
        <v>83</v>
      </c>
      <c r="B304" s="31" t="s">
        <v>35</v>
      </c>
      <c r="C304" s="31" t="s">
        <v>36</v>
      </c>
      <c r="D304" s="32">
        <v>44835</v>
      </c>
      <c r="E304" s="33">
        <v>1876</v>
      </c>
      <c r="F304" s="34">
        <v>172</v>
      </c>
    </row>
    <row r="305" spans="1:6" x14ac:dyDescent="0.3">
      <c r="A305" s="35" t="s">
        <v>12</v>
      </c>
      <c r="B305" s="36" t="s">
        <v>15</v>
      </c>
      <c r="C305" s="36" t="s">
        <v>59</v>
      </c>
      <c r="D305" s="37">
        <v>44870</v>
      </c>
      <c r="E305" s="38">
        <v>5523</v>
      </c>
      <c r="F305" s="39">
        <v>87</v>
      </c>
    </row>
    <row r="306" spans="1:6" x14ac:dyDescent="0.3">
      <c r="A306" s="30" t="s">
        <v>41</v>
      </c>
      <c r="B306" s="31" t="s">
        <v>25</v>
      </c>
      <c r="C306" s="31" t="s">
        <v>11</v>
      </c>
      <c r="D306" s="31" t="s">
        <v>140</v>
      </c>
      <c r="E306" s="33">
        <v>11200</v>
      </c>
      <c r="F306" s="34">
        <v>22</v>
      </c>
    </row>
    <row r="307" spans="1:6" x14ac:dyDescent="0.3">
      <c r="A307" s="35" t="s">
        <v>55</v>
      </c>
      <c r="B307" s="36" t="s">
        <v>32</v>
      </c>
      <c r="C307" s="36" t="s">
        <v>90</v>
      </c>
      <c r="D307" s="36" t="s">
        <v>141</v>
      </c>
      <c r="E307" s="38">
        <v>5593</v>
      </c>
      <c r="F307" s="39">
        <v>122</v>
      </c>
    </row>
    <row r="308" spans="1:6" x14ac:dyDescent="0.3">
      <c r="A308" s="30" t="s">
        <v>34</v>
      </c>
      <c r="B308" s="31" t="s">
        <v>15</v>
      </c>
      <c r="C308" s="31" t="s">
        <v>65</v>
      </c>
      <c r="D308" s="32">
        <v>44569</v>
      </c>
      <c r="E308" s="33">
        <v>7882</v>
      </c>
      <c r="F308" s="34">
        <v>125</v>
      </c>
    </row>
    <row r="309" spans="1:6" x14ac:dyDescent="0.3">
      <c r="A309" s="35" t="s">
        <v>28</v>
      </c>
      <c r="B309" s="36" t="s">
        <v>35</v>
      </c>
      <c r="C309" s="36" t="s">
        <v>11</v>
      </c>
      <c r="D309" s="36" t="s">
        <v>51</v>
      </c>
      <c r="E309" s="38">
        <v>10241</v>
      </c>
      <c r="F309" s="39">
        <v>259</v>
      </c>
    </row>
    <row r="310" spans="1:6" x14ac:dyDescent="0.3">
      <c r="A310" s="30" t="s">
        <v>28</v>
      </c>
      <c r="B310" s="31" t="s">
        <v>15</v>
      </c>
      <c r="C310" s="31" t="s">
        <v>38</v>
      </c>
      <c r="D310" s="31" t="s">
        <v>129</v>
      </c>
      <c r="E310" s="33">
        <v>6832</v>
      </c>
      <c r="F310" s="34">
        <v>156</v>
      </c>
    </row>
    <row r="311" spans="1:6" x14ac:dyDescent="0.3">
      <c r="A311" s="35" t="s">
        <v>79</v>
      </c>
      <c r="B311" s="36" t="s">
        <v>32</v>
      </c>
      <c r="C311" s="36" t="s">
        <v>33</v>
      </c>
      <c r="D311" s="36" t="s">
        <v>76</v>
      </c>
      <c r="E311" s="38">
        <v>1379</v>
      </c>
      <c r="F311" s="39">
        <v>107</v>
      </c>
    </row>
    <row r="312" spans="1:6" x14ac:dyDescent="0.3">
      <c r="A312" s="30" t="s">
        <v>29</v>
      </c>
      <c r="B312" s="31" t="s">
        <v>15</v>
      </c>
      <c r="C312" s="31" t="s">
        <v>26</v>
      </c>
      <c r="D312" s="31" t="s">
        <v>139</v>
      </c>
      <c r="E312" s="33">
        <v>3010</v>
      </c>
      <c r="F312" s="34">
        <v>40</v>
      </c>
    </row>
    <row r="313" spans="1:6" x14ac:dyDescent="0.3">
      <c r="A313" s="35" t="s">
        <v>58</v>
      </c>
      <c r="B313" s="36" t="s">
        <v>10</v>
      </c>
      <c r="C313" s="36" t="s">
        <v>20</v>
      </c>
      <c r="D313" s="36" t="s">
        <v>142</v>
      </c>
      <c r="E313" s="38">
        <v>6888</v>
      </c>
      <c r="F313" s="39">
        <v>311</v>
      </c>
    </row>
    <row r="314" spans="1:6" x14ac:dyDescent="0.3">
      <c r="A314" s="30" t="s">
        <v>48</v>
      </c>
      <c r="B314" s="31" t="s">
        <v>7</v>
      </c>
      <c r="C314" s="31" t="s">
        <v>59</v>
      </c>
      <c r="D314" s="32">
        <v>44563</v>
      </c>
      <c r="E314" s="33">
        <v>1540</v>
      </c>
      <c r="F314" s="34">
        <v>73</v>
      </c>
    </row>
    <row r="315" spans="1:6" x14ac:dyDescent="0.3">
      <c r="A315" s="35" t="s">
        <v>70</v>
      </c>
      <c r="B315" s="36" t="s">
        <v>15</v>
      </c>
      <c r="C315" s="36" t="s">
        <v>23</v>
      </c>
      <c r="D315" s="37">
        <v>44595</v>
      </c>
      <c r="E315" s="38">
        <v>6916</v>
      </c>
      <c r="F315" s="39">
        <v>288</v>
      </c>
    </row>
    <row r="316" spans="1:6" x14ac:dyDescent="0.3">
      <c r="A316" s="30" t="s">
        <v>12</v>
      </c>
      <c r="B316" s="31" t="s">
        <v>7</v>
      </c>
      <c r="C316" s="31" t="s">
        <v>57</v>
      </c>
      <c r="D316" s="32">
        <v>44716</v>
      </c>
      <c r="E316" s="33">
        <v>1232</v>
      </c>
      <c r="F316" s="34">
        <v>86</v>
      </c>
    </row>
    <row r="317" spans="1:6" x14ac:dyDescent="0.3">
      <c r="A317" s="35" t="s">
        <v>22</v>
      </c>
      <c r="B317" s="36" t="s">
        <v>15</v>
      </c>
      <c r="C317" s="36" t="s">
        <v>73</v>
      </c>
      <c r="D317" s="36" t="s">
        <v>123</v>
      </c>
      <c r="E317" s="38">
        <v>602</v>
      </c>
      <c r="F317" s="39">
        <v>72</v>
      </c>
    </row>
    <row r="318" spans="1:6" x14ac:dyDescent="0.3">
      <c r="A318" s="30" t="s">
        <v>48</v>
      </c>
      <c r="B318" s="31" t="s">
        <v>7</v>
      </c>
      <c r="C318" s="31" t="s">
        <v>57</v>
      </c>
      <c r="D318" s="31" t="s">
        <v>143</v>
      </c>
      <c r="E318" s="33">
        <v>10927</v>
      </c>
      <c r="F318" s="34">
        <v>136</v>
      </c>
    </row>
    <row r="319" spans="1:6" x14ac:dyDescent="0.3">
      <c r="A319" s="35" t="s">
        <v>31</v>
      </c>
      <c r="B319" s="36" t="s">
        <v>35</v>
      </c>
      <c r="C319" s="36" t="s">
        <v>26</v>
      </c>
      <c r="D319" s="36" t="s">
        <v>80</v>
      </c>
      <c r="E319" s="38">
        <v>10185</v>
      </c>
      <c r="F319" s="39">
        <v>303</v>
      </c>
    </row>
    <row r="320" spans="1:6" x14ac:dyDescent="0.3">
      <c r="A320" s="30" t="s">
        <v>48</v>
      </c>
      <c r="B320" s="31" t="s">
        <v>32</v>
      </c>
      <c r="C320" s="31" t="s">
        <v>50</v>
      </c>
      <c r="D320" s="32">
        <v>44872</v>
      </c>
      <c r="E320" s="33">
        <v>1603</v>
      </c>
      <c r="F320" s="34">
        <v>264</v>
      </c>
    </row>
    <row r="321" spans="1:6" x14ac:dyDescent="0.3">
      <c r="A321" s="35" t="s">
        <v>28</v>
      </c>
      <c r="B321" s="36" t="s">
        <v>10</v>
      </c>
      <c r="C321" s="36" t="s">
        <v>65</v>
      </c>
      <c r="D321" s="36" t="s">
        <v>30</v>
      </c>
      <c r="E321" s="38">
        <v>2170</v>
      </c>
      <c r="F321" s="39">
        <v>218</v>
      </c>
    </row>
    <row r="322" spans="1:6" x14ac:dyDescent="0.3">
      <c r="A322" s="30" t="s">
        <v>19</v>
      </c>
      <c r="B322" s="31" t="s">
        <v>25</v>
      </c>
      <c r="C322" s="31" t="s">
        <v>18</v>
      </c>
      <c r="D322" s="32">
        <v>44749</v>
      </c>
      <c r="E322" s="33">
        <v>8673</v>
      </c>
      <c r="F322" s="34">
        <v>60</v>
      </c>
    </row>
    <row r="323" spans="1:6" x14ac:dyDescent="0.3">
      <c r="A323" s="35" t="s">
        <v>14</v>
      </c>
      <c r="B323" s="36" t="s">
        <v>10</v>
      </c>
      <c r="C323" s="36" t="s">
        <v>11</v>
      </c>
      <c r="D323" s="36" t="s">
        <v>99</v>
      </c>
      <c r="E323" s="38">
        <v>4760</v>
      </c>
      <c r="F323" s="39">
        <v>418</v>
      </c>
    </row>
    <row r="324" spans="1:6" x14ac:dyDescent="0.3">
      <c r="A324" s="30" t="s">
        <v>40</v>
      </c>
      <c r="B324" s="31" t="s">
        <v>10</v>
      </c>
      <c r="C324" s="31" t="s">
        <v>57</v>
      </c>
      <c r="D324" s="31" t="s">
        <v>121</v>
      </c>
      <c r="E324" s="33">
        <v>4753</v>
      </c>
      <c r="F324" s="34">
        <v>151</v>
      </c>
    </row>
    <row r="325" spans="1:6" x14ac:dyDescent="0.3">
      <c r="A325" s="35" t="s">
        <v>67</v>
      </c>
      <c r="B325" s="36" t="s">
        <v>25</v>
      </c>
      <c r="C325" s="36" t="s">
        <v>26</v>
      </c>
      <c r="D325" s="37">
        <v>44595</v>
      </c>
      <c r="E325" s="38">
        <v>3374</v>
      </c>
      <c r="F325" s="39">
        <v>202</v>
      </c>
    </row>
    <row r="326" spans="1:6" x14ac:dyDescent="0.3">
      <c r="A326" s="30" t="s">
        <v>22</v>
      </c>
      <c r="B326" s="31" t="s">
        <v>35</v>
      </c>
      <c r="C326" s="31" t="s">
        <v>73</v>
      </c>
      <c r="D326" s="31" t="s">
        <v>142</v>
      </c>
      <c r="E326" s="33">
        <v>2058</v>
      </c>
      <c r="F326" s="34">
        <v>126</v>
      </c>
    </row>
    <row r="327" spans="1:6" x14ac:dyDescent="0.3">
      <c r="A327" s="35" t="s">
        <v>70</v>
      </c>
      <c r="B327" s="36" t="s">
        <v>32</v>
      </c>
      <c r="C327" s="36" t="s">
        <v>38</v>
      </c>
      <c r="D327" s="36" t="s">
        <v>101</v>
      </c>
      <c r="E327" s="38">
        <v>6454</v>
      </c>
      <c r="F327" s="39">
        <v>160</v>
      </c>
    </row>
    <row r="328" spans="1:6" x14ac:dyDescent="0.3">
      <c r="A328" s="30" t="s">
        <v>9</v>
      </c>
      <c r="B328" s="31" t="s">
        <v>35</v>
      </c>
      <c r="C328" s="31" t="s">
        <v>59</v>
      </c>
      <c r="D328" s="31" t="s">
        <v>139</v>
      </c>
      <c r="E328" s="33">
        <v>420</v>
      </c>
      <c r="F328" s="34">
        <v>3</v>
      </c>
    </row>
    <row r="329" spans="1:6" x14ac:dyDescent="0.3">
      <c r="A329" s="35" t="s">
        <v>29</v>
      </c>
      <c r="B329" s="36" t="s">
        <v>32</v>
      </c>
      <c r="C329" s="36" t="s">
        <v>87</v>
      </c>
      <c r="D329" s="37">
        <v>44810</v>
      </c>
      <c r="E329" s="38">
        <v>2863</v>
      </c>
      <c r="F329" s="39">
        <v>58</v>
      </c>
    </row>
    <row r="330" spans="1:6" x14ac:dyDescent="0.3">
      <c r="A330" s="30" t="s">
        <v>9</v>
      </c>
      <c r="B330" s="31" t="s">
        <v>15</v>
      </c>
      <c r="C330" s="31" t="s">
        <v>90</v>
      </c>
      <c r="D330" s="31" t="s">
        <v>144</v>
      </c>
      <c r="E330" s="33">
        <v>5936</v>
      </c>
      <c r="F330" s="34">
        <v>59</v>
      </c>
    </row>
    <row r="331" spans="1:6" x14ac:dyDescent="0.3">
      <c r="A331" s="35" t="s">
        <v>83</v>
      </c>
      <c r="B331" s="36" t="s">
        <v>25</v>
      </c>
      <c r="C331" s="36" t="s">
        <v>13</v>
      </c>
      <c r="D331" s="37">
        <v>44654</v>
      </c>
      <c r="E331" s="38">
        <v>889</v>
      </c>
      <c r="F331" s="39">
        <v>273</v>
      </c>
    </row>
    <row r="332" spans="1:6" x14ac:dyDescent="0.3">
      <c r="A332" s="30" t="s">
        <v>70</v>
      </c>
      <c r="B332" s="31" t="s">
        <v>35</v>
      </c>
      <c r="C332" s="31" t="s">
        <v>46</v>
      </c>
      <c r="D332" s="32">
        <v>44749</v>
      </c>
      <c r="E332" s="33">
        <v>16016</v>
      </c>
      <c r="F332" s="34">
        <v>28</v>
      </c>
    </row>
    <row r="333" spans="1:6" x14ac:dyDescent="0.3">
      <c r="A333" s="35" t="s">
        <v>58</v>
      </c>
      <c r="B333" s="36" t="s">
        <v>35</v>
      </c>
      <c r="C333" s="36" t="s">
        <v>75</v>
      </c>
      <c r="D333" s="36" t="s">
        <v>30</v>
      </c>
      <c r="E333" s="38">
        <v>10479</v>
      </c>
      <c r="F333" s="39">
        <v>118</v>
      </c>
    </row>
    <row r="334" spans="1:6" x14ac:dyDescent="0.3">
      <c r="A334" s="30" t="s">
        <v>48</v>
      </c>
      <c r="B334" s="31" t="s">
        <v>15</v>
      </c>
      <c r="C334" s="31" t="s">
        <v>65</v>
      </c>
      <c r="D334" s="31" t="s">
        <v>94</v>
      </c>
      <c r="E334" s="33">
        <v>2912</v>
      </c>
      <c r="F334" s="34">
        <v>75</v>
      </c>
    </row>
    <row r="335" spans="1:6" x14ac:dyDescent="0.3">
      <c r="A335" s="35" t="s">
        <v>77</v>
      </c>
      <c r="B335" s="36" t="s">
        <v>15</v>
      </c>
      <c r="C335" s="36" t="s">
        <v>11</v>
      </c>
      <c r="D335" s="36" t="s">
        <v>111</v>
      </c>
      <c r="E335" s="38">
        <v>1575</v>
      </c>
      <c r="F335" s="39">
        <v>329</v>
      </c>
    </row>
    <row r="336" spans="1:6" x14ac:dyDescent="0.3">
      <c r="A336" s="30" t="s">
        <v>12</v>
      </c>
      <c r="B336" s="31" t="s">
        <v>7</v>
      </c>
      <c r="C336" s="31" t="s">
        <v>26</v>
      </c>
      <c r="D336" s="31" t="s">
        <v>145</v>
      </c>
      <c r="E336" s="33">
        <v>8197</v>
      </c>
      <c r="F336" s="34">
        <v>69</v>
      </c>
    </row>
    <row r="337" spans="1:6" x14ac:dyDescent="0.3">
      <c r="A337" s="35" t="s">
        <v>83</v>
      </c>
      <c r="B337" s="36" t="s">
        <v>7</v>
      </c>
      <c r="C337" s="36" t="s">
        <v>60</v>
      </c>
      <c r="D337" s="36" t="s">
        <v>52</v>
      </c>
      <c r="E337" s="38">
        <v>4221</v>
      </c>
      <c r="F337" s="39">
        <v>395</v>
      </c>
    </row>
    <row r="338" spans="1:6" x14ac:dyDescent="0.3">
      <c r="A338" s="30" t="s">
        <v>12</v>
      </c>
      <c r="B338" s="31" t="s">
        <v>7</v>
      </c>
      <c r="C338" s="31" t="s">
        <v>100</v>
      </c>
      <c r="D338" s="31" t="s">
        <v>146</v>
      </c>
      <c r="E338" s="33">
        <v>840</v>
      </c>
      <c r="F338" s="34">
        <v>81</v>
      </c>
    </row>
    <row r="339" spans="1:6" x14ac:dyDescent="0.3">
      <c r="A339" s="35" t="s">
        <v>6</v>
      </c>
      <c r="B339" s="36" t="s">
        <v>15</v>
      </c>
      <c r="C339" s="36" t="s">
        <v>13</v>
      </c>
      <c r="D339" s="36" t="s">
        <v>143</v>
      </c>
      <c r="E339" s="38">
        <v>5691</v>
      </c>
      <c r="F339" s="39">
        <v>38</v>
      </c>
    </row>
    <row r="340" spans="1:6" x14ac:dyDescent="0.3">
      <c r="A340" s="30" t="s">
        <v>40</v>
      </c>
      <c r="B340" s="31" t="s">
        <v>10</v>
      </c>
      <c r="C340" s="31" t="s">
        <v>36</v>
      </c>
      <c r="D340" s="31" t="s">
        <v>30</v>
      </c>
      <c r="E340" s="33">
        <v>3472</v>
      </c>
      <c r="F340" s="34">
        <v>96</v>
      </c>
    </row>
    <row r="341" spans="1:6" x14ac:dyDescent="0.3">
      <c r="A341" s="35" t="s">
        <v>48</v>
      </c>
      <c r="B341" s="36" t="s">
        <v>35</v>
      </c>
      <c r="C341" s="36" t="s">
        <v>57</v>
      </c>
      <c r="D341" s="37">
        <v>44655</v>
      </c>
      <c r="E341" s="38">
        <v>4193</v>
      </c>
      <c r="F341" s="39">
        <v>195</v>
      </c>
    </row>
    <row r="342" spans="1:6" x14ac:dyDescent="0.3">
      <c r="A342" s="30" t="s">
        <v>55</v>
      </c>
      <c r="B342" s="31" t="s">
        <v>7</v>
      </c>
      <c r="C342" s="31" t="s">
        <v>18</v>
      </c>
      <c r="D342" s="32">
        <v>44779</v>
      </c>
      <c r="E342" s="33">
        <v>9016</v>
      </c>
      <c r="F342" s="34">
        <v>554</v>
      </c>
    </row>
    <row r="343" spans="1:6" x14ac:dyDescent="0.3">
      <c r="A343" s="35" t="s">
        <v>37</v>
      </c>
      <c r="B343" s="36" t="s">
        <v>35</v>
      </c>
      <c r="C343" s="36" t="s">
        <v>50</v>
      </c>
      <c r="D343" s="37">
        <v>44600</v>
      </c>
      <c r="E343" s="38">
        <v>6328</v>
      </c>
      <c r="F343" s="39">
        <v>47</v>
      </c>
    </row>
    <row r="344" spans="1:6" x14ac:dyDescent="0.3">
      <c r="A344" s="30" t="s">
        <v>70</v>
      </c>
      <c r="B344" s="31" t="s">
        <v>32</v>
      </c>
      <c r="C344" s="31" t="s">
        <v>42</v>
      </c>
      <c r="D344" s="31" t="s">
        <v>141</v>
      </c>
      <c r="E344" s="33">
        <v>9870</v>
      </c>
      <c r="F344" s="34">
        <v>152</v>
      </c>
    </row>
    <row r="345" spans="1:6" x14ac:dyDescent="0.3">
      <c r="A345" s="35" t="s">
        <v>48</v>
      </c>
      <c r="B345" s="36" t="s">
        <v>10</v>
      </c>
      <c r="C345" s="36" t="s">
        <v>50</v>
      </c>
      <c r="D345" s="36" t="s">
        <v>92</v>
      </c>
      <c r="E345" s="38">
        <v>161</v>
      </c>
      <c r="F345" s="39">
        <v>134</v>
      </c>
    </row>
    <row r="346" spans="1:6" x14ac:dyDescent="0.3">
      <c r="A346" s="30" t="s">
        <v>45</v>
      </c>
      <c r="B346" s="31" t="s">
        <v>10</v>
      </c>
      <c r="C346" s="31" t="s">
        <v>23</v>
      </c>
      <c r="D346" s="31" t="s">
        <v>147</v>
      </c>
      <c r="E346" s="33">
        <v>2576</v>
      </c>
      <c r="F346" s="34">
        <v>112</v>
      </c>
    </row>
    <row r="347" spans="1:6" x14ac:dyDescent="0.3">
      <c r="A347" s="35" t="s">
        <v>71</v>
      </c>
      <c r="B347" s="36" t="s">
        <v>15</v>
      </c>
      <c r="C347" s="36" t="s">
        <v>90</v>
      </c>
      <c r="D347" s="37">
        <v>44597</v>
      </c>
      <c r="E347" s="38">
        <v>3178</v>
      </c>
      <c r="F347" s="39">
        <v>16</v>
      </c>
    </row>
    <row r="348" spans="1:6" x14ac:dyDescent="0.3">
      <c r="A348" s="30" t="s">
        <v>48</v>
      </c>
      <c r="B348" s="31" t="s">
        <v>15</v>
      </c>
      <c r="C348" s="31" t="s">
        <v>20</v>
      </c>
      <c r="D348" s="32">
        <v>44743</v>
      </c>
      <c r="E348" s="33">
        <v>4676</v>
      </c>
      <c r="F348" s="34">
        <v>84</v>
      </c>
    </row>
    <row r="349" spans="1:6" x14ac:dyDescent="0.3">
      <c r="A349" s="35" t="s">
        <v>34</v>
      </c>
      <c r="B349" s="36" t="s">
        <v>7</v>
      </c>
      <c r="C349" s="36" t="s">
        <v>26</v>
      </c>
      <c r="D349" s="36" t="s">
        <v>109</v>
      </c>
      <c r="E349" s="38">
        <v>5502</v>
      </c>
      <c r="F349" s="39">
        <v>99</v>
      </c>
    </row>
    <row r="350" spans="1:6" x14ac:dyDescent="0.3">
      <c r="A350" s="30" t="s">
        <v>83</v>
      </c>
      <c r="B350" s="31" t="s">
        <v>35</v>
      </c>
      <c r="C350" s="31" t="s">
        <v>87</v>
      </c>
      <c r="D350" s="31" t="s">
        <v>148</v>
      </c>
      <c r="E350" s="33">
        <v>7462</v>
      </c>
      <c r="F350" s="34">
        <v>371</v>
      </c>
    </row>
    <row r="351" spans="1:6" x14ac:dyDescent="0.3">
      <c r="A351" s="35" t="s">
        <v>9</v>
      </c>
      <c r="B351" s="36" t="s">
        <v>7</v>
      </c>
      <c r="C351" s="36" t="s">
        <v>38</v>
      </c>
      <c r="D351" s="37">
        <v>44655</v>
      </c>
      <c r="E351" s="38">
        <v>5803</v>
      </c>
      <c r="F351" s="39">
        <v>136</v>
      </c>
    </row>
    <row r="352" spans="1:6" x14ac:dyDescent="0.3">
      <c r="A352" s="30" t="s">
        <v>22</v>
      </c>
      <c r="B352" s="31" t="s">
        <v>35</v>
      </c>
      <c r="C352" s="31" t="s">
        <v>57</v>
      </c>
      <c r="D352" s="31" t="s">
        <v>24</v>
      </c>
      <c r="E352" s="33">
        <v>13888</v>
      </c>
      <c r="F352" s="34">
        <v>203</v>
      </c>
    </row>
    <row r="353" spans="1:6" x14ac:dyDescent="0.3">
      <c r="A353" s="35" t="s">
        <v>22</v>
      </c>
      <c r="B353" s="36" t="s">
        <v>25</v>
      </c>
      <c r="C353" s="36" t="s">
        <v>50</v>
      </c>
      <c r="D353" s="36" t="s">
        <v>85</v>
      </c>
      <c r="E353" s="38">
        <v>6867</v>
      </c>
      <c r="F353" s="39">
        <v>183</v>
      </c>
    </row>
    <row r="354" spans="1:6" x14ac:dyDescent="0.3">
      <c r="A354" s="30" t="s">
        <v>22</v>
      </c>
      <c r="B354" s="31" t="s">
        <v>15</v>
      </c>
      <c r="C354" s="31" t="s">
        <v>38</v>
      </c>
      <c r="D354" s="31" t="s">
        <v>122</v>
      </c>
      <c r="E354" s="33">
        <v>2317</v>
      </c>
      <c r="F354" s="34">
        <v>195</v>
      </c>
    </row>
    <row r="355" spans="1:6" x14ac:dyDescent="0.3">
      <c r="A355" s="35" t="s">
        <v>37</v>
      </c>
      <c r="B355" s="36" t="s">
        <v>25</v>
      </c>
      <c r="C355" s="36" t="s">
        <v>57</v>
      </c>
      <c r="D355" s="37">
        <v>44744</v>
      </c>
      <c r="E355" s="38">
        <v>1218</v>
      </c>
      <c r="F355" s="39">
        <v>135</v>
      </c>
    </row>
    <row r="356" spans="1:6" x14ac:dyDescent="0.3">
      <c r="A356" s="30" t="s">
        <v>58</v>
      </c>
      <c r="B356" s="31" t="s">
        <v>25</v>
      </c>
      <c r="C356" s="31" t="s">
        <v>38</v>
      </c>
      <c r="D356" s="32">
        <v>44866</v>
      </c>
      <c r="E356" s="33">
        <v>4109</v>
      </c>
      <c r="F356" s="34">
        <v>197</v>
      </c>
    </row>
    <row r="357" spans="1:6" x14ac:dyDescent="0.3">
      <c r="A357" s="35" t="s">
        <v>6</v>
      </c>
      <c r="B357" s="36" t="s">
        <v>10</v>
      </c>
      <c r="C357" s="36" t="s">
        <v>20</v>
      </c>
      <c r="D357" s="36" t="s">
        <v>104</v>
      </c>
      <c r="E357" s="38">
        <v>1953</v>
      </c>
      <c r="F357" s="39">
        <v>242</v>
      </c>
    </row>
    <row r="358" spans="1:6" x14ac:dyDescent="0.3">
      <c r="A358" s="30" t="s">
        <v>79</v>
      </c>
      <c r="B358" s="31" t="s">
        <v>15</v>
      </c>
      <c r="C358" s="31" t="s">
        <v>8</v>
      </c>
      <c r="D358" s="32">
        <v>44569</v>
      </c>
      <c r="E358" s="33">
        <v>6790</v>
      </c>
      <c r="F358" s="34">
        <v>25</v>
      </c>
    </row>
    <row r="359" spans="1:6" x14ac:dyDescent="0.3">
      <c r="A359" s="35" t="s">
        <v>45</v>
      </c>
      <c r="B359" s="36" t="s">
        <v>15</v>
      </c>
      <c r="C359" s="36" t="s">
        <v>8</v>
      </c>
      <c r="D359" s="37">
        <v>44686</v>
      </c>
      <c r="E359" s="38">
        <v>6797</v>
      </c>
      <c r="F359" s="39">
        <v>252</v>
      </c>
    </row>
    <row r="360" spans="1:6" x14ac:dyDescent="0.3">
      <c r="A360" s="30" t="s">
        <v>77</v>
      </c>
      <c r="B360" s="31" t="s">
        <v>25</v>
      </c>
      <c r="C360" s="31" t="s">
        <v>73</v>
      </c>
      <c r="D360" s="31" t="s">
        <v>84</v>
      </c>
      <c r="E360" s="33">
        <v>9226</v>
      </c>
      <c r="F360" s="34">
        <v>415</v>
      </c>
    </row>
    <row r="361" spans="1:6" x14ac:dyDescent="0.3">
      <c r="A361" s="35" t="s">
        <v>79</v>
      </c>
      <c r="B361" s="36" t="s">
        <v>25</v>
      </c>
      <c r="C361" s="36" t="s">
        <v>75</v>
      </c>
      <c r="D361" s="37">
        <v>44652</v>
      </c>
      <c r="E361" s="38">
        <v>5733</v>
      </c>
      <c r="F361" s="39">
        <v>348</v>
      </c>
    </row>
    <row r="362" spans="1:6" x14ac:dyDescent="0.3">
      <c r="A362" s="30" t="s">
        <v>45</v>
      </c>
      <c r="B362" s="31" t="s">
        <v>25</v>
      </c>
      <c r="C362" s="31" t="s">
        <v>26</v>
      </c>
      <c r="D362" s="32">
        <v>44809</v>
      </c>
      <c r="E362" s="33">
        <v>4312</v>
      </c>
      <c r="F362" s="34">
        <v>211</v>
      </c>
    </row>
    <row r="363" spans="1:6" x14ac:dyDescent="0.3">
      <c r="A363" s="35" t="s">
        <v>29</v>
      </c>
      <c r="B363" s="36" t="s">
        <v>10</v>
      </c>
      <c r="C363" s="36" t="s">
        <v>18</v>
      </c>
      <c r="D363" s="37">
        <v>44717</v>
      </c>
      <c r="E363" s="38">
        <v>1638</v>
      </c>
      <c r="F363" s="39">
        <v>81</v>
      </c>
    </row>
    <row r="364" spans="1:6" x14ac:dyDescent="0.3">
      <c r="A364" s="30" t="s">
        <v>53</v>
      </c>
      <c r="B364" s="31" t="s">
        <v>7</v>
      </c>
      <c r="C364" s="31" t="s">
        <v>59</v>
      </c>
      <c r="D364" s="31" t="s">
        <v>30</v>
      </c>
      <c r="E364" s="33">
        <v>10815</v>
      </c>
      <c r="F364" s="34">
        <v>145</v>
      </c>
    </row>
    <row r="365" spans="1:6" x14ac:dyDescent="0.3">
      <c r="A365" s="35" t="s">
        <v>45</v>
      </c>
      <c r="B365" s="36" t="s">
        <v>15</v>
      </c>
      <c r="C365" s="36" t="s">
        <v>65</v>
      </c>
      <c r="D365" s="36" t="s">
        <v>143</v>
      </c>
      <c r="E365" s="38">
        <v>4466</v>
      </c>
      <c r="F365" s="39">
        <v>74</v>
      </c>
    </row>
    <row r="366" spans="1:6" x14ac:dyDescent="0.3">
      <c r="A366" s="30" t="s">
        <v>9</v>
      </c>
      <c r="B366" s="31" t="s">
        <v>32</v>
      </c>
      <c r="C366" s="31" t="s">
        <v>90</v>
      </c>
      <c r="D366" s="31" t="s">
        <v>44</v>
      </c>
      <c r="E366" s="33">
        <v>987</v>
      </c>
      <c r="F366" s="34">
        <v>21</v>
      </c>
    </row>
    <row r="367" spans="1:6" x14ac:dyDescent="0.3">
      <c r="A367" s="35" t="s">
        <v>71</v>
      </c>
      <c r="B367" s="36" t="s">
        <v>15</v>
      </c>
      <c r="C367" s="36" t="s">
        <v>20</v>
      </c>
      <c r="D367" s="36" t="s">
        <v>115</v>
      </c>
      <c r="E367" s="38">
        <v>4669</v>
      </c>
      <c r="F367" s="39">
        <v>101</v>
      </c>
    </row>
    <row r="368" spans="1:6" x14ac:dyDescent="0.3">
      <c r="A368" s="30" t="s">
        <v>55</v>
      </c>
      <c r="B368" s="31" t="s">
        <v>10</v>
      </c>
      <c r="C368" s="31" t="s">
        <v>46</v>
      </c>
      <c r="D368" s="32">
        <v>44597</v>
      </c>
      <c r="E368" s="33">
        <v>2905</v>
      </c>
      <c r="F368" s="34">
        <v>91</v>
      </c>
    </row>
    <row r="369" spans="1:6" x14ac:dyDescent="0.3">
      <c r="A369" s="35" t="s">
        <v>83</v>
      </c>
      <c r="B369" s="36" t="s">
        <v>15</v>
      </c>
      <c r="C369" s="36" t="s">
        <v>18</v>
      </c>
      <c r="D369" s="36" t="s">
        <v>86</v>
      </c>
      <c r="E369" s="38">
        <v>7490</v>
      </c>
      <c r="F369" s="39">
        <v>54</v>
      </c>
    </row>
    <row r="370" spans="1:6" x14ac:dyDescent="0.3">
      <c r="A370" s="30" t="s">
        <v>34</v>
      </c>
      <c r="B370" s="31" t="s">
        <v>32</v>
      </c>
      <c r="C370" s="31" t="s">
        <v>65</v>
      </c>
      <c r="D370" s="31" t="s">
        <v>107</v>
      </c>
      <c r="E370" s="33">
        <v>6986</v>
      </c>
      <c r="F370" s="34">
        <v>368</v>
      </c>
    </row>
    <row r="371" spans="1:6" x14ac:dyDescent="0.3">
      <c r="A371" s="35" t="s">
        <v>55</v>
      </c>
      <c r="B371" s="36" t="s">
        <v>35</v>
      </c>
      <c r="C371" s="36" t="s">
        <v>20</v>
      </c>
      <c r="D371" s="36" t="s">
        <v>143</v>
      </c>
      <c r="E371" s="38">
        <v>1288</v>
      </c>
      <c r="F371" s="39">
        <v>409</v>
      </c>
    </row>
    <row r="372" spans="1:6" x14ac:dyDescent="0.3">
      <c r="A372" s="30" t="s">
        <v>19</v>
      </c>
      <c r="B372" s="31" t="s">
        <v>7</v>
      </c>
      <c r="C372" s="31" t="s">
        <v>23</v>
      </c>
      <c r="D372" s="31" t="s">
        <v>145</v>
      </c>
      <c r="E372" s="33">
        <v>2345</v>
      </c>
      <c r="F372" s="34">
        <v>104</v>
      </c>
    </row>
    <row r="373" spans="1:6" x14ac:dyDescent="0.3">
      <c r="A373" s="35" t="s">
        <v>22</v>
      </c>
      <c r="B373" s="36" t="s">
        <v>7</v>
      </c>
      <c r="C373" s="36" t="s">
        <v>36</v>
      </c>
      <c r="D373" s="36" t="s">
        <v>121</v>
      </c>
      <c r="E373" s="38">
        <v>3619</v>
      </c>
      <c r="F373" s="39">
        <v>164</v>
      </c>
    </row>
    <row r="374" spans="1:6" x14ac:dyDescent="0.3">
      <c r="A374" s="30" t="s">
        <v>79</v>
      </c>
      <c r="B374" s="31" t="s">
        <v>32</v>
      </c>
      <c r="C374" s="31" t="s">
        <v>90</v>
      </c>
      <c r="D374" s="31" t="s">
        <v>74</v>
      </c>
      <c r="E374" s="33">
        <v>16982</v>
      </c>
      <c r="F374" s="34">
        <v>76</v>
      </c>
    </row>
    <row r="375" spans="1:6" x14ac:dyDescent="0.3">
      <c r="A375" s="35" t="s">
        <v>14</v>
      </c>
      <c r="B375" s="36" t="s">
        <v>10</v>
      </c>
      <c r="C375" s="36" t="s">
        <v>13</v>
      </c>
      <c r="D375" s="37">
        <v>44652</v>
      </c>
      <c r="E375" s="38">
        <v>8092</v>
      </c>
      <c r="F375" s="39">
        <v>178</v>
      </c>
    </row>
    <row r="376" spans="1:6" x14ac:dyDescent="0.3">
      <c r="A376" s="30" t="s">
        <v>53</v>
      </c>
      <c r="B376" s="31" t="s">
        <v>15</v>
      </c>
      <c r="C376" s="31" t="s">
        <v>36</v>
      </c>
      <c r="D376" s="32">
        <v>44658</v>
      </c>
      <c r="E376" s="33">
        <v>6993</v>
      </c>
      <c r="F376" s="34">
        <v>31</v>
      </c>
    </row>
    <row r="377" spans="1:6" x14ac:dyDescent="0.3">
      <c r="A377" s="35" t="s">
        <v>41</v>
      </c>
      <c r="B377" s="36" t="s">
        <v>32</v>
      </c>
      <c r="C377" s="36" t="s">
        <v>18</v>
      </c>
      <c r="D377" s="36" t="s">
        <v>24</v>
      </c>
      <c r="E377" s="38">
        <v>2317</v>
      </c>
      <c r="F377" s="39">
        <v>352</v>
      </c>
    </row>
    <row r="378" spans="1:6" x14ac:dyDescent="0.3">
      <c r="A378" s="30" t="s">
        <v>71</v>
      </c>
      <c r="B378" s="31" t="s">
        <v>15</v>
      </c>
      <c r="C378" s="31" t="s">
        <v>60</v>
      </c>
      <c r="D378" s="31" t="s">
        <v>123</v>
      </c>
      <c r="E378" s="33">
        <v>637</v>
      </c>
      <c r="F378" s="34">
        <v>169</v>
      </c>
    </row>
    <row r="379" spans="1:6" x14ac:dyDescent="0.3">
      <c r="A379" s="35" t="s">
        <v>19</v>
      </c>
      <c r="B379" s="36" t="s">
        <v>15</v>
      </c>
      <c r="C379" s="36" t="s">
        <v>65</v>
      </c>
      <c r="D379" s="36" t="s">
        <v>149</v>
      </c>
      <c r="E379" s="38">
        <v>6034</v>
      </c>
      <c r="F379" s="39">
        <v>223</v>
      </c>
    </row>
    <row r="380" spans="1:6" x14ac:dyDescent="0.3">
      <c r="A380" s="30" t="s">
        <v>14</v>
      </c>
      <c r="B380" s="31" t="s">
        <v>32</v>
      </c>
      <c r="C380" s="31" t="s">
        <v>33</v>
      </c>
      <c r="D380" s="31" t="s">
        <v>63</v>
      </c>
      <c r="E380" s="33">
        <v>980</v>
      </c>
      <c r="F380" s="34">
        <v>146</v>
      </c>
    </row>
    <row r="381" spans="1:6" x14ac:dyDescent="0.3">
      <c r="A381" s="35" t="s">
        <v>12</v>
      </c>
      <c r="B381" s="36" t="s">
        <v>32</v>
      </c>
      <c r="C381" s="36" t="s">
        <v>57</v>
      </c>
      <c r="D381" s="36" t="s">
        <v>62</v>
      </c>
      <c r="E381" s="38">
        <v>2821</v>
      </c>
      <c r="F381" s="39">
        <v>112</v>
      </c>
    </row>
    <row r="382" spans="1:6" x14ac:dyDescent="0.3">
      <c r="A382" s="30" t="s">
        <v>34</v>
      </c>
      <c r="B382" s="31" t="s">
        <v>7</v>
      </c>
      <c r="C382" s="31" t="s">
        <v>46</v>
      </c>
      <c r="D382" s="32">
        <v>44835</v>
      </c>
      <c r="E382" s="33">
        <v>3563</v>
      </c>
      <c r="F382" s="34">
        <v>284</v>
      </c>
    </row>
    <row r="383" spans="1:6" x14ac:dyDescent="0.3">
      <c r="A383" s="35" t="s">
        <v>48</v>
      </c>
      <c r="B383" s="36" t="s">
        <v>32</v>
      </c>
      <c r="C383" s="36" t="s">
        <v>73</v>
      </c>
      <c r="D383" s="36" t="s">
        <v>131</v>
      </c>
      <c r="E383" s="38">
        <v>2996</v>
      </c>
      <c r="F383" s="39">
        <v>139</v>
      </c>
    </row>
    <row r="384" spans="1:6" x14ac:dyDescent="0.3">
      <c r="A384" s="30" t="s">
        <v>40</v>
      </c>
      <c r="B384" s="31" t="s">
        <v>35</v>
      </c>
      <c r="C384" s="31" t="s">
        <v>46</v>
      </c>
      <c r="D384" s="32">
        <v>44775</v>
      </c>
      <c r="E384" s="33">
        <v>2436</v>
      </c>
      <c r="F384" s="34">
        <v>309</v>
      </c>
    </row>
    <row r="385" spans="1:6" x14ac:dyDescent="0.3">
      <c r="A385" s="35" t="s">
        <v>28</v>
      </c>
      <c r="B385" s="36" t="s">
        <v>10</v>
      </c>
      <c r="C385" s="36" t="s">
        <v>90</v>
      </c>
      <c r="D385" s="36" t="s">
        <v>104</v>
      </c>
      <c r="E385" s="38">
        <v>1540</v>
      </c>
      <c r="F385" s="39">
        <v>100</v>
      </c>
    </row>
    <row r="386" spans="1:6" x14ac:dyDescent="0.3">
      <c r="A386" s="30" t="s">
        <v>22</v>
      </c>
      <c r="B386" s="31" t="s">
        <v>32</v>
      </c>
      <c r="C386" s="31" t="s">
        <v>36</v>
      </c>
      <c r="D386" s="32">
        <v>44625</v>
      </c>
      <c r="E386" s="33">
        <v>6916</v>
      </c>
      <c r="F386" s="34">
        <v>42</v>
      </c>
    </row>
    <row r="387" spans="1:6" x14ac:dyDescent="0.3">
      <c r="A387" s="35" t="s">
        <v>45</v>
      </c>
      <c r="B387" s="36" t="s">
        <v>32</v>
      </c>
      <c r="C387" s="36" t="s">
        <v>57</v>
      </c>
      <c r="D387" s="36" t="s">
        <v>127</v>
      </c>
      <c r="E387" s="38">
        <v>5509</v>
      </c>
      <c r="F387" s="39">
        <v>24</v>
      </c>
    </row>
    <row r="388" spans="1:6" x14ac:dyDescent="0.3">
      <c r="A388" s="30" t="s">
        <v>22</v>
      </c>
      <c r="B388" s="31" t="s">
        <v>10</v>
      </c>
      <c r="C388" s="31" t="s">
        <v>26</v>
      </c>
      <c r="D388" s="32">
        <v>44812</v>
      </c>
      <c r="E388" s="33">
        <v>12992</v>
      </c>
      <c r="F388" s="34">
        <v>83</v>
      </c>
    </row>
    <row r="389" spans="1:6" x14ac:dyDescent="0.3">
      <c r="A389" s="35" t="s">
        <v>64</v>
      </c>
      <c r="B389" s="36" t="s">
        <v>25</v>
      </c>
      <c r="C389" s="36" t="s">
        <v>60</v>
      </c>
      <c r="D389" s="37">
        <v>44872</v>
      </c>
      <c r="E389" s="38">
        <v>3724</v>
      </c>
      <c r="F389" s="39">
        <v>234</v>
      </c>
    </row>
    <row r="390" spans="1:6" x14ac:dyDescent="0.3">
      <c r="A390" s="30" t="s">
        <v>55</v>
      </c>
      <c r="B390" s="31" t="s">
        <v>7</v>
      </c>
      <c r="C390" s="31" t="s">
        <v>60</v>
      </c>
      <c r="D390" s="31" t="s">
        <v>122</v>
      </c>
      <c r="E390" s="33">
        <v>7133</v>
      </c>
      <c r="F390" s="34">
        <v>118</v>
      </c>
    </row>
    <row r="391" spans="1:6" x14ac:dyDescent="0.3">
      <c r="A391" s="35" t="s">
        <v>9</v>
      </c>
      <c r="B391" s="36" t="s">
        <v>35</v>
      </c>
      <c r="C391" s="36" t="s">
        <v>60</v>
      </c>
      <c r="D391" s="36" t="s">
        <v>17</v>
      </c>
      <c r="E391" s="38">
        <v>8617</v>
      </c>
      <c r="F391" s="39">
        <v>46</v>
      </c>
    </row>
    <row r="392" spans="1:6" x14ac:dyDescent="0.3">
      <c r="A392" s="30" t="s">
        <v>64</v>
      </c>
      <c r="B392" s="31" t="s">
        <v>25</v>
      </c>
      <c r="C392" s="31" t="s">
        <v>65</v>
      </c>
      <c r="D392" s="31" t="s">
        <v>131</v>
      </c>
      <c r="E392" s="33">
        <v>9198</v>
      </c>
      <c r="F392" s="34">
        <v>144</v>
      </c>
    </row>
    <row r="393" spans="1:6" x14ac:dyDescent="0.3">
      <c r="A393" s="35" t="s">
        <v>19</v>
      </c>
      <c r="B393" s="36" t="s">
        <v>25</v>
      </c>
      <c r="C393" s="36" t="s">
        <v>87</v>
      </c>
      <c r="D393" s="36" t="s">
        <v>114</v>
      </c>
      <c r="E393" s="38">
        <v>11823</v>
      </c>
      <c r="F393" s="39">
        <v>47</v>
      </c>
    </row>
    <row r="394" spans="1:6" x14ac:dyDescent="0.3">
      <c r="A394" s="30" t="s">
        <v>58</v>
      </c>
      <c r="B394" s="31" t="s">
        <v>15</v>
      </c>
      <c r="C394" s="31" t="s">
        <v>42</v>
      </c>
      <c r="D394" s="32">
        <v>44839</v>
      </c>
      <c r="E394" s="33">
        <v>5775</v>
      </c>
      <c r="F394" s="34">
        <v>41</v>
      </c>
    </row>
    <row r="395" spans="1:6" x14ac:dyDescent="0.3">
      <c r="A395" s="35" t="s">
        <v>40</v>
      </c>
      <c r="B395" s="36" t="s">
        <v>15</v>
      </c>
      <c r="C395" s="36" t="s">
        <v>50</v>
      </c>
      <c r="D395" s="36" t="s">
        <v>142</v>
      </c>
      <c r="E395" s="38">
        <v>13125</v>
      </c>
      <c r="F395" s="39">
        <v>275</v>
      </c>
    </row>
    <row r="396" spans="1:6" x14ac:dyDescent="0.3">
      <c r="A396" s="30" t="s">
        <v>41</v>
      </c>
      <c r="B396" s="31" t="s">
        <v>35</v>
      </c>
      <c r="C396" s="31" t="s">
        <v>18</v>
      </c>
      <c r="D396" s="31" t="s">
        <v>56</v>
      </c>
      <c r="E396" s="33">
        <v>14287</v>
      </c>
      <c r="F396" s="34">
        <v>370</v>
      </c>
    </row>
    <row r="397" spans="1:6" x14ac:dyDescent="0.3">
      <c r="A397" s="35" t="s">
        <v>28</v>
      </c>
      <c r="B397" s="36" t="s">
        <v>32</v>
      </c>
      <c r="C397" s="36" t="s">
        <v>42</v>
      </c>
      <c r="D397" s="36" t="s">
        <v>99</v>
      </c>
      <c r="E397" s="38">
        <v>16233</v>
      </c>
      <c r="F397" s="39">
        <v>138</v>
      </c>
    </row>
    <row r="398" spans="1:6" x14ac:dyDescent="0.3">
      <c r="A398" s="30" t="s">
        <v>45</v>
      </c>
      <c r="B398" s="31" t="s">
        <v>25</v>
      </c>
      <c r="C398" s="31" t="s">
        <v>87</v>
      </c>
      <c r="D398" s="31" t="s">
        <v>125</v>
      </c>
      <c r="E398" s="33">
        <v>5313</v>
      </c>
      <c r="F398" s="34">
        <v>215</v>
      </c>
    </row>
    <row r="399" spans="1:6" x14ac:dyDescent="0.3">
      <c r="A399" s="35" t="s">
        <v>9</v>
      </c>
      <c r="B399" s="36" t="s">
        <v>7</v>
      </c>
      <c r="C399" s="36" t="s">
        <v>11</v>
      </c>
      <c r="D399" s="37">
        <v>44872</v>
      </c>
      <c r="E399" s="38">
        <v>3577</v>
      </c>
      <c r="F399" s="39">
        <v>134</v>
      </c>
    </row>
    <row r="400" spans="1:6" x14ac:dyDescent="0.3">
      <c r="A400" s="30" t="s">
        <v>40</v>
      </c>
      <c r="B400" s="31" t="s">
        <v>35</v>
      </c>
      <c r="C400" s="31" t="s">
        <v>50</v>
      </c>
      <c r="D400" s="32">
        <v>44621</v>
      </c>
      <c r="E400" s="33">
        <v>3528</v>
      </c>
      <c r="F400" s="34">
        <v>336</v>
      </c>
    </row>
    <row r="401" spans="1:6" x14ac:dyDescent="0.3">
      <c r="A401" s="35" t="s">
        <v>29</v>
      </c>
      <c r="B401" s="36" t="s">
        <v>25</v>
      </c>
      <c r="C401" s="36" t="s">
        <v>100</v>
      </c>
      <c r="D401" s="36" t="s">
        <v>69</v>
      </c>
      <c r="E401" s="38">
        <v>679</v>
      </c>
      <c r="F401" s="39">
        <v>280</v>
      </c>
    </row>
    <row r="402" spans="1:6" x14ac:dyDescent="0.3">
      <c r="A402" s="30" t="s">
        <v>41</v>
      </c>
      <c r="B402" s="31" t="s">
        <v>32</v>
      </c>
      <c r="C402" s="31" t="s">
        <v>26</v>
      </c>
      <c r="D402" s="31" t="s">
        <v>39</v>
      </c>
      <c r="E402" s="33">
        <v>2450</v>
      </c>
      <c r="F402" s="34">
        <v>352</v>
      </c>
    </row>
    <row r="403" spans="1:6" x14ac:dyDescent="0.3">
      <c r="A403" s="35" t="s">
        <v>28</v>
      </c>
      <c r="B403" s="36" t="s">
        <v>32</v>
      </c>
      <c r="C403" s="36" t="s">
        <v>8</v>
      </c>
      <c r="D403" s="36" t="s">
        <v>99</v>
      </c>
      <c r="E403" s="38">
        <v>10577</v>
      </c>
      <c r="F403" s="39">
        <v>150</v>
      </c>
    </row>
    <row r="404" spans="1:6" x14ac:dyDescent="0.3">
      <c r="A404" s="30" t="s">
        <v>37</v>
      </c>
      <c r="B404" s="31" t="s">
        <v>25</v>
      </c>
      <c r="C404" s="31" t="s">
        <v>36</v>
      </c>
      <c r="D404" s="32">
        <v>44717</v>
      </c>
      <c r="E404" s="33">
        <v>2597</v>
      </c>
      <c r="F404" s="34">
        <v>177</v>
      </c>
    </row>
    <row r="405" spans="1:6" x14ac:dyDescent="0.3">
      <c r="A405" s="35" t="s">
        <v>31</v>
      </c>
      <c r="B405" s="36" t="s">
        <v>10</v>
      </c>
      <c r="C405" s="36" t="s">
        <v>38</v>
      </c>
      <c r="D405" s="36" t="s">
        <v>107</v>
      </c>
      <c r="E405" s="38">
        <v>2219</v>
      </c>
      <c r="F405" s="39">
        <v>142</v>
      </c>
    </row>
    <row r="406" spans="1:6" x14ac:dyDescent="0.3">
      <c r="A406" s="30" t="s">
        <v>40</v>
      </c>
      <c r="B406" s="31" t="s">
        <v>7</v>
      </c>
      <c r="C406" s="31" t="s">
        <v>33</v>
      </c>
      <c r="D406" s="32">
        <v>44718</v>
      </c>
      <c r="E406" s="33">
        <v>11319</v>
      </c>
      <c r="F406" s="34">
        <v>12</v>
      </c>
    </row>
    <row r="407" spans="1:6" x14ac:dyDescent="0.3">
      <c r="A407" s="35" t="s">
        <v>28</v>
      </c>
      <c r="B407" s="36" t="s">
        <v>25</v>
      </c>
      <c r="C407" s="36" t="s">
        <v>87</v>
      </c>
      <c r="D407" s="37">
        <v>44902</v>
      </c>
      <c r="E407" s="38">
        <v>5978</v>
      </c>
      <c r="F407" s="39">
        <v>24</v>
      </c>
    </row>
    <row r="408" spans="1:6" x14ac:dyDescent="0.3">
      <c r="A408" s="30" t="s">
        <v>83</v>
      </c>
      <c r="B408" s="31" t="s">
        <v>35</v>
      </c>
      <c r="C408" s="31" t="s">
        <v>50</v>
      </c>
      <c r="D408" s="32">
        <v>44689</v>
      </c>
      <c r="E408" s="33">
        <v>5327</v>
      </c>
      <c r="F408" s="34">
        <v>183</v>
      </c>
    </row>
    <row r="409" spans="1:6" x14ac:dyDescent="0.3">
      <c r="A409" s="35" t="s">
        <v>28</v>
      </c>
      <c r="B409" s="36" t="s">
        <v>32</v>
      </c>
      <c r="C409" s="36" t="s">
        <v>33</v>
      </c>
      <c r="D409" s="36" t="s">
        <v>107</v>
      </c>
      <c r="E409" s="38">
        <v>6020</v>
      </c>
      <c r="F409" s="39">
        <v>147</v>
      </c>
    </row>
    <row r="410" spans="1:6" x14ac:dyDescent="0.3">
      <c r="A410" s="30" t="s">
        <v>55</v>
      </c>
      <c r="B410" s="31" t="s">
        <v>10</v>
      </c>
      <c r="C410" s="31" t="s">
        <v>50</v>
      </c>
      <c r="D410" s="31" t="s">
        <v>150</v>
      </c>
      <c r="E410" s="33">
        <v>5614</v>
      </c>
      <c r="F410" s="34">
        <v>137</v>
      </c>
    </row>
    <row r="411" spans="1:6" x14ac:dyDescent="0.3">
      <c r="A411" s="35" t="s">
        <v>34</v>
      </c>
      <c r="B411" s="36" t="s">
        <v>32</v>
      </c>
      <c r="C411" s="36" t="s">
        <v>26</v>
      </c>
      <c r="D411" s="36" t="s">
        <v>81</v>
      </c>
      <c r="E411" s="38">
        <v>1736</v>
      </c>
      <c r="F411" s="39">
        <v>13</v>
      </c>
    </row>
    <row r="412" spans="1:6" x14ac:dyDescent="0.3">
      <c r="A412" s="30" t="s">
        <v>34</v>
      </c>
      <c r="B412" s="31" t="s">
        <v>7</v>
      </c>
      <c r="C412" s="31" t="s">
        <v>8</v>
      </c>
      <c r="D412" s="31" t="s">
        <v>63</v>
      </c>
      <c r="E412" s="33">
        <v>6384</v>
      </c>
      <c r="F412" s="34">
        <v>2</v>
      </c>
    </row>
    <row r="413" spans="1:6" x14ac:dyDescent="0.3">
      <c r="A413" s="35" t="s">
        <v>41</v>
      </c>
      <c r="B413" s="36" t="s">
        <v>10</v>
      </c>
      <c r="C413" s="36" t="s">
        <v>75</v>
      </c>
      <c r="D413" s="36" t="s">
        <v>17</v>
      </c>
      <c r="E413" s="38">
        <v>3577</v>
      </c>
      <c r="F413" s="39">
        <v>261</v>
      </c>
    </row>
    <row r="414" spans="1:6" x14ac:dyDescent="0.3">
      <c r="A414" s="30" t="s">
        <v>77</v>
      </c>
      <c r="B414" s="31" t="s">
        <v>7</v>
      </c>
      <c r="C414" s="31" t="s">
        <v>18</v>
      </c>
      <c r="D414" s="32">
        <v>44654</v>
      </c>
      <c r="E414" s="33">
        <v>14539</v>
      </c>
      <c r="F414" s="34">
        <v>84</v>
      </c>
    </row>
    <row r="415" spans="1:6" x14ac:dyDescent="0.3">
      <c r="A415" s="35" t="s">
        <v>12</v>
      </c>
      <c r="B415" s="36" t="s">
        <v>10</v>
      </c>
      <c r="C415" s="36" t="s">
        <v>36</v>
      </c>
      <c r="D415" s="36" t="s">
        <v>146</v>
      </c>
      <c r="E415" s="38">
        <v>3493</v>
      </c>
      <c r="F415" s="39">
        <v>68</v>
      </c>
    </row>
    <row r="416" spans="1:6" x14ac:dyDescent="0.3">
      <c r="A416" s="30" t="s">
        <v>29</v>
      </c>
      <c r="B416" s="31" t="s">
        <v>15</v>
      </c>
      <c r="C416" s="31" t="s">
        <v>42</v>
      </c>
      <c r="D416" s="31" t="s">
        <v>43</v>
      </c>
      <c r="E416" s="33">
        <v>994</v>
      </c>
      <c r="F416" s="34">
        <v>105</v>
      </c>
    </row>
    <row r="417" spans="1:6" x14ac:dyDescent="0.3">
      <c r="A417" s="35" t="s">
        <v>19</v>
      </c>
      <c r="B417" s="36" t="s">
        <v>25</v>
      </c>
      <c r="C417" s="36" t="s">
        <v>59</v>
      </c>
      <c r="D417" s="37">
        <v>44840</v>
      </c>
      <c r="E417" s="38">
        <v>4361</v>
      </c>
      <c r="F417" s="39">
        <v>40</v>
      </c>
    </row>
    <row r="418" spans="1:6" x14ac:dyDescent="0.3">
      <c r="A418" s="30" t="s">
        <v>67</v>
      </c>
      <c r="B418" s="31" t="s">
        <v>7</v>
      </c>
      <c r="C418" s="31" t="s">
        <v>38</v>
      </c>
      <c r="D418" s="31" t="s">
        <v>136</v>
      </c>
      <c r="E418" s="33">
        <v>1554</v>
      </c>
      <c r="F418" s="34">
        <v>65</v>
      </c>
    </row>
    <row r="419" spans="1:6" x14ac:dyDescent="0.3">
      <c r="A419" s="35" t="s">
        <v>70</v>
      </c>
      <c r="B419" s="36" t="s">
        <v>10</v>
      </c>
      <c r="C419" s="36" t="s">
        <v>46</v>
      </c>
      <c r="D419" s="36" t="s">
        <v>74</v>
      </c>
      <c r="E419" s="38">
        <v>966</v>
      </c>
      <c r="F419" s="39">
        <v>107</v>
      </c>
    </row>
    <row r="420" spans="1:6" x14ac:dyDescent="0.3">
      <c r="A420" s="30" t="s">
        <v>37</v>
      </c>
      <c r="B420" s="31" t="s">
        <v>25</v>
      </c>
      <c r="C420" s="31" t="s">
        <v>90</v>
      </c>
      <c r="D420" s="31" t="s">
        <v>96</v>
      </c>
      <c r="E420" s="33">
        <v>5334</v>
      </c>
      <c r="F420" s="34">
        <v>227</v>
      </c>
    </row>
    <row r="421" spans="1:6" x14ac:dyDescent="0.3">
      <c r="A421" s="35" t="s">
        <v>67</v>
      </c>
      <c r="B421" s="36" t="s">
        <v>25</v>
      </c>
      <c r="C421" s="36" t="s">
        <v>42</v>
      </c>
      <c r="D421" s="37">
        <v>44654</v>
      </c>
      <c r="E421" s="38">
        <v>4935</v>
      </c>
      <c r="F421" s="39">
        <v>39</v>
      </c>
    </row>
    <row r="422" spans="1:6" x14ac:dyDescent="0.3">
      <c r="A422" s="30" t="s">
        <v>31</v>
      </c>
      <c r="B422" s="31" t="s">
        <v>25</v>
      </c>
      <c r="C422" s="31" t="s">
        <v>23</v>
      </c>
      <c r="D422" s="31" t="s">
        <v>81</v>
      </c>
      <c r="E422" s="33">
        <v>10024</v>
      </c>
      <c r="F422" s="34">
        <v>84</v>
      </c>
    </row>
    <row r="423" spans="1:6" x14ac:dyDescent="0.3">
      <c r="A423" s="35" t="s">
        <v>41</v>
      </c>
      <c r="B423" s="36" t="s">
        <v>7</v>
      </c>
      <c r="C423" s="36" t="s">
        <v>65</v>
      </c>
      <c r="D423" s="36" t="s">
        <v>86</v>
      </c>
      <c r="E423" s="38">
        <v>2506</v>
      </c>
      <c r="F423" s="39">
        <v>100</v>
      </c>
    </row>
    <row r="424" spans="1:6" x14ac:dyDescent="0.3">
      <c r="A424" s="30" t="s">
        <v>19</v>
      </c>
      <c r="B424" s="31" t="s">
        <v>15</v>
      </c>
      <c r="C424" s="31" t="s">
        <v>73</v>
      </c>
      <c r="D424" s="31" t="s">
        <v>51</v>
      </c>
      <c r="E424" s="33">
        <v>1043</v>
      </c>
      <c r="F424" s="34">
        <v>120</v>
      </c>
    </row>
    <row r="425" spans="1:6" x14ac:dyDescent="0.3">
      <c r="A425" s="35" t="s">
        <v>58</v>
      </c>
      <c r="B425" s="36" t="s">
        <v>32</v>
      </c>
      <c r="C425" s="36" t="s">
        <v>73</v>
      </c>
      <c r="D425" s="36" t="s">
        <v>115</v>
      </c>
      <c r="E425" s="38">
        <v>6524</v>
      </c>
      <c r="F425" s="39">
        <v>257</v>
      </c>
    </row>
    <row r="426" spans="1:6" x14ac:dyDescent="0.3">
      <c r="A426" s="30" t="s">
        <v>45</v>
      </c>
      <c r="B426" s="31" t="s">
        <v>35</v>
      </c>
      <c r="C426" s="31" t="s">
        <v>33</v>
      </c>
      <c r="D426" s="32">
        <v>44806</v>
      </c>
      <c r="E426" s="33">
        <v>8148</v>
      </c>
      <c r="F426" s="34">
        <v>85</v>
      </c>
    </row>
    <row r="427" spans="1:6" x14ac:dyDescent="0.3">
      <c r="A427" s="35" t="s">
        <v>34</v>
      </c>
      <c r="B427" s="36" t="s">
        <v>35</v>
      </c>
      <c r="C427" s="36" t="s">
        <v>33</v>
      </c>
      <c r="D427" s="36" t="s">
        <v>110</v>
      </c>
      <c r="E427" s="38">
        <v>3577</v>
      </c>
      <c r="F427" s="39">
        <v>178</v>
      </c>
    </row>
    <row r="428" spans="1:6" x14ac:dyDescent="0.3">
      <c r="A428" s="30" t="s">
        <v>77</v>
      </c>
      <c r="B428" s="31" t="s">
        <v>25</v>
      </c>
      <c r="C428" s="31" t="s">
        <v>90</v>
      </c>
      <c r="D428" s="32">
        <v>44563</v>
      </c>
      <c r="E428" s="33">
        <v>3374</v>
      </c>
      <c r="F428" s="34">
        <v>151</v>
      </c>
    </row>
    <row r="429" spans="1:6" x14ac:dyDescent="0.3">
      <c r="A429" s="35" t="s">
        <v>34</v>
      </c>
      <c r="B429" s="36" t="s">
        <v>10</v>
      </c>
      <c r="C429" s="36" t="s">
        <v>38</v>
      </c>
      <c r="D429" s="37">
        <v>44745</v>
      </c>
      <c r="E429" s="38">
        <v>3948</v>
      </c>
      <c r="F429" s="39">
        <v>142</v>
      </c>
    </row>
    <row r="430" spans="1:6" x14ac:dyDescent="0.3">
      <c r="A430" s="30" t="s">
        <v>83</v>
      </c>
      <c r="B430" s="31" t="s">
        <v>7</v>
      </c>
      <c r="C430" s="31" t="s">
        <v>59</v>
      </c>
      <c r="D430" s="32">
        <v>44621</v>
      </c>
      <c r="E430" s="33">
        <v>3269</v>
      </c>
      <c r="F430" s="34">
        <v>226</v>
      </c>
    </row>
    <row r="431" spans="1:6" x14ac:dyDescent="0.3">
      <c r="A431" s="35" t="s">
        <v>83</v>
      </c>
      <c r="B431" s="36" t="s">
        <v>32</v>
      </c>
      <c r="C431" s="36" t="s">
        <v>59</v>
      </c>
      <c r="D431" s="37">
        <v>44867</v>
      </c>
      <c r="E431" s="38">
        <v>5271</v>
      </c>
      <c r="F431" s="39">
        <v>341</v>
      </c>
    </row>
    <row r="432" spans="1:6" x14ac:dyDescent="0.3">
      <c r="A432" s="30" t="s">
        <v>58</v>
      </c>
      <c r="B432" s="31" t="s">
        <v>25</v>
      </c>
      <c r="C432" s="31" t="s">
        <v>33</v>
      </c>
      <c r="D432" s="31" t="s">
        <v>108</v>
      </c>
      <c r="E432" s="33">
        <v>4571</v>
      </c>
      <c r="F432" s="34">
        <v>140</v>
      </c>
    </row>
    <row r="433" spans="1:6" x14ac:dyDescent="0.3">
      <c r="A433" s="35" t="s">
        <v>79</v>
      </c>
      <c r="B433" s="36" t="s">
        <v>10</v>
      </c>
      <c r="C433" s="36" t="s">
        <v>59</v>
      </c>
      <c r="D433" s="36" t="s">
        <v>112</v>
      </c>
      <c r="E433" s="38">
        <v>12327</v>
      </c>
      <c r="F433" s="39">
        <v>330</v>
      </c>
    </row>
    <row r="434" spans="1:6" x14ac:dyDescent="0.3">
      <c r="A434" s="30" t="s">
        <v>12</v>
      </c>
      <c r="B434" s="31" t="s">
        <v>10</v>
      </c>
      <c r="C434" s="31" t="s">
        <v>60</v>
      </c>
      <c r="D434" s="32">
        <v>44900</v>
      </c>
      <c r="E434" s="33">
        <v>4935</v>
      </c>
      <c r="F434" s="34">
        <v>73</v>
      </c>
    </row>
    <row r="435" spans="1:6" x14ac:dyDescent="0.3">
      <c r="A435" s="35" t="s">
        <v>9</v>
      </c>
      <c r="B435" s="36" t="s">
        <v>10</v>
      </c>
      <c r="C435" s="36" t="s">
        <v>50</v>
      </c>
      <c r="D435" s="37">
        <v>44869</v>
      </c>
      <c r="E435" s="38">
        <v>6167</v>
      </c>
      <c r="F435" s="39">
        <v>4</v>
      </c>
    </row>
    <row r="436" spans="1:6" x14ac:dyDescent="0.3">
      <c r="A436" s="30" t="s">
        <v>14</v>
      </c>
      <c r="B436" s="31" t="s">
        <v>25</v>
      </c>
      <c r="C436" s="31" t="s">
        <v>8</v>
      </c>
      <c r="D436" s="31" t="s">
        <v>66</v>
      </c>
      <c r="E436" s="33">
        <v>18340</v>
      </c>
      <c r="F436" s="34">
        <v>285</v>
      </c>
    </row>
    <row r="437" spans="1:6" x14ac:dyDescent="0.3">
      <c r="A437" s="35" t="s">
        <v>79</v>
      </c>
      <c r="B437" s="36" t="s">
        <v>25</v>
      </c>
      <c r="C437" s="36" t="s">
        <v>59</v>
      </c>
      <c r="D437" s="36" t="s">
        <v>61</v>
      </c>
      <c r="E437" s="38">
        <v>7014</v>
      </c>
      <c r="F437" s="39">
        <v>60</v>
      </c>
    </row>
    <row r="438" spans="1:6" x14ac:dyDescent="0.3">
      <c r="A438" s="30" t="s">
        <v>29</v>
      </c>
      <c r="B438" s="31" t="s">
        <v>35</v>
      </c>
      <c r="C438" s="31" t="s">
        <v>90</v>
      </c>
      <c r="D438" s="32">
        <v>44569</v>
      </c>
      <c r="E438" s="33">
        <v>7119</v>
      </c>
      <c r="F438" s="34">
        <v>101</v>
      </c>
    </row>
    <row r="439" spans="1:6" x14ac:dyDescent="0.3">
      <c r="A439" s="35" t="s">
        <v>55</v>
      </c>
      <c r="B439" s="36" t="s">
        <v>32</v>
      </c>
      <c r="C439" s="36" t="s">
        <v>46</v>
      </c>
      <c r="D439" s="36" t="s">
        <v>61</v>
      </c>
      <c r="E439" s="38">
        <v>15491</v>
      </c>
      <c r="F439" s="39">
        <v>58</v>
      </c>
    </row>
    <row r="440" spans="1:6" x14ac:dyDescent="0.3">
      <c r="A440" s="30" t="s">
        <v>28</v>
      </c>
      <c r="B440" s="31" t="s">
        <v>10</v>
      </c>
      <c r="C440" s="31" t="s">
        <v>23</v>
      </c>
      <c r="D440" s="31" t="s">
        <v>111</v>
      </c>
      <c r="E440" s="33">
        <v>5747</v>
      </c>
      <c r="F440" s="34">
        <v>45</v>
      </c>
    </row>
    <row r="441" spans="1:6" x14ac:dyDescent="0.3">
      <c r="A441" s="35" t="s">
        <v>19</v>
      </c>
      <c r="B441" s="36" t="s">
        <v>25</v>
      </c>
      <c r="C441" s="36" t="s">
        <v>73</v>
      </c>
      <c r="D441" s="36" t="s">
        <v>130</v>
      </c>
      <c r="E441" s="38">
        <v>4550</v>
      </c>
      <c r="F441" s="39">
        <v>281</v>
      </c>
    </row>
    <row r="442" spans="1:6" x14ac:dyDescent="0.3">
      <c r="A442" s="30" t="s">
        <v>58</v>
      </c>
      <c r="B442" s="31" t="s">
        <v>32</v>
      </c>
      <c r="C442" s="31" t="s">
        <v>38</v>
      </c>
      <c r="D442" s="32">
        <v>44839</v>
      </c>
      <c r="E442" s="33">
        <v>2191</v>
      </c>
      <c r="F442" s="34">
        <v>138</v>
      </c>
    </row>
    <row r="443" spans="1:6" x14ac:dyDescent="0.3">
      <c r="A443" s="35" t="s">
        <v>19</v>
      </c>
      <c r="B443" s="36" t="s">
        <v>10</v>
      </c>
      <c r="C443" s="36" t="s">
        <v>36</v>
      </c>
      <c r="D443" s="36" t="s">
        <v>103</v>
      </c>
      <c r="E443" s="38">
        <v>5663</v>
      </c>
      <c r="F443" s="39">
        <v>322</v>
      </c>
    </row>
    <row r="444" spans="1:6" x14ac:dyDescent="0.3">
      <c r="A444" s="30" t="s">
        <v>83</v>
      </c>
      <c r="B444" s="31" t="s">
        <v>25</v>
      </c>
      <c r="C444" s="31" t="s">
        <v>42</v>
      </c>
      <c r="D444" s="31" t="s">
        <v>82</v>
      </c>
      <c r="E444" s="33">
        <v>7623</v>
      </c>
      <c r="F444" s="34">
        <v>85</v>
      </c>
    </row>
    <row r="445" spans="1:6" x14ac:dyDescent="0.3">
      <c r="A445" s="35" t="s">
        <v>12</v>
      </c>
      <c r="B445" s="36" t="s">
        <v>7</v>
      </c>
      <c r="C445" s="36" t="s">
        <v>87</v>
      </c>
      <c r="D445" s="36" t="s">
        <v>86</v>
      </c>
      <c r="E445" s="38">
        <v>9023</v>
      </c>
      <c r="F445" s="39">
        <v>409</v>
      </c>
    </row>
    <row r="446" spans="1:6" x14ac:dyDescent="0.3">
      <c r="A446" s="30" t="s">
        <v>14</v>
      </c>
      <c r="B446" s="31" t="s">
        <v>15</v>
      </c>
      <c r="C446" s="31" t="s">
        <v>26</v>
      </c>
      <c r="D446" s="31" t="s">
        <v>127</v>
      </c>
      <c r="E446" s="33">
        <v>3402</v>
      </c>
      <c r="F446" s="34">
        <v>182</v>
      </c>
    </row>
    <row r="447" spans="1:6" x14ac:dyDescent="0.3">
      <c r="A447" s="35" t="s">
        <v>41</v>
      </c>
      <c r="B447" s="36" t="s">
        <v>15</v>
      </c>
      <c r="C447" s="36" t="s">
        <v>18</v>
      </c>
      <c r="D447" s="36" t="s">
        <v>21</v>
      </c>
      <c r="E447" s="38">
        <v>10507</v>
      </c>
      <c r="F447" s="39">
        <v>467</v>
      </c>
    </row>
    <row r="448" spans="1:6" x14ac:dyDescent="0.3">
      <c r="A448" s="30" t="s">
        <v>83</v>
      </c>
      <c r="B448" s="31" t="s">
        <v>32</v>
      </c>
      <c r="C448" s="31" t="s">
        <v>42</v>
      </c>
      <c r="D448" s="31" t="s">
        <v>39</v>
      </c>
      <c r="E448" s="33">
        <v>7721</v>
      </c>
      <c r="F448" s="34">
        <v>14</v>
      </c>
    </row>
    <row r="449" spans="1:6" x14ac:dyDescent="0.3">
      <c r="A449" s="35" t="s">
        <v>28</v>
      </c>
      <c r="B449" s="36" t="s">
        <v>35</v>
      </c>
      <c r="C449" s="36" t="s">
        <v>8</v>
      </c>
      <c r="D449" s="36" t="s">
        <v>107</v>
      </c>
      <c r="E449" s="38">
        <v>5033</v>
      </c>
      <c r="F449" s="39">
        <v>178</v>
      </c>
    </row>
    <row r="450" spans="1:6" x14ac:dyDescent="0.3">
      <c r="A450" s="30" t="s">
        <v>55</v>
      </c>
      <c r="B450" s="31" t="s">
        <v>7</v>
      </c>
      <c r="C450" s="31" t="s">
        <v>33</v>
      </c>
      <c r="D450" s="31" t="s">
        <v>63</v>
      </c>
      <c r="E450" s="33">
        <v>1960</v>
      </c>
      <c r="F450" s="34">
        <v>191</v>
      </c>
    </row>
    <row r="451" spans="1:6" x14ac:dyDescent="0.3">
      <c r="A451" s="35" t="s">
        <v>37</v>
      </c>
      <c r="B451" s="36" t="s">
        <v>15</v>
      </c>
      <c r="C451" s="36" t="s">
        <v>100</v>
      </c>
      <c r="D451" s="36" t="s">
        <v>143</v>
      </c>
      <c r="E451" s="38">
        <v>238</v>
      </c>
      <c r="F451" s="39">
        <v>317</v>
      </c>
    </row>
    <row r="452" spans="1:6" x14ac:dyDescent="0.3">
      <c r="A452" s="30" t="s">
        <v>22</v>
      </c>
      <c r="B452" s="31" t="s">
        <v>35</v>
      </c>
      <c r="C452" s="31" t="s">
        <v>8</v>
      </c>
      <c r="D452" s="32">
        <v>44568</v>
      </c>
      <c r="E452" s="33">
        <v>7756</v>
      </c>
      <c r="F452" s="34">
        <v>410</v>
      </c>
    </row>
    <row r="453" spans="1:6" x14ac:dyDescent="0.3">
      <c r="A453" s="35" t="s">
        <v>45</v>
      </c>
      <c r="B453" s="36" t="s">
        <v>32</v>
      </c>
      <c r="C453" s="36" t="s">
        <v>13</v>
      </c>
      <c r="D453" s="36" t="s">
        <v>104</v>
      </c>
      <c r="E453" s="38">
        <v>1736</v>
      </c>
      <c r="F453" s="39">
        <v>137</v>
      </c>
    </row>
    <row r="454" spans="1:6" x14ac:dyDescent="0.3">
      <c r="A454" s="30" t="s">
        <v>48</v>
      </c>
      <c r="B454" s="31" t="s">
        <v>35</v>
      </c>
      <c r="C454" s="31" t="s">
        <v>18</v>
      </c>
      <c r="D454" s="32">
        <v>44569</v>
      </c>
      <c r="E454" s="33">
        <v>2660</v>
      </c>
      <c r="F454" s="34">
        <v>12</v>
      </c>
    </row>
    <row r="455" spans="1:6" x14ac:dyDescent="0.3">
      <c r="A455" s="35" t="s">
        <v>19</v>
      </c>
      <c r="B455" s="36" t="s">
        <v>15</v>
      </c>
      <c r="C455" s="36" t="s">
        <v>46</v>
      </c>
      <c r="D455" s="36" t="s">
        <v>146</v>
      </c>
      <c r="E455" s="38">
        <v>7672</v>
      </c>
      <c r="F455" s="39">
        <v>254</v>
      </c>
    </row>
    <row r="456" spans="1:6" x14ac:dyDescent="0.3">
      <c r="A456" s="30" t="s">
        <v>71</v>
      </c>
      <c r="B456" s="31" t="s">
        <v>25</v>
      </c>
      <c r="C456" s="31" t="s">
        <v>50</v>
      </c>
      <c r="D456" s="31" t="s">
        <v>21</v>
      </c>
      <c r="E456" s="33">
        <v>11564</v>
      </c>
      <c r="F456" s="34">
        <v>24</v>
      </c>
    </row>
    <row r="457" spans="1:6" x14ac:dyDescent="0.3">
      <c r="A457" s="35" t="s">
        <v>12</v>
      </c>
      <c r="B457" s="36" t="s">
        <v>7</v>
      </c>
      <c r="C457" s="36" t="s">
        <v>46</v>
      </c>
      <c r="D457" s="36" t="s">
        <v>144</v>
      </c>
      <c r="E457" s="38">
        <v>1365</v>
      </c>
      <c r="F457" s="39">
        <v>232</v>
      </c>
    </row>
    <row r="458" spans="1:6" x14ac:dyDescent="0.3">
      <c r="A458" s="30" t="s">
        <v>67</v>
      </c>
      <c r="B458" s="31" t="s">
        <v>15</v>
      </c>
      <c r="C458" s="31" t="s">
        <v>11</v>
      </c>
      <c r="D458" s="31" t="s">
        <v>98</v>
      </c>
      <c r="E458" s="33">
        <v>4186</v>
      </c>
      <c r="F458" s="34">
        <v>233</v>
      </c>
    </row>
    <row r="459" spans="1:6" x14ac:dyDescent="0.3">
      <c r="A459" s="35" t="s">
        <v>71</v>
      </c>
      <c r="B459" s="36" t="s">
        <v>15</v>
      </c>
      <c r="C459" s="36" t="s">
        <v>18</v>
      </c>
      <c r="D459" s="37">
        <v>44623</v>
      </c>
      <c r="E459" s="38">
        <v>7406</v>
      </c>
      <c r="F459" s="39">
        <v>118</v>
      </c>
    </row>
    <row r="460" spans="1:6" x14ac:dyDescent="0.3">
      <c r="A460" s="30" t="s">
        <v>45</v>
      </c>
      <c r="B460" s="31" t="s">
        <v>10</v>
      </c>
      <c r="C460" s="31" t="s">
        <v>90</v>
      </c>
      <c r="D460" s="31" t="s">
        <v>52</v>
      </c>
      <c r="E460" s="33">
        <v>8911</v>
      </c>
      <c r="F460" s="34">
        <v>543</v>
      </c>
    </row>
    <row r="461" spans="1:6" x14ac:dyDescent="0.3">
      <c r="A461" s="35" t="s">
        <v>37</v>
      </c>
      <c r="B461" s="36" t="s">
        <v>32</v>
      </c>
      <c r="C461" s="36" t="s">
        <v>38</v>
      </c>
      <c r="D461" s="36" t="s">
        <v>63</v>
      </c>
      <c r="E461" s="38">
        <v>112</v>
      </c>
      <c r="F461" s="39">
        <v>223</v>
      </c>
    </row>
    <row r="462" spans="1:6" x14ac:dyDescent="0.3">
      <c r="A462" s="30" t="s">
        <v>67</v>
      </c>
      <c r="B462" s="31" t="s">
        <v>35</v>
      </c>
      <c r="C462" s="31" t="s">
        <v>42</v>
      </c>
      <c r="D462" s="32">
        <v>44652</v>
      </c>
      <c r="E462" s="33">
        <v>8204</v>
      </c>
      <c r="F462" s="34">
        <v>204</v>
      </c>
    </row>
    <row r="463" spans="1:6" x14ac:dyDescent="0.3">
      <c r="A463" s="35" t="s">
        <v>6</v>
      </c>
      <c r="B463" s="36" t="s">
        <v>15</v>
      </c>
      <c r="C463" s="36" t="s">
        <v>38</v>
      </c>
      <c r="D463" s="36" t="s">
        <v>122</v>
      </c>
      <c r="E463" s="38">
        <v>2611</v>
      </c>
      <c r="F463" s="39">
        <v>65</v>
      </c>
    </row>
    <row r="464" spans="1:6" x14ac:dyDescent="0.3">
      <c r="A464" s="30" t="s">
        <v>37</v>
      </c>
      <c r="B464" s="31" t="s">
        <v>32</v>
      </c>
      <c r="C464" s="31" t="s">
        <v>8</v>
      </c>
      <c r="D464" s="31" t="s">
        <v>149</v>
      </c>
      <c r="E464" s="33">
        <v>15652</v>
      </c>
      <c r="F464" s="34">
        <v>53</v>
      </c>
    </row>
    <row r="465" spans="1:6" x14ac:dyDescent="0.3">
      <c r="A465" s="35" t="s">
        <v>48</v>
      </c>
      <c r="B465" s="36" t="s">
        <v>25</v>
      </c>
      <c r="C465" s="36" t="s">
        <v>50</v>
      </c>
      <c r="D465" s="37">
        <v>44835</v>
      </c>
      <c r="E465" s="38">
        <v>4074</v>
      </c>
      <c r="F465" s="39">
        <v>469</v>
      </c>
    </row>
    <row r="466" spans="1:6" x14ac:dyDescent="0.3">
      <c r="A466" s="30" t="s">
        <v>77</v>
      </c>
      <c r="B466" s="31" t="s">
        <v>32</v>
      </c>
      <c r="C466" s="31" t="s">
        <v>59</v>
      </c>
      <c r="D466" s="32">
        <v>44656</v>
      </c>
      <c r="E466" s="33">
        <v>12250</v>
      </c>
      <c r="F466" s="34">
        <v>213</v>
      </c>
    </row>
    <row r="467" spans="1:6" x14ac:dyDescent="0.3">
      <c r="A467" s="35" t="s">
        <v>67</v>
      </c>
      <c r="B467" s="36" t="s">
        <v>32</v>
      </c>
      <c r="C467" s="36" t="s">
        <v>50</v>
      </c>
      <c r="D467" s="36" t="s">
        <v>136</v>
      </c>
      <c r="E467" s="38">
        <v>2366</v>
      </c>
      <c r="F467" s="39">
        <v>5</v>
      </c>
    </row>
    <row r="468" spans="1:6" x14ac:dyDescent="0.3">
      <c r="A468" s="30" t="s">
        <v>31</v>
      </c>
      <c r="B468" s="31" t="s">
        <v>25</v>
      </c>
      <c r="C468" s="31" t="s">
        <v>57</v>
      </c>
      <c r="D468" s="31" t="s">
        <v>151</v>
      </c>
      <c r="E468" s="33">
        <v>1687</v>
      </c>
      <c r="F468" s="34">
        <v>147</v>
      </c>
    </row>
    <row r="469" spans="1:6" x14ac:dyDescent="0.3">
      <c r="A469" s="35" t="s">
        <v>19</v>
      </c>
      <c r="B469" s="36" t="s">
        <v>35</v>
      </c>
      <c r="C469" s="36" t="s">
        <v>42</v>
      </c>
      <c r="D469" s="37">
        <v>44688</v>
      </c>
      <c r="E469" s="38">
        <v>1232</v>
      </c>
      <c r="F469" s="39">
        <v>74</v>
      </c>
    </row>
    <row r="470" spans="1:6" x14ac:dyDescent="0.3">
      <c r="A470" s="30" t="s">
        <v>77</v>
      </c>
      <c r="B470" s="31" t="s">
        <v>7</v>
      </c>
      <c r="C470" s="31" t="s">
        <v>42</v>
      </c>
      <c r="D470" s="31" t="s">
        <v>141</v>
      </c>
      <c r="E470" s="33">
        <v>6965</v>
      </c>
      <c r="F470" s="34">
        <v>163</v>
      </c>
    </row>
    <row r="471" spans="1:6" x14ac:dyDescent="0.3">
      <c r="A471" s="35" t="s">
        <v>79</v>
      </c>
      <c r="B471" s="36" t="s">
        <v>32</v>
      </c>
      <c r="C471" s="36" t="s">
        <v>8</v>
      </c>
      <c r="D471" s="36" t="s">
        <v>109</v>
      </c>
      <c r="E471" s="38">
        <v>5292</v>
      </c>
      <c r="F471" s="39">
        <v>248</v>
      </c>
    </row>
    <row r="472" spans="1:6" x14ac:dyDescent="0.3">
      <c r="A472" s="30" t="s">
        <v>70</v>
      </c>
      <c r="B472" s="31" t="s">
        <v>32</v>
      </c>
      <c r="C472" s="31" t="s">
        <v>33</v>
      </c>
      <c r="D472" s="32">
        <v>44622</v>
      </c>
      <c r="E472" s="33">
        <v>1379</v>
      </c>
      <c r="F472" s="34">
        <v>138</v>
      </c>
    </row>
    <row r="473" spans="1:6" x14ac:dyDescent="0.3">
      <c r="A473" s="35" t="s">
        <v>12</v>
      </c>
      <c r="B473" s="36" t="s">
        <v>15</v>
      </c>
      <c r="C473" s="36" t="s">
        <v>90</v>
      </c>
      <c r="D473" s="37">
        <v>44780</v>
      </c>
      <c r="E473" s="38">
        <v>8001</v>
      </c>
      <c r="F473" s="39">
        <v>151</v>
      </c>
    </row>
    <row r="474" spans="1:6" x14ac:dyDescent="0.3">
      <c r="A474" s="30" t="s">
        <v>34</v>
      </c>
      <c r="B474" s="31" t="s">
        <v>10</v>
      </c>
      <c r="C474" s="31" t="s">
        <v>26</v>
      </c>
      <c r="D474" s="31" t="s">
        <v>126</v>
      </c>
      <c r="E474" s="33">
        <v>588</v>
      </c>
      <c r="F474" s="34">
        <v>139</v>
      </c>
    </row>
    <row r="475" spans="1:6" x14ac:dyDescent="0.3">
      <c r="A475" s="35" t="s">
        <v>9</v>
      </c>
      <c r="B475" s="36" t="s">
        <v>25</v>
      </c>
      <c r="C475" s="36" t="s">
        <v>8</v>
      </c>
      <c r="D475" s="36" t="s">
        <v>49</v>
      </c>
      <c r="E475" s="38">
        <v>4046</v>
      </c>
      <c r="F475" s="39">
        <v>103</v>
      </c>
    </row>
    <row r="476" spans="1:6" x14ac:dyDescent="0.3">
      <c r="A476" s="30" t="s">
        <v>9</v>
      </c>
      <c r="B476" s="31" t="s">
        <v>10</v>
      </c>
      <c r="C476" s="31" t="s">
        <v>26</v>
      </c>
      <c r="D476" s="31" t="s">
        <v>130</v>
      </c>
      <c r="E476" s="33">
        <v>5103</v>
      </c>
      <c r="F476" s="34">
        <v>129</v>
      </c>
    </row>
    <row r="477" spans="1:6" x14ac:dyDescent="0.3">
      <c r="A477" s="35" t="s">
        <v>9</v>
      </c>
      <c r="B477" s="36" t="s">
        <v>32</v>
      </c>
      <c r="C477" s="36" t="s">
        <v>60</v>
      </c>
      <c r="D477" s="36" t="s">
        <v>126</v>
      </c>
      <c r="E477" s="38">
        <v>2317</v>
      </c>
      <c r="F477" s="39">
        <v>102</v>
      </c>
    </row>
    <row r="478" spans="1:6" x14ac:dyDescent="0.3">
      <c r="A478" s="30" t="s">
        <v>64</v>
      </c>
      <c r="B478" s="31" t="s">
        <v>32</v>
      </c>
      <c r="C478" s="31" t="s">
        <v>33</v>
      </c>
      <c r="D478" s="31" t="s">
        <v>56</v>
      </c>
      <c r="E478" s="33">
        <v>7042</v>
      </c>
      <c r="F478" s="34">
        <v>37</v>
      </c>
    </row>
    <row r="479" spans="1:6" x14ac:dyDescent="0.3">
      <c r="A479" s="35" t="s">
        <v>31</v>
      </c>
      <c r="B479" s="36" t="s">
        <v>25</v>
      </c>
      <c r="C479" s="36" t="s">
        <v>36</v>
      </c>
      <c r="D479" s="36" t="s">
        <v>102</v>
      </c>
      <c r="E479" s="38">
        <v>6713</v>
      </c>
      <c r="F479" s="39">
        <v>31</v>
      </c>
    </row>
    <row r="480" spans="1:6" x14ac:dyDescent="0.3">
      <c r="A480" s="30" t="s">
        <v>12</v>
      </c>
      <c r="B480" s="31" t="s">
        <v>32</v>
      </c>
      <c r="C480" s="31" t="s">
        <v>23</v>
      </c>
      <c r="D480" s="31" t="s">
        <v>122</v>
      </c>
      <c r="E480" s="33">
        <v>1848</v>
      </c>
      <c r="F480" s="34">
        <v>227</v>
      </c>
    </row>
    <row r="481" spans="1:6" x14ac:dyDescent="0.3">
      <c r="A481" s="35" t="s">
        <v>31</v>
      </c>
      <c r="B481" s="36" t="s">
        <v>25</v>
      </c>
      <c r="C481" s="36" t="s">
        <v>8</v>
      </c>
      <c r="D481" s="36" t="s">
        <v>109</v>
      </c>
      <c r="E481" s="38">
        <v>6440</v>
      </c>
      <c r="F481" s="39">
        <v>145</v>
      </c>
    </row>
    <row r="482" spans="1:6" x14ac:dyDescent="0.3">
      <c r="A482" s="30" t="s">
        <v>58</v>
      </c>
      <c r="B482" s="31" t="s">
        <v>35</v>
      </c>
      <c r="C482" s="31" t="s">
        <v>11</v>
      </c>
      <c r="D482" s="32">
        <v>44569</v>
      </c>
      <c r="E482" s="33">
        <v>10885</v>
      </c>
      <c r="F482" s="34">
        <v>90</v>
      </c>
    </row>
    <row r="483" spans="1:6" x14ac:dyDescent="0.3">
      <c r="A483" s="35" t="s">
        <v>41</v>
      </c>
      <c r="B483" s="36" t="s">
        <v>25</v>
      </c>
      <c r="C483" s="36" t="s">
        <v>18</v>
      </c>
      <c r="D483" s="36" t="s">
        <v>72</v>
      </c>
      <c r="E483" s="38">
        <v>2387</v>
      </c>
      <c r="F483" s="39">
        <v>59</v>
      </c>
    </row>
    <row r="484" spans="1:6" x14ac:dyDescent="0.3">
      <c r="A484" s="30" t="s">
        <v>53</v>
      </c>
      <c r="B484" s="31" t="s">
        <v>32</v>
      </c>
      <c r="C484" s="31" t="s">
        <v>59</v>
      </c>
      <c r="D484" s="31" t="s">
        <v>94</v>
      </c>
      <c r="E484" s="33">
        <v>2030</v>
      </c>
      <c r="F484" s="34">
        <v>60</v>
      </c>
    </row>
    <row r="485" spans="1:6" x14ac:dyDescent="0.3">
      <c r="A485" s="35" t="s">
        <v>67</v>
      </c>
      <c r="B485" s="36" t="s">
        <v>15</v>
      </c>
      <c r="C485" s="36" t="s">
        <v>13</v>
      </c>
      <c r="D485" s="36" t="s">
        <v>27</v>
      </c>
      <c r="E485" s="38">
        <v>6678</v>
      </c>
      <c r="F485" s="39">
        <v>148</v>
      </c>
    </row>
    <row r="486" spans="1:6" x14ac:dyDescent="0.3">
      <c r="A486" s="30" t="s">
        <v>58</v>
      </c>
      <c r="B486" s="31" t="s">
        <v>10</v>
      </c>
      <c r="C486" s="31" t="s">
        <v>11</v>
      </c>
      <c r="D486" s="31" t="s">
        <v>66</v>
      </c>
      <c r="E486" s="33">
        <v>4515</v>
      </c>
      <c r="F486" s="34">
        <v>22</v>
      </c>
    </row>
    <row r="487" spans="1:6" x14ac:dyDescent="0.3">
      <c r="A487" s="35" t="s">
        <v>48</v>
      </c>
      <c r="B487" s="36" t="s">
        <v>7</v>
      </c>
      <c r="C487" s="36" t="s">
        <v>26</v>
      </c>
      <c r="D487" s="37">
        <v>44776</v>
      </c>
      <c r="E487" s="38">
        <v>3374</v>
      </c>
      <c r="F487" s="39">
        <v>142</v>
      </c>
    </row>
    <row r="488" spans="1:6" x14ac:dyDescent="0.3">
      <c r="A488" s="30" t="s">
        <v>22</v>
      </c>
      <c r="B488" s="31" t="s">
        <v>32</v>
      </c>
      <c r="C488" s="31" t="s">
        <v>57</v>
      </c>
      <c r="D488" s="32">
        <v>44807</v>
      </c>
      <c r="E488" s="33">
        <v>5852</v>
      </c>
      <c r="F488" s="34">
        <v>93</v>
      </c>
    </row>
    <row r="489" spans="1:6" x14ac:dyDescent="0.3">
      <c r="A489" s="35" t="s">
        <v>19</v>
      </c>
      <c r="B489" s="36" t="s">
        <v>35</v>
      </c>
      <c r="C489" s="36" t="s">
        <v>73</v>
      </c>
      <c r="D489" s="36" t="s">
        <v>111</v>
      </c>
      <c r="E489" s="38">
        <v>1750</v>
      </c>
      <c r="F489" s="39">
        <v>208</v>
      </c>
    </row>
    <row r="490" spans="1:6" x14ac:dyDescent="0.3">
      <c r="A490" s="30" t="s">
        <v>12</v>
      </c>
      <c r="B490" s="31" t="s">
        <v>7</v>
      </c>
      <c r="C490" s="31" t="s">
        <v>38</v>
      </c>
      <c r="D490" s="31" t="s">
        <v>66</v>
      </c>
      <c r="E490" s="33">
        <v>5782</v>
      </c>
      <c r="F490" s="34">
        <v>42</v>
      </c>
    </row>
    <row r="491" spans="1:6" x14ac:dyDescent="0.3">
      <c r="A491" s="35" t="s">
        <v>70</v>
      </c>
      <c r="B491" s="36" t="s">
        <v>10</v>
      </c>
      <c r="C491" s="36" t="s">
        <v>8</v>
      </c>
      <c r="D491" s="36" t="s">
        <v>39</v>
      </c>
      <c r="E491" s="38">
        <v>2870</v>
      </c>
      <c r="F491" s="39">
        <v>120</v>
      </c>
    </row>
    <row r="492" spans="1:6" x14ac:dyDescent="0.3">
      <c r="A492" s="30" t="s">
        <v>37</v>
      </c>
      <c r="B492" s="31" t="s">
        <v>35</v>
      </c>
      <c r="C492" s="31" t="s">
        <v>13</v>
      </c>
      <c r="D492" s="32">
        <v>44903</v>
      </c>
      <c r="E492" s="33">
        <v>3094</v>
      </c>
      <c r="F492" s="34">
        <v>159</v>
      </c>
    </row>
    <row r="493" spans="1:6" x14ac:dyDescent="0.3">
      <c r="A493" s="35" t="s">
        <v>31</v>
      </c>
      <c r="B493" s="36" t="s">
        <v>7</v>
      </c>
      <c r="C493" s="36" t="s">
        <v>8</v>
      </c>
      <c r="D493" s="37">
        <v>44749</v>
      </c>
      <c r="E493" s="38">
        <v>3724</v>
      </c>
      <c r="F493" s="39">
        <v>316</v>
      </c>
    </row>
    <row r="494" spans="1:6" x14ac:dyDescent="0.3">
      <c r="A494" s="30" t="s">
        <v>31</v>
      </c>
      <c r="B494" s="31" t="s">
        <v>32</v>
      </c>
      <c r="C494" s="31" t="s">
        <v>11</v>
      </c>
      <c r="D494" s="31" t="s">
        <v>103</v>
      </c>
      <c r="E494" s="33">
        <v>12761</v>
      </c>
      <c r="F494" s="34">
        <v>47</v>
      </c>
    </row>
    <row r="495" spans="1:6" x14ac:dyDescent="0.3">
      <c r="A495" s="35" t="s">
        <v>53</v>
      </c>
      <c r="B495" s="36" t="s">
        <v>35</v>
      </c>
      <c r="C495" s="36" t="s">
        <v>36</v>
      </c>
      <c r="D495" s="36" t="s">
        <v>152</v>
      </c>
      <c r="E495" s="38">
        <v>3696</v>
      </c>
      <c r="F495" s="39">
        <v>233</v>
      </c>
    </row>
    <row r="496" spans="1:6" x14ac:dyDescent="0.3">
      <c r="A496" s="30" t="s">
        <v>14</v>
      </c>
      <c r="B496" s="31" t="s">
        <v>15</v>
      </c>
      <c r="C496" s="31" t="s">
        <v>100</v>
      </c>
      <c r="D496" s="32">
        <v>44654</v>
      </c>
      <c r="E496" s="33">
        <v>5222</v>
      </c>
      <c r="F496" s="34">
        <v>384</v>
      </c>
    </row>
    <row r="497" spans="1:6" x14ac:dyDescent="0.3">
      <c r="A497" s="35" t="s">
        <v>40</v>
      </c>
      <c r="B497" s="36" t="s">
        <v>25</v>
      </c>
      <c r="C497" s="36" t="s">
        <v>57</v>
      </c>
      <c r="D497" s="36" t="s">
        <v>103</v>
      </c>
      <c r="E497" s="38">
        <v>8939</v>
      </c>
      <c r="F497" s="39">
        <v>4</v>
      </c>
    </row>
    <row r="498" spans="1:6" x14ac:dyDescent="0.3">
      <c r="A498" s="30" t="s">
        <v>83</v>
      </c>
      <c r="B498" s="31" t="s">
        <v>7</v>
      </c>
      <c r="C498" s="31" t="s">
        <v>13</v>
      </c>
      <c r="D498" s="31" t="s">
        <v>74</v>
      </c>
      <c r="E498" s="33">
        <v>2156</v>
      </c>
      <c r="F498" s="34">
        <v>260</v>
      </c>
    </row>
    <row r="499" spans="1:6" x14ac:dyDescent="0.3">
      <c r="A499" s="35" t="s">
        <v>55</v>
      </c>
      <c r="B499" s="36" t="s">
        <v>32</v>
      </c>
      <c r="C499" s="36" t="s">
        <v>42</v>
      </c>
      <c r="D499" s="37">
        <v>44868</v>
      </c>
      <c r="E499" s="38">
        <v>2380</v>
      </c>
      <c r="F499" s="39">
        <v>22</v>
      </c>
    </row>
    <row r="500" spans="1:6" x14ac:dyDescent="0.3">
      <c r="A500" s="30" t="s">
        <v>71</v>
      </c>
      <c r="B500" s="31" t="s">
        <v>32</v>
      </c>
      <c r="C500" s="31" t="s">
        <v>73</v>
      </c>
      <c r="D500" s="31" t="s">
        <v>119</v>
      </c>
      <c r="E500" s="33">
        <v>3339</v>
      </c>
      <c r="F500" s="34">
        <v>18</v>
      </c>
    </row>
    <row r="501" spans="1:6" x14ac:dyDescent="0.3">
      <c r="A501" s="35" t="s">
        <v>28</v>
      </c>
      <c r="B501" s="36" t="s">
        <v>25</v>
      </c>
      <c r="C501" s="36" t="s">
        <v>60</v>
      </c>
      <c r="D501" s="36" t="s">
        <v>127</v>
      </c>
      <c r="E501" s="38">
        <v>14980</v>
      </c>
      <c r="F501" s="39">
        <v>42</v>
      </c>
    </row>
    <row r="502" spans="1:6" x14ac:dyDescent="0.3">
      <c r="A502" s="30" t="s">
        <v>6</v>
      </c>
      <c r="B502" s="31" t="s">
        <v>25</v>
      </c>
      <c r="C502" s="31" t="s">
        <v>23</v>
      </c>
      <c r="D502" s="31" t="s">
        <v>91</v>
      </c>
      <c r="E502" s="33">
        <v>1512</v>
      </c>
      <c r="F502" s="34">
        <v>73</v>
      </c>
    </row>
    <row r="503" spans="1:6" x14ac:dyDescent="0.3">
      <c r="A503" s="35" t="s">
        <v>6</v>
      </c>
      <c r="B503" s="36" t="s">
        <v>32</v>
      </c>
      <c r="C503" s="36" t="s">
        <v>18</v>
      </c>
      <c r="D503" s="37">
        <v>44749</v>
      </c>
      <c r="E503" s="38">
        <v>6657</v>
      </c>
      <c r="F503" s="39">
        <v>154</v>
      </c>
    </row>
    <row r="504" spans="1:6" x14ac:dyDescent="0.3">
      <c r="A504" s="30" t="s">
        <v>77</v>
      </c>
      <c r="B504" s="31" t="s">
        <v>10</v>
      </c>
      <c r="C504" s="31" t="s">
        <v>8</v>
      </c>
      <c r="D504" s="31" t="s">
        <v>69</v>
      </c>
      <c r="E504" s="33">
        <v>3836</v>
      </c>
      <c r="F504" s="34">
        <v>71</v>
      </c>
    </row>
    <row r="505" spans="1:6" x14ac:dyDescent="0.3">
      <c r="A505" s="35" t="s">
        <v>6</v>
      </c>
      <c r="B505" s="36" t="s">
        <v>10</v>
      </c>
      <c r="C505" s="36" t="s">
        <v>36</v>
      </c>
      <c r="D505" s="36" t="s">
        <v>17</v>
      </c>
      <c r="E505" s="38">
        <v>8771</v>
      </c>
      <c r="F505" s="39">
        <v>127</v>
      </c>
    </row>
    <row r="506" spans="1:6" x14ac:dyDescent="0.3">
      <c r="A506" s="30" t="s">
        <v>37</v>
      </c>
      <c r="B506" s="31" t="s">
        <v>35</v>
      </c>
      <c r="C506" s="31" t="s">
        <v>73</v>
      </c>
      <c r="D506" s="32">
        <v>44809</v>
      </c>
      <c r="E506" s="33">
        <v>651</v>
      </c>
      <c r="F506" s="34">
        <v>224</v>
      </c>
    </row>
    <row r="507" spans="1:6" x14ac:dyDescent="0.3">
      <c r="A507" s="35" t="s">
        <v>55</v>
      </c>
      <c r="B507" s="36" t="s">
        <v>15</v>
      </c>
      <c r="C507" s="36" t="s">
        <v>100</v>
      </c>
      <c r="D507" s="37">
        <v>44775</v>
      </c>
      <c r="E507" s="38">
        <v>6706</v>
      </c>
      <c r="F507" s="39">
        <v>223</v>
      </c>
    </row>
    <row r="508" spans="1:6" x14ac:dyDescent="0.3">
      <c r="A508" s="30" t="s">
        <v>45</v>
      </c>
      <c r="B508" s="31" t="s">
        <v>7</v>
      </c>
      <c r="C508" s="31" t="s">
        <v>100</v>
      </c>
      <c r="D508" s="31" t="s">
        <v>24</v>
      </c>
      <c r="E508" s="33">
        <v>1421</v>
      </c>
      <c r="F508" s="34">
        <v>284</v>
      </c>
    </row>
    <row r="509" spans="1:6" x14ac:dyDescent="0.3">
      <c r="A509" s="35" t="s">
        <v>29</v>
      </c>
      <c r="B509" s="36" t="s">
        <v>32</v>
      </c>
      <c r="C509" s="36" t="s">
        <v>38</v>
      </c>
      <c r="D509" s="36" t="s">
        <v>92</v>
      </c>
      <c r="E509" s="38">
        <v>8526</v>
      </c>
      <c r="F509" s="39">
        <v>73</v>
      </c>
    </row>
    <row r="510" spans="1:6" x14ac:dyDescent="0.3">
      <c r="A510" s="30" t="s">
        <v>34</v>
      </c>
      <c r="B510" s="31" t="s">
        <v>35</v>
      </c>
      <c r="C510" s="31" t="s">
        <v>60</v>
      </c>
      <c r="D510" s="32">
        <v>44745</v>
      </c>
      <c r="E510" s="33">
        <v>1435</v>
      </c>
      <c r="F510" s="34">
        <v>112</v>
      </c>
    </row>
    <row r="511" spans="1:6" x14ac:dyDescent="0.3">
      <c r="A511" s="35" t="s">
        <v>55</v>
      </c>
      <c r="B511" s="36" t="s">
        <v>15</v>
      </c>
      <c r="C511" s="36" t="s">
        <v>57</v>
      </c>
      <c r="D511" s="36" t="s">
        <v>92</v>
      </c>
      <c r="E511" s="38">
        <v>7434</v>
      </c>
      <c r="F511" s="39">
        <v>85</v>
      </c>
    </row>
    <row r="512" spans="1:6" x14ac:dyDescent="0.3">
      <c r="A512" s="30" t="s">
        <v>19</v>
      </c>
      <c r="B512" s="31" t="s">
        <v>25</v>
      </c>
      <c r="C512" s="31" t="s">
        <v>42</v>
      </c>
      <c r="D512" s="31" t="s">
        <v>51</v>
      </c>
      <c r="E512" s="33">
        <v>15316</v>
      </c>
      <c r="F512" s="34">
        <v>270</v>
      </c>
    </row>
    <row r="513" spans="1:6" x14ac:dyDescent="0.3">
      <c r="A513" s="35" t="s">
        <v>77</v>
      </c>
      <c r="B513" s="36" t="s">
        <v>7</v>
      </c>
      <c r="C513" s="36" t="s">
        <v>20</v>
      </c>
      <c r="D513" s="36" t="s">
        <v>43</v>
      </c>
      <c r="E513" s="38">
        <v>10479</v>
      </c>
      <c r="F513" s="39">
        <v>45</v>
      </c>
    </row>
    <row r="514" spans="1:6" x14ac:dyDescent="0.3">
      <c r="A514" s="30" t="s">
        <v>77</v>
      </c>
      <c r="B514" s="31" t="s">
        <v>15</v>
      </c>
      <c r="C514" s="31" t="s">
        <v>8</v>
      </c>
      <c r="D514" s="32">
        <v>44597</v>
      </c>
      <c r="E514" s="33">
        <v>2751</v>
      </c>
      <c r="F514" s="34">
        <v>153</v>
      </c>
    </row>
    <row r="515" spans="1:6" x14ac:dyDescent="0.3">
      <c r="A515" s="35" t="s">
        <v>48</v>
      </c>
      <c r="B515" s="36" t="s">
        <v>35</v>
      </c>
      <c r="C515" s="36" t="s">
        <v>20</v>
      </c>
      <c r="D515" s="37">
        <v>44749</v>
      </c>
      <c r="E515" s="38">
        <v>12586</v>
      </c>
      <c r="F515" s="39">
        <v>7</v>
      </c>
    </row>
    <row r="516" spans="1:6" x14ac:dyDescent="0.3">
      <c r="A516" s="30" t="s">
        <v>29</v>
      </c>
      <c r="B516" s="31" t="s">
        <v>15</v>
      </c>
      <c r="C516" s="31" t="s">
        <v>87</v>
      </c>
      <c r="D516" s="31" t="s">
        <v>78</v>
      </c>
      <c r="E516" s="33">
        <v>2786</v>
      </c>
      <c r="F516" s="34">
        <v>51</v>
      </c>
    </row>
    <row r="517" spans="1:6" x14ac:dyDescent="0.3">
      <c r="A517" s="35" t="s">
        <v>37</v>
      </c>
      <c r="B517" s="36" t="s">
        <v>15</v>
      </c>
      <c r="C517" s="36" t="s">
        <v>23</v>
      </c>
      <c r="D517" s="37">
        <v>44873</v>
      </c>
      <c r="E517" s="38">
        <v>2303</v>
      </c>
      <c r="F517" s="39">
        <v>67</v>
      </c>
    </row>
    <row r="518" spans="1:6" x14ac:dyDescent="0.3">
      <c r="A518" s="30" t="s">
        <v>40</v>
      </c>
      <c r="B518" s="31" t="s">
        <v>7</v>
      </c>
      <c r="C518" s="31" t="s">
        <v>20</v>
      </c>
      <c r="D518" s="31" t="s">
        <v>30</v>
      </c>
      <c r="E518" s="33">
        <v>8113</v>
      </c>
      <c r="F518" s="34">
        <v>194</v>
      </c>
    </row>
    <row r="519" spans="1:6" x14ac:dyDescent="0.3">
      <c r="A519" s="35" t="s">
        <v>22</v>
      </c>
      <c r="B519" s="36" t="s">
        <v>15</v>
      </c>
      <c r="C519" s="36" t="s">
        <v>26</v>
      </c>
      <c r="D519" s="37">
        <v>44595</v>
      </c>
      <c r="E519" s="38">
        <v>12271</v>
      </c>
      <c r="F519" s="39">
        <v>116</v>
      </c>
    </row>
    <row r="520" spans="1:6" x14ac:dyDescent="0.3">
      <c r="A520" s="30" t="s">
        <v>40</v>
      </c>
      <c r="B520" s="31" t="s">
        <v>15</v>
      </c>
      <c r="C520" s="31" t="s">
        <v>75</v>
      </c>
      <c r="D520" s="31" t="s">
        <v>129</v>
      </c>
      <c r="E520" s="33">
        <v>11298</v>
      </c>
      <c r="F520" s="34">
        <v>41</v>
      </c>
    </row>
    <row r="521" spans="1:6" x14ac:dyDescent="0.3">
      <c r="A521" s="35" t="s">
        <v>70</v>
      </c>
      <c r="B521" s="36" t="s">
        <v>25</v>
      </c>
      <c r="C521" s="36" t="s">
        <v>38</v>
      </c>
      <c r="D521" s="37">
        <v>44837</v>
      </c>
      <c r="E521" s="38">
        <v>15855</v>
      </c>
      <c r="F521" s="39">
        <v>111</v>
      </c>
    </row>
    <row r="522" spans="1:6" x14ac:dyDescent="0.3">
      <c r="A522" s="30" t="s">
        <v>41</v>
      </c>
      <c r="B522" s="31" t="s">
        <v>32</v>
      </c>
      <c r="C522" s="31" t="s">
        <v>11</v>
      </c>
      <c r="D522" s="31" t="s">
        <v>98</v>
      </c>
      <c r="E522" s="33">
        <v>12404</v>
      </c>
      <c r="F522" s="34">
        <v>334</v>
      </c>
    </row>
    <row r="523" spans="1:6" x14ac:dyDescent="0.3">
      <c r="A523" s="35" t="s">
        <v>45</v>
      </c>
      <c r="B523" s="36" t="s">
        <v>32</v>
      </c>
      <c r="C523" s="36" t="s">
        <v>36</v>
      </c>
      <c r="D523" s="36" t="s">
        <v>114</v>
      </c>
      <c r="E523" s="38">
        <v>3990</v>
      </c>
      <c r="F523" s="39">
        <v>155</v>
      </c>
    </row>
    <row r="524" spans="1:6" x14ac:dyDescent="0.3">
      <c r="A524" s="30" t="s">
        <v>58</v>
      </c>
      <c r="B524" s="31" t="s">
        <v>7</v>
      </c>
      <c r="C524" s="31" t="s">
        <v>46</v>
      </c>
      <c r="D524" s="32">
        <v>44745</v>
      </c>
      <c r="E524" s="33">
        <v>10808</v>
      </c>
      <c r="F524" s="34">
        <v>407</v>
      </c>
    </row>
    <row r="525" spans="1:6" x14ac:dyDescent="0.3">
      <c r="A525" s="35" t="s">
        <v>64</v>
      </c>
      <c r="B525" s="36" t="s">
        <v>7</v>
      </c>
      <c r="C525" s="36" t="s">
        <v>42</v>
      </c>
      <c r="D525" s="37">
        <v>44902</v>
      </c>
      <c r="E525" s="38">
        <v>4858</v>
      </c>
      <c r="F525" s="39">
        <v>52</v>
      </c>
    </row>
    <row r="526" spans="1:6" x14ac:dyDescent="0.3">
      <c r="A526" s="30" t="s">
        <v>77</v>
      </c>
      <c r="B526" s="31" t="s">
        <v>32</v>
      </c>
      <c r="C526" s="31" t="s">
        <v>33</v>
      </c>
      <c r="D526" s="31" t="s">
        <v>86</v>
      </c>
      <c r="E526" s="33">
        <v>7742</v>
      </c>
      <c r="F526" s="34">
        <v>138</v>
      </c>
    </row>
    <row r="527" spans="1:6" x14ac:dyDescent="0.3">
      <c r="A527" s="35" t="s">
        <v>22</v>
      </c>
      <c r="B527" s="36" t="s">
        <v>10</v>
      </c>
      <c r="C527" s="36" t="s">
        <v>18</v>
      </c>
      <c r="D527" s="37">
        <v>44595</v>
      </c>
      <c r="E527" s="38">
        <v>3752</v>
      </c>
      <c r="F527" s="39">
        <v>70</v>
      </c>
    </row>
    <row r="528" spans="1:6" x14ac:dyDescent="0.3">
      <c r="A528" s="30" t="s">
        <v>40</v>
      </c>
      <c r="B528" s="31" t="s">
        <v>25</v>
      </c>
      <c r="C528" s="31" t="s">
        <v>11</v>
      </c>
      <c r="D528" s="31" t="s">
        <v>52</v>
      </c>
      <c r="E528" s="33">
        <v>1218</v>
      </c>
      <c r="F528" s="34">
        <v>149</v>
      </c>
    </row>
    <row r="529" spans="1:6" x14ac:dyDescent="0.3">
      <c r="A529" s="35" t="s">
        <v>40</v>
      </c>
      <c r="B529" s="36" t="s">
        <v>7</v>
      </c>
      <c r="C529" s="36" t="s">
        <v>60</v>
      </c>
      <c r="D529" s="37">
        <v>44840</v>
      </c>
      <c r="E529" s="38">
        <v>10983</v>
      </c>
      <c r="F529" s="39">
        <v>179</v>
      </c>
    </row>
    <row r="530" spans="1:6" x14ac:dyDescent="0.3">
      <c r="A530" s="30" t="s">
        <v>28</v>
      </c>
      <c r="B530" s="31" t="s">
        <v>32</v>
      </c>
      <c r="C530" s="31" t="s">
        <v>20</v>
      </c>
      <c r="D530" s="31" t="s">
        <v>113</v>
      </c>
      <c r="E530" s="33">
        <v>6769</v>
      </c>
      <c r="F530" s="34">
        <v>353</v>
      </c>
    </row>
    <row r="531" spans="1:6" x14ac:dyDescent="0.3">
      <c r="A531" s="35" t="s">
        <v>41</v>
      </c>
      <c r="B531" s="36" t="s">
        <v>25</v>
      </c>
      <c r="C531" s="36" t="s">
        <v>8</v>
      </c>
      <c r="D531" s="37">
        <v>44810</v>
      </c>
      <c r="E531" s="38">
        <v>4361</v>
      </c>
      <c r="F531" s="39">
        <v>97</v>
      </c>
    </row>
    <row r="532" spans="1:6" x14ac:dyDescent="0.3">
      <c r="A532" s="30" t="s">
        <v>58</v>
      </c>
      <c r="B532" s="31" t="s">
        <v>32</v>
      </c>
      <c r="C532" s="31" t="s">
        <v>46</v>
      </c>
      <c r="D532" s="32">
        <v>44900</v>
      </c>
      <c r="E532" s="33">
        <v>777</v>
      </c>
      <c r="F532" s="34">
        <v>60</v>
      </c>
    </row>
    <row r="533" spans="1:6" x14ac:dyDescent="0.3">
      <c r="A533" s="35" t="s">
        <v>22</v>
      </c>
      <c r="B533" s="36" t="s">
        <v>32</v>
      </c>
      <c r="C533" s="36" t="s">
        <v>38</v>
      </c>
      <c r="D533" s="37">
        <v>44809</v>
      </c>
      <c r="E533" s="38">
        <v>3843</v>
      </c>
      <c r="F533" s="39">
        <v>5</v>
      </c>
    </row>
    <row r="534" spans="1:6" x14ac:dyDescent="0.3">
      <c r="A534" s="30" t="s">
        <v>28</v>
      </c>
      <c r="B534" s="31" t="s">
        <v>35</v>
      </c>
      <c r="C534" s="31" t="s">
        <v>60</v>
      </c>
      <c r="D534" s="32">
        <v>44812</v>
      </c>
      <c r="E534" s="33">
        <v>6930</v>
      </c>
      <c r="F534" s="34">
        <v>182</v>
      </c>
    </row>
    <row r="535" spans="1:6" x14ac:dyDescent="0.3">
      <c r="A535" s="35" t="s">
        <v>9</v>
      </c>
      <c r="B535" s="36" t="s">
        <v>10</v>
      </c>
      <c r="C535" s="36" t="s">
        <v>75</v>
      </c>
      <c r="D535" s="36" t="s">
        <v>121</v>
      </c>
      <c r="E535" s="38">
        <v>5733</v>
      </c>
      <c r="F535" s="39">
        <v>114</v>
      </c>
    </row>
    <row r="536" spans="1:6" x14ac:dyDescent="0.3">
      <c r="A536" s="30" t="s">
        <v>67</v>
      </c>
      <c r="B536" s="31" t="s">
        <v>32</v>
      </c>
      <c r="C536" s="31" t="s">
        <v>90</v>
      </c>
      <c r="D536" s="32">
        <v>44597</v>
      </c>
      <c r="E536" s="33">
        <v>8393</v>
      </c>
      <c r="F536" s="34">
        <v>46</v>
      </c>
    </row>
    <row r="537" spans="1:6" x14ac:dyDescent="0.3">
      <c r="A537" s="35" t="s">
        <v>79</v>
      </c>
      <c r="B537" s="36" t="s">
        <v>32</v>
      </c>
      <c r="C537" s="36" t="s">
        <v>20</v>
      </c>
      <c r="D537" s="37">
        <v>44812</v>
      </c>
      <c r="E537" s="38">
        <v>3822</v>
      </c>
      <c r="F537" s="39">
        <v>320</v>
      </c>
    </row>
    <row r="538" spans="1:6" x14ac:dyDescent="0.3">
      <c r="A538" s="30" t="s">
        <v>71</v>
      </c>
      <c r="B538" s="31" t="s">
        <v>15</v>
      </c>
      <c r="C538" s="31" t="s">
        <v>73</v>
      </c>
      <c r="D538" s="31" t="s">
        <v>98</v>
      </c>
      <c r="E538" s="33">
        <v>6342</v>
      </c>
      <c r="F538" s="34">
        <v>178</v>
      </c>
    </row>
    <row r="539" spans="1:6" x14ac:dyDescent="0.3">
      <c r="A539" s="35" t="s">
        <v>22</v>
      </c>
      <c r="B539" s="36" t="s">
        <v>10</v>
      </c>
      <c r="C539" s="36" t="s">
        <v>50</v>
      </c>
      <c r="D539" s="36" t="s">
        <v>130</v>
      </c>
      <c r="E539" s="38">
        <v>6510</v>
      </c>
      <c r="F539" s="39">
        <v>170</v>
      </c>
    </row>
    <row r="540" spans="1:6" x14ac:dyDescent="0.3">
      <c r="A540" s="30" t="s">
        <v>37</v>
      </c>
      <c r="B540" s="31" t="s">
        <v>32</v>
      </c>
      <c r="C540" s="31" t="s">
        <v>60</v>
      </c>
      <c r="D540" s="32">
        <v>44563</v>
      </c>
      <c r="E540" s="33">
        <v>10171</v>
      </c>
      <c r="F540" s="34">
        <v>67</v>
      </c>
    </row>
    <row r="541" spans="1:6" x14ac:dyDescent="0.3">
      <c r="A541" s="35" t="s">
        <v>71</v>
      </c>
      <c r="B541" s="36" t="s">
        <v>32</v>
      </c>
      <c r="C541" s="36" t="s">
        <v>26</v>
      </c>
      <c r="D541" s="36" t="s">
        <v>142</v>
      </c>
      <c r="E541" s="38">
        <v>5908</v>
      </c>
      <c r="F541" s="39">
        <v>301</v>
      </c>
    </row>
    <row r="542" spans="1:6" x14ac:dyDescent="0.3">
      <c r="A542" s="30" t="s">
        <v>77</v>
      </c>
      <c r="B542" s="31" t="s">
        <v>7</v>
      </c>
      <c r="C542" s="31" t="s">
        <v>75</v>
      </c>
      <c r="D542" s="31" t="s">
        <v>62</v>
      </c>
      <c r="E542" s="33">
        <v>10164</v>
      </c>
      <c r="F542" s="34">
        <v>134</v>
      </c>
    </row>
    <row r="543" spans="1:6" x14ac:dyDescent="0.3">
      <c r="A543" s="35" t="s">
        <v>14</v>
      </c>
      <c r="B543" s="36" t="s">
        <v>35</v>
      </c>
      <c r="C543" s="36" t="s">
        <v>8</v>
      </c>
      <c r="D543" s="37">
        <v>44565</v>
      </c>
      <c r="E543" s="38">
        <v>1064</v>
      </c>
      <c r="F543" s="39">
        <v>211</v>
      </c>
    </row>
    <row r="544" spans="1:6" x14ac:dyDescent="0.3">
      <c r="A544" s="30" t="s">
        <v>71</v>
      </c>
      <c r="B544" s="31" t="s">
        <v>35</v>
      </c>
      <c r="C544" s="31" t="s">
        <v>100</v>
      </c>
      <c r="D544" s="31" t="s">
        <v>129</v>
      </c>
      <c r="E544" s="33">
        <v>9716</v>
      </c>
      <c r="F544" s="34">
        <v>151</v>
      </c>
    </row>
    <row r="545" spans="1:6" x14ac:dyDescent="0.3">
      <c r="A545" s="35" t="s">
        <v>83</v>
      </c>
      <c r="B545" s="36" t="s">
        <v>10</v>
      </c>
      <c r="C545" s="36" t="s">
        <v>13</v>
      </c>
      <c r="D545" s="36" t="s">
        <v>95</v>
      </c>
      <c r="E545" s="38">
        <v>22050</v>
      </c>
      <c r="F545" s="39">
        <v>208</v>
      </c>
    </row>
    <row r="546" spans="1:6" x14ac:dyDescent="0.3">
      <c r="A546" s="30" t="s">
        <v>14</v>
      </c>
      <c r="B546" s="31" t="s">
        <v>10</v>
      </c>
      <c r="C546" s="31" t="s">
        <v>75</v>
      </c>
      <c r="D546" s="32">
        <v>44903</v>
      </c>
      <c r="E546" s="33">
        <v>2541</v>
      </c>
      <c r="F546" s="34">
        <v>134</v>
      </c>
    </row>
    <row r="547" spans="1:6" x14ac:dyDescent="0.3">
      <c r="A547" s="35" t="s">
        <v>12</v>
      </c>
      <c r="B547" s="36" t="s">
        <v>35</v>
      </c>
      <c r="C547" s="36" t="s">
        <v>65</v>
      </c>
      <c r="D547" s="37">
        <v>44563</v>
      </c>
      <c r="E547" s="38">
        <v>9989</v>
      </c>
      <c r="F547" s="39">
        <v>49</v>
      </c>
    </row>
    <row r="548" spans="1:6" x14ac:dyDescent="0.3">
      <c r="A548" s="30" t="s">
        <v>29</v>
      </c>
      <c r="B548" s="31" t="s">
        <v>10</v>
      </c>
      <c r="C548" s="31" t="s">
        <v>23</v>
      </c>
      <c r="D548" s="32">
        <v>44595</v>
      </c>
      <c r="E548" s="33">
        <v>4739</v>
      </c>
      <c r="F548" s="34">
        <v>204</v>
      </c>
    </row>
    <row r="549" spans="1:6" x14ac:dyDescent="0.3">
      <c r="A549" s="35" t="s">
        <v>70</v>
      </c>
      <c r="B549" s="36" t="s">
        <v>15</v>
      </c>
      <c r="C549" s="36" t="s">
        <v>20</v>
      </c>
      <c r="D549" s="36" t="s">
        <v>66</v>
      </c>
      <c r="E549" s="38">
        <v>3185</v>
      </c>
      <c r="F549" s="39">
        <v>34</v>
      </c>
    </row>
    <row r="550" spans="1:6" x14ac:dyDescent="0.3">
      <c r="A550" s="30" t="s">
        <v>79</v>
      </c>
      <c r="B550" s="31" t="s">
        <v>15</v>
      </c>
      <c r="C550" s="31" t="s">
        <v>50</v>
      </c>
      <c r="D550" s="31" t="s">
        <v>152</v>
      </c>
      <c r="E550" s="33">
        <v>8225</v>
      </c>
      <c r="F550" s="34">
        <v>91</v>
      </c>
    </row>
    <row r="551" spans="1:6" x14ac:dyDescent="0.3">
      <c r="A551" s="35" t="s">
        <v>28</v>
      </c>
      <c r="B551" s="36" t="s">
        <v>32</v>
      </c>
      <c r="C551" s="36" t="s">
        <v>46</v>
      </c>
      <c r="D551" s="37">
        <v>44749</v>
      </c>
      <c r="E551" s="38">
        <v>14301</v>
      </c>
      <c r="F551" s="39">
        <v>130</v>
      </c>
    </row>
    <row r="552" spans="1:6" x14ac:dyDescent="0.3">
      <c r="A552" s="30" t="s">
        <v>34</v>
      </c>
      <c r="B552" s="31" t="s">
        <v>25</v>
      </c>
      <c r="C552" s="31" t="s">
        <v>8</v>
      </c>
      <c r="D552" s="31" t="s">
        <v>96</v>
      </c>
      <c r="E552" s="33">
        <v>1316</v>
      </c>
      <c r="F552" s="34">
        <v>107</v>
      </c>
    </row>
    <row r="553" spans="1:6" x14ac:dyDescent="0.3">
      <c r="A553" s="35" t="s">
        <v>41</v>
      </c>
      <c r="B553" s="36" t="s">
        <v>7</v>
      </c>
      <c r="C553" s="36" t="s">
        <v>20</v>
      </c>
      <c r="D553" s="37">
        <v>44842</v>
      </c>
      <c r="E553" s="38">
        <v>3486</v>
      </c>
      <c r="F553" s="39">
        <v>121</v>
      </c>
    </row>
    <row r="554" spans="1:6" x14ac:dyDescent="0.3">
      <c r="A554" s="30" t="s">
        <v>41</v>
      </c>
      <c r="B554" s="31" t="s">
        <v>32</v>
      </c>
      <c r="C554" s="31" t="s">
        <v>13</v>
      </c>
      <c r="D554" s="31" t="s">
        <v>97</v>
      </c>
      <c r="E554" s="33">
        <v>13930</v>
      </c>
      <c r="F554" s="34">
        <v>339</v>
      </c>
    </row>
    <row r="555" spans="1:6" x14ac:dyDescent="0.3">
      <c r="A555" s="35" t="s">
        <v>28</v>
      </c>
      <c r="B555" s="36" t="s">
        <v>25</v>
      </c>
      <c r="C555" s="36" t="s">
        <v>59</v>
      </c>
      <c r="D555" s="36" t="s">
        <v>61</v>
      </c>
      <c r="E555" s="38">
        <v>5509</v>
      </c>
      <c r="F555" s="39">
        <v>321</v>
      </c>
    </row>
    <row r="556" spans="1:6" x14ac:dyDescent="0.3">
      <c r="A556" s="30" t="s">
        <v>40</v>
      </c>
      <c r="B556" s="31" t="s">
        <v>32</v>
      </c>
      <c r="C556" s="31" t="s">
        <v>87</v>
      </c>
      <c r="D556" s="31" t="s">
        <v>43</v>
      </c>
      <c r="E556" s="33">
        <v>8470</v>
      </c>
      <c r="F556" s="34">
        <v>9</v>
      </c>
    </row>
    <row r="557" spans="1:6" x14ac:dyDescent="0.3">
      <c r="A557" s="35" t="s">
        <v>28</v>
      </c>
      <c r="B557" s="36" t="s">
        <v>25</v>
      </c>
      <c r="C557" s="36" t="s">
        <v>8</v>
      </c>
      <c r="D557" s="41">
        <v>44934</v>
      </c>
      <c r="E557" s="38">
        <v>66.349999999999994</v>
      </c>
      <c r="F557" s="39">
        <v>197</v>
      </c>
    </row>
    <row r="558" spans="1:6" x14ac:dyDescent="0.3">
      <c r="A558" s="30" t="s">
        <v>34</v>
      </c>
      <c r="B558" s="31" t="s">
        <v>35</v>
      </c>
      <c r="C558" s="31" t="s">
        <v>59</v>
      </c>
      <c r="D558" s="32">
        <v>44623</v>
      </c>
      <c r="E558" s="33">
        <v>3381</v>
      </c>
      <c r="F558" s="34">
        <v>72</v>
      </c>
    </row>
    <row r="559" spans="1:6" x14ac:dyDescent="0.3">
      <c r="A559" s="35" t="s">
        <v>55</v>
      </c>
      <c r="B559" s="36" t="s">
        <v>15</v>
      </c>
      <c r="C559" s="36" t="s">
        <v>65</v>
      </c>
      <c r="D559" s="36" t="s">
        <v>125</v>
      </c>
      <c r="E559" s="38">
        <v>4102</v>
      </c>
      <c r="F559" s="39">
        <v>392</v>
      </c>
    </row>
    <row r="560" spans="1:6" x14ac:dyDescent="0.3">
      <c r="A560" s="30" t="s">
        <v>19</v>
      </c>
      <c r="B560" s="31" t="s">
        <v>32</v>
      </c>
      <c r="C560" s="31" t="s">
        <v>18</v>
      </c>
      <c r="D560" s="32">
        <v>44654</v>
      </c>
      <c r="E560" s="33">
        <v>3577</v>
      </c>
      <c r="F560" s="34">
        <v>158</v>
      </c>
    </row>
    <row r="561" spans="1:6" x14ac:dyDescent="0.3">
      <c r="A561" s="35" t="s">
        <v>58</v>
      </c>
      <c r="B561" s="36" t="s">
        <v>10</v>
      </c>
      <c r="C561" s="36" t="s">
        <v>18</v>
      </c>
      <c r="D561" s="37">
        <v>44749</v>
      </c>
      <c r="E561" s="38">
        <v>2975</v>
      </c>
      <c r="F561" s="39">
        <v>9</v>
      </c>
    </row>
    <row r="562" spans="1:6" x14ac:dyDescent="0.3">
      <c r="A562" s="30" t="s">
        <v>71</v>
      </c>
      <c r="B562" s="31" t="s">
        <v>25</v>
      </c>
      <c r="C562" s="31" t="s">
        <v>90</v>
      </c>
      <c r="D562" s="31" t="s">
        <v>153</v>
      </c>
      <c r="E562" s="33">
        <v>4137</v>
      </c>
      <c r="F562" s="34">
        <v>347</v>
      </c>
    </row>
    <row r="563" spans="1:6" x14ac:dyDescent="0.3">
      <c r="A563" s="35" t="s">
        <v>14</v>
      </c>
      <c r="B563" s="36" t="s">
        <v>35</v>
      </c>
      <c r="C563" s="36" t="s">
        <v>90</v>
      </c>
      <c r="D563" s="37">
        <v>44600</v>
      </c>
      <c r="E563" s="38">
        <v>9541</v>
      </c>
      <c r="F563" s="39">
        <v>114</v>
      </c>
    </row>
    <row r="564" spans="1:6" x14ac:dyDescent="0.3">
      <c r="A564" s="30" t="s">
        <v>19</v>
      </c>
      <c r="B564" s="31" t="s">
        <v>32</v>
      </c>
      <c r="C564" s="31" t="s">
        <v>87</v>
      </c>
      <c r="D564" s="32">
        <v>44903</v>
      </c>
      <c r="E564" s="33">
        <v>8001</v>
      </c>
      <c r="F564" s="34">
        <v>120</v>
      </c>
    </row>
    <row r="565" spans="1:6" x14ac:dyDescent="0.3">
      <c r="A565" s="35" t="s">
        <v>77</v>
      </c>
      <c r="B565" s="36" t="s">
        <v>25</v>
      </c>
      <c r="C565" s="36" t="s">
        <v>13</v>
      </c>
      <c r="D565" s="36" t="s">
        <v>107</v>
      </c>
      <c r="E565" s="38">
        <v>5152</v>
      </c>
      <c r="F565" s="39">
        <v>333</v>
      </c>
    </row>
    <row r="566" spans="1:6" x14ac:dyDescent="0.3">
      <c r="A566" s="30" t="s">
        <v>70</v>
      </c>
      <c r="B566" s="31" t="s">
        <v>15</v>
      </c>
      <c r="C566" s="31" t="s">
        <v>33</v>
      </c>
      <c r="D566" s="31" t="s">
        <v>116</v>
      </c>
      <c r="E566" s="33">
        <v>11116</v>
      </c>
      <c r="F566" s="34">
        <v>432</v>
      </c>
    </row>
    <row r="567" spans="1:6" x14ac:dyDescent="0.3">
      <c r="A567" s="35" t="s">
        <v>40</v>
      </c>
      <c r="B567" s="36" t="s">
        <v>15</v>
      </c>
      <c r="C567" s="36" t="s">
        <v>60</v>
      </c>
      <c r="D567" s="37">
        <v>44685</v>
      </c>
      <c r="E567" s="38">
        <v>13076</v>
      </c>
      <c r="F567" s="39">
        <v>236</v>
      </c>
    </row>
    <row r="568" spans="1:6" x14ac:dyDescent="0.3">
      <c r="A568" s="30" t="s">
        <v>55</v>
      </c>
      <c r="B568" s="31" t="s">
        <v>35</v>
      </c>
      <c r="C568" s="31" t="s">
        <v>60</v>
      </c>
      <c r="D568" s="31" t="s">
        <v>115</v>
      </c>
      <c r="E568" s="33">
        <v>10213</v>
      </c>
      <c r="F568" s="34">
        <v>135</v>
      </c>
    </row>
    <row r="569" spans="1:6" x14ac:dyDescent="0.3">
      <c r="A569" s="35" t="s">
        <v>6</v>
      </c>
      <c r="B569" s="36" t="s">
        <v>7</v>
      </c>
      <c r="C569" s="36" t="s">
        <v>87</v>
      </c>
      <c r="D569" s="36" t="s">
        <v>86</v>
      </c>
      <c r="E569" s="38">
        <v>2485</v>
      </c>
      <c r="F569" s="39">
        <v>97</v>
      </c>
    </row>
    <row r="570" spans="1:6" x14ac:dyDescent="0.3">
      <c r="A570" s="30" t="s">
        <v>70</v>
      </c>
      <c r="B570" s="31" t="s">
        <v>15</v>
      </c>
      <c r="C570" s="31" t="s">
        <v>59</v>
      </c>
      <c r="D570" s="31" t="s">
        <v>69</v>
      </c>
      <c r="E570" s="33">
        <v>8715</v>
      </c>
      <c r="F570" s="34">
        <v>168</v>
      </c>
    </row>
    <row r="571" spans="1:6" x14ac:dyDescent="0.3">
      <c r="A571" s="35" t="s">
        <v>48</v>
      </c>
      <c r="B571" s="36" t="s">
        <v>10</v>
      </c>
      <c r="C571" s="36" t="s">
        <v>11</v>
      </c>
      <c r="D571" s="36" t="s">
        <v>115</v>
      </c>
      <c r="E571" s="38">
        <v>273</v>
      </c>
      <c r="F571" s="39">
        <v>402</v>
      </c>
    </row>
    <row r="572" spans="1:6" x14ac:dyDescent="0.3">
      <c r="A572" s="30" t="s">
        <v>55</v>
      </c>
      <c r="B572" s="31" t="s">
        <v>32</v>
      </c>
      <c r="C572" s="31" t="s">
        <v>36</v>
      </c>
      <c r="D572" s="31" t="s">
        <v>78</v>
      </c>
      <c r="E572" s="33">
        <v>7623</v>
      </c>
      <c r="F572" s="34">
        <v>10</v>
      </c>
    </row>
    <row r="573" spans="1:6" x14ac:dyDescent="0.3">
      <c r="A573" s="35" t="s">
        <v>28</v>
      </c>
      <c r="B573" s="36" t="s">
        <v>25</v>
      </c>
      <c r="C573" s="36" t="s">
        <v>8</v>
      </c>
      <c r="D573" s="41">
        <v>45299</v>
      </c>
      <c r="E573" s="38">
        <v>71.41</v>
      </c>
      <c r="F573" s="39">
        <v>188</v>
      </c>
    </row>
    <row r="574" spans="1:6" x14ac:dyDescent="0.3">
      <c r="A574" s="30" t="s">
        <v>41</v>
      </c>
      <c r="B574" s="31" t="s">
        <v>7</v>
      </c>
      <c r="C574" s="31" t="s">
        <v>75</v>
      </c>
      <c r="D574" s="32">
        <v>44654</v>
      </c>
      <c r="E574" s="33">
        <v>3010</v>
      </c>
      <c r="F574" s="34">
        <v>69</v>
      </c>
    </row>
    <row r="575" spans="1:6" x14ac:dyDescent="0.3">
      <c r="A575" s="35" t="s">
        <v>79</v>
      </c>
      <c r="B575" s="36" t="s">
        <v>35</v>
      </c>
      <c r="C575" s="36" t="s">
        <v>60</v>
      </c>
      <c r="D575" s="36" t="s">
        <v>134</v>
      </c>
      <c r="E575" s="38">
        <v>11550</v>
      </c>
      <c r="F575" s="39">
        <v>111</v>
      </c>
    </row>
    <row r="576" spans="1:6" x14ac:dyDescent="0.3">
      <c r="A576" s="30" t="s">
        <v>55</v>
      </c>
      <c r="B576" s="31" t="s">
        <v>15</v>
      </c>
      <c r="C576" s="31" t="s">
        <v>46</v>
      </c>
      <c r="D576" s="32">
        <v>44810</v>
      </c>
      <c r="E576" s="33">
        <v>4046</v>
      </c>
      <c r="F576" s="34">
        <v>89</v>
      </c>
    </row>
    <row r="577" spans="1:6" x14ac:dyDescent="0.3">
      <c r="A577" s="35" t="s">
        <v>14</v>
      </c>
      <c r="B577" s="36" t="s">
        <v>35</v>
      </c>
      <c r="C577" s="36" t="s">
        <v>57</v>
      </c>
      <c r="D577" s="36" t="s">
        <v>113</v>
      </c>
      <c r="E577" s="38">
        <v>8904</v>
      </c>
      <c r="F577" s="39">
        <v>199</v>
      </c>
    </row>
    <row r="578" spans="1:6" x14ac:dyDescent="0.3">
      <c r="A578" s="30" t="s">
        <v>14</v>
      </c>
      <c r="B578" s="31" t="s">
        <v>10</v>
      </c>
      <c r="C578" s="31" t="s">
        <v>18</v>
      </c>
      <c r="D578" s="32">
        <v>44628</v>
      </c>
      <c r="E578" s="33">
        <v>11298</v>
      </c>
      <c r="F578" s="34">
        <v>89</v>
      </c>
    </row>
    <row r="579" spans="1:6" x14ac:dyDescent="0.3">
      <c r="A579" s="35" t="s">
        <v>29</v>
      </c>
      <c r="B579" s="36" t="s">
        <v>15</v>
      </c>
      <c r="C579" s="36" t="s">
        <v>60</v>
      </c>
      <c r="D579" s="37">
        <v>44628</v>
      </c>
      <c r="E579" s="38">
        <v>4396</v>
      </c>
      <c r="F579" s="39">
        <v>131</v>
      </c>
    </row>
    <row r="580" spans="1:6" x14ac:dyDescent="0.3">
      <c r="A580" s="30" t="s">
        <v>6</v>
      </c>
      <c r="B580" s="31" t="s">
        <v>7</v>
      </c>
      <c r="C580" s="31" t="s">
        <v>46</v>
      </c>
      <c r="D580" s="32">
        <v>44625</v>
      </c>
      <c r="E580" s="33">
        <v>12068</v>
      </c>
      <c r="F580" s="34">
        <v>227</v>
      </c>
    </row>
    <row r="581" spans="1:6" x14ac:dyDescent="0.3">
      <c r="A581" s="35" t="s">
        <v>53</v>
      </c>
      <c r="B581" s="36" t="s">
        <v>35</v>
      </c>
      <c r="C581" s="36" t="s">
        <v>23</v>
      </c>
      <c r="D581" s="36" t="s">
        <v>105</v>
      </c>
      <c r="E581" s="38">
        <v>9772</v>
      </c>
      <c r="F581" s="39">
        <v>301</v>
      </c>
    </row>
    <row r="582" spans="1:6" x14ac:dyDescent="0.3">
      <c r="A582" s="30" t="s">
        <v>45</v>
      </c>
      <c r="B582" s="31" t="s">
        <v>32</v>
      </c>
      <c r="C582" s="31" t="s">
        <v>26</v>
      </c>
      <c r="D582" s="32">
        <v>44867</v>
      </c>
      <c r="E582" s="33">
        <v>10458</v>
      </c>
      <c r="F582" s="34">
        <v>316</v>
      </c>
    </row>
    <row r="583" spans="1:6" x14ac:dyDescent="0.3">
      <c r="A583" s="35" t="s">
        <v>9</v>
      </c>
      <c r="B583" s="36" t="s">
        <v>10</v>
      </c>
      <c r="C583" s="36" t="s">
        <v>65</v>
      </c>
      <c r="D583" s="36" t="s">
        <v>127</v>
      </c>
      <c r="E583" s="38">
        <v>6426</v>
      </c>
      <c r="F583" s="39">
        <v>390</v>
      </c>
    </row>
    <row r="584" spans="1:6" x14ac:dyDescent="0.3">
      <c r="A584" s="30" t="s">
        <v>70</v>
      </c>
      <c r="B584" s="31" t="s">
        <v>32</v>
      </c>
      <c r="C584" s="31" t="s">
        <v>26</v>
      </c>
      <c r="D584" s="31" t="s">
        <v>110</v>
      </c>
      <c r="E584" s="33">
        <v>6188</v>
      </c>
      <c r="F584" s="34">
        <v>223</v>
      </c>
    </row>
    <row r="585" spans="1:6" x14ac:dyDescent="0.3">
      <c r="A585" s="35" t="s">
        <v>77</v>
      </c>
      <c r="B585" s="36" t="s">
        <v>35</v>
      </c>
      <c r="C585" s="36" t="s">
        <v>11</v>
      </c>
      <c r="D585" s="36" t="s">
        <v>51</v>
      </c>
      <c r="E585" s="38">
        <v>7504</v>
      </c>
      <c r="F585" s="39">
        <v>101</v>
      </c>
    </row>
    <row r="586" spans="1:6" x14ac:dyDescent="0.3">
      <c r="A586" s="30" t="s">
        <v>58</v>
      </c>
      <c r="B586" s="31" t="s">
        <v>35</v>
      </c>
      <c r="C586" s="31" t="s">
        <v>18</v>
      </c>
      <c r="D586" s="31" t="s">
        <v>123</v>
      </c>
      <c r="E586" s="33">
        <v>1750</v>
      </c>
      <c r="F586" s="34">
        <v>479</v>
      </c>
    </row>
    <row r="587" spans="1:6" x14ac:dyDescent="0.3">
      <c r="A587" s="35" t="s">
        <v>34</v>
      </c>
      <c r="B587" s="36" t="s">
        <v>15</v>
      </c>
      <c r="C587" s="36" t="s">
        <v>50</v>
      </c>
      <c r="D587" s="36" t="s">
        <v>63</v>
      </c>
      <c r="E587" s="38">
        <v>5439</v>
      </c>
      <c r="F587" s="39">
        <v>287</v>
      </c>
    </row>
    <row r="588" spans="1:6" x14ac:dyDescent="0.3">
      <c r="A588" s="30" t="s">
        <v>83</v>
      </c>
      <c r="B588" s="31" t="s">
        <v>35</v>
      </c>
      <c r="C588" s="31" t="s">
        <v>75</v>
      </c>
      <c r="D588" s="31" t="s">
        <v>69</v>
      </c>
      <c r="E588" s="33">
        <v>15547</v>
      </c>
      <c r="F588" s="34">
        <v>269</v>
      </c>
    </row>
    <row r="589" spans="1:6" x14ac:dyDescent="0.3">
      <c r="A589" s="35" t="s">
        <v>12</v>
      </c>
      <c r="B589" s="36" t="s">
        <v>35</v>
      </c>
      <c r="C589" s="36" t="s">
        <v>50</v>
      </c>
      <c r="D589" s="37">
        <v>44658</v>
      </c>
      <c r="E589" s="38">
        <v>11956</v>
      </c>
      <c r="F589" s="39">
        <v>277</v>
      </c>
    </row>
    <row r="590" spans="1:6" x14ac:dyDescent="0.3">
      <c r="A590" s="30" t="s">
        <v>45</v>
      </c>
      <c r="B590" s="31" t="s">
        <v>25</v>
      </c>
      <c r="C590" s="31" t="s">
        <v>65</v>
      </c>
      <c r="D590" s="31" t="s">
        <v>102</v>
      </c>
      <c r="E590" s="33">
        <v>2723</v>
      </c>
      <c r="F590" s="34">
        <v>67</v>
      </c>
    </row>
    <row r="591" spans="1:6" x14ac:dyDescent="0.3">
      <c r="A591" s="35" t="s">
        <v>48</v>
      </c>
      <c r="B591" s="36" t="s">
        <v>10</v>
      </c>
      <c r="C591" s="36" t="s">
        <v>18</v>
      </c>
      <c r="D591" s="36" t="s">
        <v>81</v>
      </c>
      <c r="E591" s="38">
        <v>19327</v>
      </c>
      <c r="F591" s="39">
        <v>135</v>
      </c>
    </row>
    <row r="592" spans="1:6" x14ac:dyDescent="0.3">
      <c r="A592" s="30" t="s">
        <v>83</v>
      </c>
      <c r="B592" s="31" t="s">
        <v>25</v>
      </c>
      <c r="C592" s="31" t="s">
        <v>8</v>
      </c>
      <c r="D592" s="31" t="s">
        <v>115</v>
      </c>
      <c r="E592" s="33">
        <v>9058</v>
      </c>
      <c r="F592" s="34">
        <v>229</v>
      </c>
    </row>
    <row r="593" spans="1:6" x14ac:dyDescent="0.3">
      <c r="A593" s="35" t="s">
        <v>9</v>
      </c>
      <c r="B593" s="36" t="s">
        <v>25</v>
      </c>
      <c r="C593" s="36" t="s">
        <v>57</v>
      </c>
      <c r="D593" s="36" t="s">
        <v>152</v>
      </c>
      <c r="E593" s="38">
        <v>2996</v>
      </c>
      <c r="F593" s="39">
        <v>88</v>
      </c>
    </row>
    <row r="594" spans="1:6" x14ac:dyDescent="0.3">
      <c r="A594" s="30" t="s">
        <v>67</v>
      </c>
      <c r="B594" s="31" t="s">
        <v>25</v>
      </c>
      <c r="C594" s="31" t="s">
        <v>8</v>
      </c>
      <c r="D594" s="31" t="s">
        <v>149</v>
      </c>
      <c r="E594" s="33">
        <v>8848</v>
      </c>
      <c r="F594" s="34">
        <v>211</v>
      </c>
    </row>
    <row r="595" spans="1:6" x14ac:dyDescent="0.3">
      <c r="A595" s="35" t="s">
        <v>67</v>
      </c>
      <c r="B595" s="36" t="s">
        <v>7</v>
      </c>
      <c r="C595" s="36" t="s">
        <v>46</v>
      </c>
      <c r="D595" s="37">
        <v>44867</v>
      </c>
      <c r="E595" s="38">
        <v>14336</v>
      </c>
      <c r="F595" s="39">
        <v>293</v>
      </c>
    </row>
    <row r="596" spans="1:6" x14ac:dyDescent="0.3">
      <c r="A596" s="30" t="s">
        <v>71</v>
      </c>
      <c r="B596" s="31" t="s">
        <v>32</v>
      </c>
      <c r="C596" s="31" t="s">
        <v>60</v>
      </c>
      <c r="D596" s="31" t="s">
        <v>148</v>
      </c>
      <c r="E596" s="33">
        <v>16401</v>
      </c>
      <c r="F596" s="34">
        <v>179</v>
      </c>
    </row>
    <row r="597" spans="1:6" x14ac:dyDescent="0.3">
      <c r="A597" s="35" t="s">
        <v>22</v>
      </c>
      <c r="B597" s="36" t="s">
        <v>25</v>
      </c>
      <c r="C597" s="36" t="s">
        <v>65</v>
      </c>
      <c r="D597" s="37">
        <v>44682</v>
      </c>
      <c r="E597" s="38">
        <v>5173</v>
      </c>
      <c r="F597" s="39">
        <v>129</v>
      </c>
    </row>
    <row r="598" spans="1:6" x14ac:dyDescent="0.3">
      <c r="A598" s="30" t="s">
        <v>28</v>
      </c>
      <c r="B598" s="31" t="s">
        <v>10</v>
      </c>
      <c r="C598" s="31" t="s">
        <v>73</v>
      </c>
      <c r="D598" s="31" t="s">
        <v>52</v>
      </c>
      <c r="E598" s="33">
        <v>6328</v>
      </c>
      <c r="F598" s="34">
        <v>164</v>
      </c>
    </row>
    <row r="599" spans="1:6" x14ac:dyDescent="0.3">
      <c r="A599" s="35" t="s">
        <v>6</v>
      </c>
      <c r="B599" s="36" t="s">
        <v>32</v>
      </c>
      <c r="C599" s="36" t="s">
        <v>20</v>
      </c>
      <c r="D599" s="37">
        <v>44652</v>
      </c>
      <c r="E599" s="38">
        <v>2534</v>
      </c>
      <c r="F599" s="39">
        <v>219</v>
      </c>
    </row>
    <row r="600" spans="1:6" x14ac:dyDescent="0.3">
      <c r="A600" s="30" t="s">
        <v>41</v>
      </c>
      <c r="B600" s="31" t="s">
        <v>15</v>
      </c>
      <c r="C600" s="31" t="s">
        <v>57</v>
      </c>
      <c r="D600" s="31" t="s">
        <v>134</v>
      </c>
      <c r="E600" s="33">
        <v>1435</v>
      </c>
      <c r="F600" s="34">
        <v>258</v>
      </c>
    </row>
    <row r="601" spans="1:6" x14ac:dyDescent="0.3">
      <c r="A601" s="35" t="s">
        <v>12</v>
      </c>
      <c r="B601" s="36" t="s">
        <v>35</v>
      </c>
      <c r="C601" s="36" t="s">
        <v>46</v>
      </c>
      <c r="D601" s="37">
        <v>44836</v>
      </c>
      <c r="E601" s="38">
        <v>3052</v>
      </c>
      <c r="F601" s="39">
        <v>116</v>
      </c>
    </row>
    <row r="602" spans="1:6" x14ac:dyDescent="0.3">
      <c r="A602" s="30" t="s">
        <v>79</v>
      </c>
      <c r="B602" s="31" t="s">
        <v>10</v>
      </c>
      <c r="C602" s="31" t="s">
        <v>50</v>
      </c>
      <c r="D602" s="32">
        <v>44903</v>
      </c>
      <c r="E602" s="33">
        <v>910</v>
      </c>
      <c r="F602" s="34">
        <v>204</v>
      </c>
    </row>
    <row r="603" spans="1:6" x14ac:dyDescent="0.3">
      <c r="A603" s="35" t="s">
        <v>22</v>
      </c>
      <c r="B603" s="36" t="s">
        <v>32</v>
      </c>
      <c r="C603" s="36" t="s">
        <v>42</v>
      </c>
      <c r="D603" s="37">
        <v>44842</v>
      </c>
      <c r="E603" s="38">
        <v>2331</v>
      </c>
      <c r="F603" s="39">
        <v>321</v>
      </c>
    </row>
    <row r="604" spans="1:6" x14ac:dyDescent="0.3">
      <c r="A604" s="30" t="s">
        <v>70</v>
      </c>
      <c r="B604" s="31" t="s">
        <v>15</v>
      </c>
      <c r="C604" s="31" t="s">
        <v>73</v>
      </c>
      <c r="D604" s="32">
        <v>44748</v>
      </c>
      <c r="E604" s="33">
        <v>679</v>
      </c>
      <c r="F604" s="34">
        <v>56</v>
      </c>
    </row>
    <row r="605" spans="1:6" x14ac:dyDescent="0.3">
      <c r="A605" s="35" t="s">
        <v>6</v>
      </c>
      <c r="B605" s="36" t="s">
        <v>10</v>
      </c>
      <c r="C605" s="36" t="s">
        <v>87</v>
      </c>
      <c r="D605" s="37">
        <v>44718</v>
      </c>
      <c r="E605" s="38">
        <v>2086</v>
      </c>
      <c r="F605" s="39">
        <v>74</v>
      </c>
    </row>
    <row r="606" spans="1:6" x14ac:dyDescent="0.3">
      <c r="A606" s="30" t="s">
        <v>37</v>
      </c>
      <c r="B606" s="31" t="s">
        <v>25</v>
      </c>
      <c r="C606" s="31" t="s">
        <v>87</v>
      </c>
      <c r="D606" s="32">
        <v>44685</v>
      </c>
      <c r="E606" s="33">
        <v>5012</v>
      </c>
      <c r="F606" s="34">
        <v>189</v>
      </c>
    </row>
    <row r="607" spans="1:6" x14ac:dyDescent="0.3">
      <c r="A607" s="35" t="s">
        <v>64</v>
      </c>
      <c r="B607" s="36" t="s">
        <v>32</v>
      </c>
      <c r="C607" s="36" t="s">
        <v>26</v>
      </c>
      <c r="D607" s="36" t="s">
        <v>154</v>
      </c>
      <c r="E607" s="38">
        <v>4501</v>
      </c>
      <c r="F607" s="39">
        <v>131</v>
      </c>
    </row>
    <row r="608" spans="1:6" x14ac:dyDescent="0.3">
      <c r="A608" s="30" t="s">
        <v>67</v>
      </c>
      <c r="B608" s="31" t="s">
        <v>10</v>
      </c>
      <c r="C608" s="31" t="s">
        <v>26</v>
      </c>
      <c r="D608" s="31" t="s">
        <v>96</v>
      </c>
      <c r="E608" s="33">
        <v>13482</v>
      </c>
      <c r="F608" s="34">
        <v>15</v>
      </c>
    </row>
    <row r="609" spans="1:6" x14ac:dyDescent="0.3">
      <c r="A609" s="35" t="s">
        <v>77</v>
      </c>
      <c r="B609" s="36" t="s">
        <v>32</v>
      </c>
      <c r="C609" s="36" t="s">
        <v>87</v>
      </c>
      <c r="D609" s="36" t="s">
        <v>78</v>
      </c>
      <c r="E609" s="38">
        <v>5621</v>
      </c>
      <c r="F609" s="39">
        <v>140</v>
      </c>
    </row>
    <row r="610" spans="1:6" x14ac:dyDescent="0.3">
      <c r="A610" s="30" t="s">
        <v>6</v>
      </c>
      <c r="B610" s="31" t="s">
        <v>15</v>
      </c>
      <c r="C610" s="31" t="s">
        <v>20</v>
      </c>
      <c r="D610" s="31" t="s">
        <v>104</v>
      </c>
      <c r="E610" s="33">
        <v>10486</v>
      </c>
      <c r="F610" s="34">
        <v>198</v>
      </c>
    </row>
    <row r="611" spans="1:6" x14ac:dyDescent="0.3">
      <c r="A611" s="35" t="s">
        <v>14</v>
      </c>
      <c r="B611" s="36" t="s">
        <v>15</v>
      </c>
      <c r="C611" s="36" t="s">
        <v>8</v>
      </c>
      <c r="D611" s="36" t="s">
        <v>125</v>
      </c>
      <c r="E611" s="38">
        <v>17626</v>
      </c>
      <c r="F611" s="39">
        <v>103</v>
      </c>
    </row>
    <row r="612" spans="1:6" x14ac:dyDescent="0.3">
      <c r="A612" s="30" t="s">
        <v>19</v>
      </c>
      <c r="B612" s="31" t="s">
        <v>25</v>
      </c>
      <c r="C612" s="31" t="s">
        <v>46</v>
      </c>
      <c r="D612" s="32">
        <v>44896</v>
      </c>
      <c r="E612" s="33">
        <v>4494</v>
      </c>
      <c r="F612" s="34">
        <v>187</v>
      </c>
    </row>
    <row r="613" spans="1:6" x14ac:dyDescent="0.3">
      <c r="A613" s="35" t="s">
        <v>28</v>
      </c>
      <c r="B613" s="36" t="s">
        <v>7</v>
      </c>
      <c r="C613" s="36" t="s">
        <v>65</v>
      </c>
      <c r="D613" s="36" t="s">
        <v>99</v>
      </c>
      <c r="E613" s="38">
        <v>105</v>
      </c>
      <c r="F613" s="39">
        <v>125</v>
      </c>
    </row>
    <row r="614" spans="1:6" x14ac:dyDescent="0.3">
      <c r="A614" s="30" t="s">
        <v>70</v>
      </c>
      <c r="B614" s="31" t="s">
        <v>10</v>
      </c>
      <c r="C614" s="31" t="s">
        <v>18</v>
      </c>
      <c r="D614" s="32">
        <v>44563</v>
      </c>
      <c r="E614" s="33">
        <v>2464</v>
      </c>
      <c r="F614" s="34">
        <v>8</v>
      </c>
    </row>
    <row r="615" spans="1:6" x14ac:dyDescent="0.3">
      <c r="A615" s="35" t="s">
        <v>29</v>
      </c>
      <c r="B615" s="36" t="s">
        <v>7</v>
      </c>
      <c r="C615" s="36" t="s">
        <v>36</v>
      </c>
      <c r="D615" s="36" t="s">
        <v>16</v>
      </c>
      <c r="E615" s="38">
        <v>1379</v>
      </c>
      <c r="F615" s="39">
        <v>70</v>
      </c>
    </row>
    <row r="616" spans="1:6" x14ac:dyDescent="0.3">
      <c r="A616" s="30" t="s">
        <v>12</v>
      </c>
      <c r="B616" s="31" t="s">
        <v>32</v>
      </c>
      <c r="C616" s="31" t="s">
        <v>18</v>
      </c>
      <c r="D616" s="31" t="s">
        <v>68</v>
      </c>
      <c r="E616" s="33">
        <v>2583</v>
      </c>
      <c r="F616" s="34">
        <v>126</v>
      </c>
    </row>
    <row r="617" spans="1:6" x14ac:dyDescent="0.3">
      <c r="A617" s="35" t="s">
        <v>48</v>
      </c>
      <c r="B617" s="36" t="s">
        <v>25</v>
      </c>
      <c r="C617" s="36" t="s">
        <v>8</v>
      </c>
      <c r="D617" s="36" t="s">
        <v>43</v>
      </c>
      <c r="E617" s="38">
        <v>3220</v>
      </c>
      <c r="F617" s="39">
        <v>265</v>
      </c>
    </row>
    <row r="618" spans="1:6" x14ac:dyDescent="0.3">
      <c r="A618" s="30" t="s">
        <v>48</v>
      </c>
      <c r="B618" s="31" t="s">
        <v>32</v>
      </c>
      <c r="C618" s="31" t="s">
        <v>8</v>
      </c>
      <c r="D618" s="31" t="s">
        <v>69</v>
      </c>
      <c r="E618" s="33">
        <v>4802</v>
      </c>
      <c r="F618" s="34">
        <v>296</v>
      </c>
    </row>
    <row r="619" spans="1:6" x14ac:dyDescent="0.3">
      <c r="A619" s="35" t="s">
        <v>77</v>
      </c>
      <c r="B619" s="36" t="s">
        <v>25</v>
      </c>
      <c r="C619" s="36" t="s">
        <v>57</v>
      </c>
      <c r="D619" s="36" t="s">
        <v>115</v>
      </c>
      <c r="E619" s="38">
        <v>5677</v>
      </c>
      <c r="F619" s="39">
        <v>21</v>
      </c>
    </row>
    <row r="620" spans="1:6" x14ac:dyDescent="0.3">
      <c r="A620" s="30" t="s">
        <v>37</v>
      </c>
      <c r="B620" s="31" t="s">
        <v>10</v>
      </c>
      <c r="C620" s="31" t="s">
        <v>11</v>
      </c>
      <c r="D620" s="31" t="s">
        <v>155</v>
      </c>
      <c r="E620" s="33">
        <v>945</v>
      </c>
      <c r="F620" s="34">
        <v>83</v>
      </c>
    </row>
    <row r="621" spans="1:6" x14ac:dyDescent="0.3">
      <c r="A621" s="35" t="s">
        <v>83</v>
      </c>
      <c r="B621" s="36" t="s">
        <v>15</v>
      </c>
      <c r="C621" s="36" t="s">
        <v>90</v>
      </c>
      <c r="D621" s="36" t="s">
        <v>152</v>
      </c>
      <c r="E621" s="38">
        <v>8757</v>
      </c>
      <c r="F621" s="39">
        <v>162</v>
      </c>
    </row>
    <row r="622" spans="1:6" x14ac:dyDescent="0.3">
      <c r="A622" s="30" t="s">
        <v>70</v>
      </c>
      <c r="B622" s="31" t="s">
        <v>32</v>
      </c>
      <c r="C622" s="31" t="s">
        <v>57</v>
      </c>
      <c r="D622" s="31" t="s">
        <v>51</v>
      </c>
      <c r="E622" s="33">
        <v>4816</v>
      </c>
      <c r="F622" s="34">
        <v>145</v>
      </c>
    </row>
    <row r="623" spans="1:6" x14ac:dyDescent="0.3">
      <c r="A623" s="35" t="s">
        <v>70</v>
      </c>
      <c r="B623" s="36" t="s">
        <v>35</v>
      </c>
      <c r="C623" s="36" t="s">
        <v>13</v>
      </c>
      <c r="D623" s="37">
        <v>44777</v>
      </c>
      <c r="E623" s="38">
        <v>7532</v>
      </c>
      <c r="F623" s="39">
        <v>44</v>
      </c>
    </row>
    <row r="624" spans="1:6" x14ac:dyDescent="0.3">
      <c r="A624" s="30" t="s">
        <v>12</v>
      </c>
      <c r="B624" s="31" t="s">
        <v>35</v>
      </c>
      <c r="C624" s="31" t="s">
        <v>38</v>
      </c>
      <c r="D624" s="32">
        <v>44719</v>
      </c>
      <c r="E624" s="33">
        <v>3549</v>
      </c>
      <c r="F624" s="34">
        <v>82</v>
      </c>
    </row>
    <row r="625" spans="1:6" x14ac:dyDescent="0.3">
      <c r="A625" s="35" t="s">
        <v>53</v>
      </c>
      <c r="B625" s="36" t="s">
        <v>10</v>
      </c>
      <c r="C625" s="36" t="s">
        <v>57</v>
      </c>
      <c r="D625" s="37">
        <v>44655</v>
      </c>
      <c r="E625" s="38">
        <v>4340</v>
      </c>
      <c r="F625" s="39">
        <v>226</v>
      </c>
    </row>
    <row r="626" spans="1:6" x14ac:dyDescent="0.3">
      <c r="A626" s="30" t="s">
        <v>14</v>
      </c>
      <c r="B626" s="31" t="s">
        <v>25</v>
      </c>
      <c r="C626" s="31" t="s">
        <v>42</v>
      </c>
      <c r="D626" s="32">
        <v>44595</v>
      </c>
      <c r="E626" s="33">
        <v>1799</v>
      </c>
      <c r="F626" s="34">
        <v>207</v>
      </c>
    </row>
    <row r="627" spans="1:6" x14ac:dyDescent="0.3">
      <c r="A627" s="35" t="s">
        <v>12</v>
      </c>
      <c r="B627" s="36" t="s">
        <v>25</v>
      </c>
      <c r="C627" s="36" t="s">
        <v>73</v>
      </c>
      <c r="D627" s="37">
        <v>44812</v>
      </c>
      <c r="E627" s="38">
        <v>1127</v>
      </c>
      <c r="F627" s="39">
        <v>176</v>
      </c>
    </row>
    <row r="628" spans="1:6" x14ac:dyDescent="0.3">
      <c r="A628" s="30" t="s">
        <v>58</v>
      </c>
      <c r="B628" s="31" t="s">
        <v>15</v>
      </c>
      <c r="C628" s="31" t="s">
        <v>46</v>
      </c>
      <c r="D628" s="32">
        <v>44810</v>
      </c>
      <c r="E628" s="33">
        <v>10038</v>
      </c>
      <c r="F628" s="34">
        <v>286</v>
      </c>
    </row>
    <row r="629" spans="1:6" x14ac:dyDescent="0.3">
      <c r="A629" s="35" t="s">
        <v>83</v>
      </c>
      <c r="B629" s="36" t="s">
        <v>7</v>
      </c>
      <c r="C629" s="36" t="s">
        <v>90</v>
      </c>
      <c r="D629" s="37">
        <v>44598</v>
      </c>
      <c r="E629" s="38">
        <v>2926</v>
      </c>
      <c r="F629" s="39">
        <v>300</v>
      </c>
    </row>
    <row r="630" spans="1:6" x14ac:dyDescent="0.3">
      <c r="A630" s="30" t="s">
        <v>9</v>
      </c>
      <c r="B630" s="31" t="s">
        <v>32</v>
      </c>
      <c r="C630" s="31" t="s">
        <v>57</v>
      </c>
      <c r="D630" s="32">
        <v>44688</v>
      </c>
      <c r="E630" s="33">
        <v>6279</v>
      </c>
      <c r="F630" s="34">
        <v>235</v>
      </c>
    </row>
    <row r="631" spans="1:6" x14ac:dyDescent="0.3">
      <c r="A631" s="35" t="s">
        <v>67</v>
      </c>
      <c r="B631" s="36" t="s">
        <v>35</v>
      </c>
      <c r="C631" s="36" t="s">
        <v>36</v>
      </c>
      <c r="D631" s="37">
        <v>44873</v>
      </c>
      <c r="E631" s="38">
        <v>308</v>
      </c>
      <c r="F631" s="39">
        <v>125</v>
      </c>
    </row>
    <row r="632" spans="1:6" x14ac:dyDescent="0.3">
      <c r="A632" s="30" t="s">
        <v>77</v>
      </c>
      <c r="B632" s="31" t="s">
        <v>10</v>
      </c>
      <c r="C632" s="31" t="s">
        <v>75</v>
      </c>
      <c r="D632" s="32">
        <v>44867</v>
      </c>
      <c r="E632" s="33">
        <v>3500</v>
      </c>
      <c r="F632" s="34">
        <v>145</v>
      </c>
    </row>
    <row r="633" spans="1:6" x14ac:dyDescent="0.3">
      <c r="A633" s="35" t="s">
        <v>70</v>
      </c>
      <c r="B633" s="36" t="s">
        <v>25</v>
      </c>
      <c r="C633" s="36" t="s">
        <v>50</v>
      </c>
      <c r="D633" s="37">
        <v>44873</v>
      </c>
      <c r="E633" s="38">
        <v>658</v>
      </c>
      <c r="F633" s="39">
        <v>65</v>
      </c>
    </row>
    <row r="634" spans="1:6" x14ac:dyDescent="0.3">
      <c r="A634" s="30" t="s">
        <v>45</v>
      </c>
      <c r="B634" s="31" t="s">
        <v>15</v>
      </c>
      <c r="C634" s="31" t="s">
        <v>38</v>
      </c>
      <c r="D634" s="32">
        <v>44900</v>
      </c>
      <c r="E634" s="33">
        <v>12565</v>
      </c>
      <c r="F634" s="34">
        <v>102</v>
      </c>
    </row>
    <row r="635" spans="1:6" x14ac:dyDescent="0.3">
      <c r="A635" s="35" t="s">
        <v>64</v>
      </c>
      <c r="B635" s="36" t="s">
        <v>32</v>
      </c>
      <c r="C635" s="36" t="s">
        <v>46</v>
      </c>
      <c r="D635" s="36" t="s">
        <v>82</v>
      </c>
      <c r="E635" s="38">
        <v>5012</v>
      </c>
      <c r="F635" s="39">
        <v>93</v>
      </c>
    </row>
    <row r="636" spans="1:6" x14ac:dyDescent="0.3">
      <c r="A636" s="30" t="s">
        <v>67</v>
      </c>
      <c r="B636" s="31" t="s">
        <v>10</v>
      </c>
      <c r="C636" s="31" t="s">
        <v>42</v>
      </c>
      <c r="D636" s="31" t="s">
        <v>115</v>
      </c>
      <c r="E636" s="33">
        <v>3955</v>
      </c>
      <c r="F636" s="34">
        <v>134</v>
      </c>
    </row>
    <row r="637" spans="1:6" x14ac:dyDescent="0.3">
      <c r="A637" s="35" t="s">
        <v>77</v>
      </c>
      <c r="B637" s="36" t="s">
        <v>7</v>
      </c>
      <c r="C637" s="36" t="s">
        <v>57</v>
      </c>
      <c r="D637" s="37">
        <v>44682</v>
      </c>
      <c r="E637" s="38">
        <v>8512</v>
      </c>
      <c r="F637" s="39">
        <v>189</v>
      </c>
    </row>
    <row r="638" spans="1:6" x14ac:dyDescent="0.3">
      <c r="A638" s="30" t="s">
        <v>48</v>
      </c>
      <c r="B638" s="31" t="s">
        <v>15</v>
      </c>
      <c r="C638" s="31" t="s">
        <v>26</v>
      </c>
      <c r="D638" s="31" t="s">
        <v>63</v>
      </c>
      <c r="E638" s="33">
        <v>504</v>
      </c>
      <c r="F638" s="34">
        <v>232</v>
      </c>
    </row>
    <row r="639" spans="1:6" x14ac:dyDescent="0.3">
      <c r="A639" s="35" t="s">
        <v>28</v>
      </c>
      <c r="B639" s="36" t="s">
        <v>35</v>
      </c>
      <c r="C639" s="36" t="s">
        <v>73</v>
      </c>
      <c r="D639" s="36" t="s">
        <v>127</v>
      </c>
      <c r="E639" s="38">
        <v>2800</v>
      </c>
      <c r="F639" s="39">
        <v>45</v>
      </c>
    </row>
    <row r="640" spans="1:6" x14ac:dyDescent="0.3">
      <c r="A640" s="30" t="s">
        <v>22</v>
      </c>
      <c r="B640" s="31" t="s">
        <v>10</v>
      </c>
      <c r="C640" s="31" t="s">
        <v>8</v>
      </c>
      <c r="D640" s="32">
        <v>44781</v>
      </c>
      <c r="E640" s="33">
        <v>4256</v>
      </c>
      <c r="F640" s="34">
        <v>67</v>
      </c>
    </row>
    <row r="641" spans="1:6" x14ac:dyDescent="0.3">
      <c r="A641" s="35" t="s">
        <v>58</v>
      </c>
      <c r="B641" s="36" t="s">
        <v>10</v>
      </c>
      <c r="C641" s="36" t="s">
        <v>8</v>
      </c>
      <c r="D641" s="36" t="s">
        <v>110</v>
      </c>
      <c r="E641" s="38">
        <v>13573</v>
      </c>
      <c r="F641" s="39">
        <v>138</v>
      </c>
    </row>
    <row r="642" spans="1:6" x14ac:dyDescent="0.3">
      <c r="A642" s="30" t="s">
        <v>31</v>
      </c>
      <c r="B642" s="31" t="s">
        <v>10</v>
      </c>
      <c r="C642" s="31" t="s">
        <v>90</v>
      </c>
      <c r="D642" s="32">
        <v>44652</v>
      </c>
      <c r="E642" s="33">
        <v>6566</v>
      </c>
      <c r="F642" s="34">
        <v>99</v>
      </c>
    </row>
    <row r="643" spans="1:6" x14ac:dyDescent="0.3">
      <c r="A643" s="35" t="s">
        <v>28</v>
      </c>
      <c r="B643" s="36" t="s">
        <v>10</v>
      </c>
      <c r="C643" s="36" t="s">
        <v>46</v>
      </c>
      <c r="D643" s="36" t="s">
        <v>125</v>
      </c>
      <c r="E643" s="38">
        <v>13503</v>
      </c>
      <c r="F643" s="39">
        <v>251</v>
      </c>
    </row>
    <row r="644" spans="1:6" x14ac:dyDescent="0.3">
      <c r="A644" s="30" t="s">
        <v>41</v>
      </c>
      <c r="B644" s="31" t="s">
        <v>7</v>
      </c>
      <c r="C644" s="31" t="s">
        <v>50</v>
      </c>
      <c r="D644" s="31" t="s">
        <v>51</v>
      </c>
      <c r="E644" s="33">
        <v>8680</v>
      </c>
      <c r="F644" s="34">
        <v>252</v>
      </c>
    </row>
    <row r="645" spans="1:6" x14ac:dyDescent="0.3">
      <c r="A645" s="35" t="s">
        <v>31</v>
      </c>
      <c r="B645" s="36" t="s">
        <v>32</v>
      </c>
      <c r="C645" s="36" t="s">
        <v>65</v>
      </c>
      <c r="D645" s="37">
        <v>44622</v>
      </c>
      <c r="E645" s="38">
        <v>385</v>
      </c>
      <c r="F645" s="39">
        <v>78</v>
      </c>
    </row>
    <row r="646" spans="1:6" x14ac:dyDescent="0.3">
      <c r="A646" s="30" t="s">
        <v>9</v>
      </c>
      <c r="B646" s="31" t="s">
        <v>35</v>
      </c>
      <c r="C646" s="31" t="s">
        <v>73</v>
      </c>
      <c r="D646" s="31" t="s">
        <v>123</v>
      </c>
      <c r="E646" s="33">
        <v>1267</v>
      </c>
      <c r="F646" s="34">
        <v>130</v>
      </c>
    </row>
    <row r="647" spans="1:6" x14ac:dyDescent="0.3">
      <c r="A647" s="35" t="s">
        <v>64</v>
      </c>
      <c r="B647" s="36" t="s">
        <v>15</v>
      </c>
      <c r="C647" s="36" t="s">
        <v>87</v>
      </c>
      <c r="D647" s="36" t="s">
        <v>21</v>
      </c>
      <c r="E647" s="38">
        <v>2961</v>
      </c>
      <c r="F647" s="39">
        <v>154</v>
      </c>
    </row>
    <row r="648" spans="1:6" x14ac:dyDescent="0.3">
      <c r="A648" s="30" t="s">
        <v>28</v>
      </c>
      <c r="B648" s="31" t="s">
        <v>15</v>
      </c>
      <c r="C648" s="31" t="s">
        <v>46</v>
      </c>
      <c r="D648" s="31" t="s">
        <v>129</v>
      </c>
      <c r="E648" s="33">
        <v>1981</v>
      </c>
      <c r="F648" s="34">
        <v>52</v>
      </c>
    </row>
    <row r="649" spans="1:6" x14ac:dyDescent="0.3">
      <c r="A649" s="35" t="s">
        <v>53</v>
      </c>
      <c r="B649" s="36" t="s">
        <v>15</v>
      </c>
      <c r="C649" s="36" t="s">
        <v>57</v>
      </c>
      <c r="D649" s="36" t="s">
        <v>107</v>
      </c>
      <c r="E649" s="38">
        <v>7959</v>
      </c>
      <c r="F649" s="39">
        <v>53</v>
      </c>
    </row>
    <row r="650" spans="1:6" x14ac:dyDescent="0.3">
      <c r="A650" s="30" t="s">
        <v>77</v>
      </c>
      <c r="B650" s="31" t="s">
        <v>15</v>
      </c>
      <c r="C650" s="31" t="s">
        <v>42</v>
      </c>
      <c r="D650" s="32">
        <v>44688</v>
      </c>
      <c r="E650" s="33">
        <v>10794</v>
      </c>
      <c r="F650" s="34">
        <v>50</v>
      </c>
    </row>
    <row r="651" spans="1:6" x14ac:dyDescent="0.3">
      <c r="A651" s="35" t="s">
        <v>9</v>
      </c>
      <c r="B651" s="36" t="s">
        <v>10</v>
      </c>
      <c r="C651" s="36" t="s">
        <v>59</v>
      </c>
      <c r="D651" s="36" t="s">
        <v>131</v>
      </c>
      <c r="E651" s="38">
        <v>1897</v>
      </c>
      <c r="F651" s="39">
        <v>44</v>
      </c>
    </row>
    <row r="652" spans="1:6" x14ac:dyDescent="0.3">
      <c r="A652" s="30" t="s">
        <v>22</v>
      </c>
      <c r="B652" s="31" t="s">
        <v>35</v>
      </c>
      <c r="C652" s="31" t="s">
        <v>23</v>
      </c>
      <c r="D652" s="32">
        <v>44659</v>
      </c>
      <c r="E652" s="33">
        <v>2744</v>
      </c>
      <c r="F652" s="34">
        <v>200</v>
      </c>
    </row>
    <row r="653" spans="1:6" x14ac:dyDescent="0.3">
      <c r="A653" s="35" t="s">
        <v>14</v>
      </c>
      <c r="B653" s="36" t="s">
        <v>32</v>
      </c>
      <c r="C653" s="36" t="s">
        <v>57</v>
      </c>
      <c r="D653" s="36" t="s">
        <v>49</v>
      </c>
      <c r="E653" s="38">
        <v>4382</v>
      </c>
      <c r="F653" s="39">
        <v>361</v>
      </c>
    </row>
    <row r="654" spans="1:6" x14ac:dyDescent="0.3">
      <c r="A654" s="30" t="s">
        <v>14</v>
      </c>
      <c r="B654" s="31" t="s">
        <v>35</v>
      </c>
      <c r="C654" s="31" t="s">
        <v>23</v>
      </c>
      <c r="D654" s="31" t="s">
        <v>94</v>
      </c>
      <c r="E654" s="33">
        <v>4515</v>
      </c>
      <c r="F654" s="34">
        <v>172</v>
      </c>
    </row>
    <row r="655" spans="1:6" x14ac:dyDescent="0.3">
      <c r="A655" s="35" t="s">
        <v>31</v>
      </c>
      <c r="B655" s="36" t="s">
        <v>25</v>
      </c>
      <c r="C655" s="36" t="s">
        <v>60</v>
      </c>
      <c r="D655" s="36" t="s">
        <v>17</v>
      </c>
      <c r="E655" s="38">
        <v>5474</v>
      </c>
      <c r="F655" s="39">
        <v>239</v>
      </c>
    </row>
    <row r="656" spans="1:6" x14ac:dyDescent="0.3">
      <c r="A656" s="30" t="s">
        <v>37</v>
      </c>
      <c r="B656" s="31" t="s">
        <v>25</v>
      </c>
      <c r="C656" s="31" t="s">
        <v>11</v>
      </c>
      <c r="D656" s="31" t="s">
        <v>85</v>
      </c>
      <c r="E656" s="33">
        <v>6069</v>
      </c>
      <c r="F656" s="34">
        <v>55</v>
      </c>
    </row>
    <row r="657" spans="1:6" x14ac:dyDescent="0.3">
      <c r="A657" s="35" t="s">
        <v>19</v>
      </c>
      <c r="B657" s="36" t="s">
        <v>15</v>
      </c>
      <c r="C657" s="36" t="s">
        <v>11</v>
      </c>
      <c r="D657" s="36" t="s">
        <v>66</v>
      </c>
      <c r="E657" s="38">
        <v>6944</v>
      </c>
      <c r="F657" s="39">
        <v>27</v>
      </c>
    </row>
    <row r="658" spans="1:6" x14ac:dyDescent="0.3">
      <c r="A658" s="30" t="s">
        <v>48</v>
      </c>
      <c r="B658" s="31" t="s">
        <v>35</v>
      </c>
      <c r="C658" s="31" t="s">
        <v>75</v>
      </c>
      <c r="D658" s="31" t="s">
        <v>97</v>
      </c>
      <c r="E658" s="33">
        <v>5859</v>
      </c>
      <c r="F658" s="34">
        <v>7</v>
      </c>
    </row>
    <row r="659" spans="1:6" x14ac:dyDescent="0.3">
      <c r="A659" s="35" t="s">
        <v>55</v>
      </c>
      <c r="B659" s="36" t="s">
        <v>10</v>
      </c>
      <c r="C659" s="36" t="s">
        <v>100</v>
      </c>
      <c r="D659" s="36" t="s">
        <v>106</v>
      </c>
      <c r="E659" s="38">
        <v>12173</v>
      </c>
      <c r="F659" s="39">
        <v>301</v>
      </c>
    </row>
    <row r="660" spans="1:6" x14ac:dyDescent="0.3">
      <c r="A660" s="30" t="s">
        <v>41</v>
      </c>
      <c r="B660" s="31" t="s">
        <v>32</v>
      </c>
      <c r="C660" s="31" t="s">
        <v>59</v>
      </c>
      <c r="D660" s="32">
        <v>44868</v>
      </c>
      <c r="E660" s="33">
        <v>5292</v>
      </c>
      <c r="F660" s="34">
        <v>134</v>
      </c>
    </row>
    <row r="661" spans="1:6" x14ac:dyDescent="0.3">
      <c r="A661" s="35" t="s">
        <v>83</v>
      </c>
      <c r="B661" s="36" t="s">
        <v>25</v>
      </c>
      <c r="C661" s="36" t="s">
        <v>23</v>
      </c>
      <c r="D661" s="36" t="s">
        <v>142</v>
      </c>
      <c r="E661" s="38">
        <v>5705</v>
      </c>
      <c r="F661" s="39">
        <v>350</v>
      </c>
    </row>
    <row r="662" spans="1:6" x14ac:dyDescent="0.3">
      <c r="A662" s="30" t="s">
        <v>53</v>
      </c>
      <c r="B662" s="31" t="s">
        <v>10</v>
      </c>
      <c r="C662" s="31" t="s">
        <v>50</v>
      </c>
      <c r="D662" s="31" t="s">
        <v>78</v>
      </c>
      <c r="E662" s="33">
        <v>2492</v>
      </c>
      <c r="F662" s="34">
        <v>33</v>
      </c>
    </row>
    <row r="663" spans="1:6" x14ac:dyDescent="0.3">
      <c r="A663" s="35" t="s">
        <v>22</v>
      </c>
      <c r="B663" s="36" t="s">
        <v>35</v>
      </c>
      <c r="C663" s="36" t="s">
        <v>26</v>
      </c>
      <c r="D663" s="37">
        <v>44652</v>
      </c>
      <c r="E663" s="38">
        <v>3024</v>
      </c>
      <c r="F663" s="39">
        <v>23</v>
      </c>
    </row>
    <row r="664" spans="1:6" x14ac:dyDescent="0.3">
      <c r="A664" s="30" t="s">
        <v>48</v>
      </c>
      <c r="B664" s="31" t="s">
        <v>10</v>
      </c>
      <c r="C664" s="31" t="s">
        <v>46</v>
      </c>
      <c r="D664" s="32">
        <v>44685</v>
      </c>
      <c r="E664" s="33">
        <v>3437</v>
      </c>
      <c r="F664" s="34">
        <v>201</v>
      </c>
    </row>
    <row r="665" spans="1:6" x14ac:dyDescent="0.3">
      <c r="A665" s="35" t="s">
        <v>41</v>
      </c>
      <c r="B665" s="36" t="s">
        <v>10</v>
      </c>
      <c r="C665" s="36" t="s">
        <v>46</v>
      </c>
      <c r="D665" s="36" t="s">
        <v>74</v>
      </c>
      <c r="E665" s="38">
        <v>1869</v>
      </c>
      <c r="F665" s="39">
        <v>323</v>
      </c>
    </row>
    <row r="666" spans="1:6" x14ac:dyDescent="0.3">
      <c r="A666" s="30" t="s">
        <v>53</v>
      </c>
      <c r="B666" s="31" t="s">
        <v>15</v>
      </c>
      <c r="C666" s="31" t="s">
        <v>59</v>
      </c>
      <c r="D666" s="32">
        <v>44870</v>
      </c>
      <c r="E666" s="33">
        <v>3171</v>
      </c>
      <c r="F666" s="34">
        <v>220</v>
      </c>
    </row>
    <row r="667" spans="1:6" x14ac:dyDescent="0.3">
      <c r="A667" s="35" t="s">
        <v>67</v>
      </c>
      <c r="B667" s="36" t="s">
        <v>35</v>
      </c>
      <c r="C667" s="36" t="s">
        <v>60</v>
      </c>
      <c r="D667" s="36" t="s">
        <v>141</v>
      </c>
      <c r="E667" s="38">
        <v>4858</v>
      </c>
      <c r="F667" s="39">
        <v>488</v>
      </c>
    </row>
    <row r="668" spans="1:6" x14ac:dyDescent="0.3">
      <c r="A668" s="30" t="s">
        <v>14</v>
      </c>
      <c r="B668" s="31" t="s">
        <v>25</v>
      </c>
      <c r="C668" s="31" t="s">
        <v>33</v>
      </c>
      <c r="D668" s="32">
        <v>44867</v>
      </c>
      <c r="E668" s="33">
        <v>1225</v>
      </c>
      <c r="F668" s="34">
        <v>84</v>
      </c>
    </row>
    <row r="669" spans="1:6" x14ac:dyDescent="0.3">
      <c r="A669" s="35" t="s">
        <v>67</v>
      </c>
      <c r="B669" s="36" t="s">
        <v>35</v>
      </c>
      <c r="C669" s="36" t="s">
        <v>18</v>
      </c>
      <c r="D669" s="37">
        <v>44780</v>
      </c>
      <c r="E669" s="38">
        <v>1155</v>
      </c>
      <c r="F669" s="39">
        <v>79</v>
      </c>
    </row>
    <row r="670" spans="1:6" x14ac:dyDescent="0.3">
      <c r="A670" s="30" t="s">
        <v>22</v>
      </c>
      <c r="B670" s="31" t="s">
        <v>7</v>
      </c>
      <c r="C670" s="31" t="s">
        <v>73</v>
      </c>
      <c r="D670" s="32">
        <v>44873</v>
      </c>
      <c r="E670" s="33">
        <v>6811</v>
      </c>
      <c r="F670" s="34">
        <v>344</v>
      </c>
    </row>
    <row r="671" spans="1:6" x14ac:dyDescent="0.3">
      <c r="A671" s="35" t="s">
        <v>53</v>
      </c>
      <c r="B671" s="36" t="s">
        <v>25</v>
      </c>
      <c r="C671" s="36" t="s">
        <v>23</v>
      </c>
      <c r="D671" s="37">
        <v>44659</v>
      </c>
      <c r="E671" s="38">
        <v>6433</v>
      </c>
      <c r="F671" s="39">
        <v>7</v>
      </c>
    </row>
    <row r="672" spans="1:6" x14ac:dyDescent="0.3">
      <c r="A672" s="30" t="s">
        <v>67</v>
      </c>
      <c r="B672" s="31" t="s">
        <v>25</v>
      </c>
      <c r="C672" s="31" t="s">
        <v>33</v>
      </c>
      <c r="D672" s="31" t="s">
        <v>127</v>
      </c>
      <c r="E672" s="33">
        <v>8169</v>
      </c>
      <c r="F672" s="34">
        <v>88</v>
      </c>
    </row>
    <row r="673" spans="1:6" x14ac:dyDescent="0.3">
      <c r="A673" s="35" t="s">
        <v>58</v>
      </c>
      <c r="B673" s="36" t="s">
        <v>7</v>
      </c>
      <c r="C673" s="36" t="s">
        <v>87</v>
      </c>
      <c r="D673" s="36" t="s">
        <v>152</v>
      </c>
      <c r="E673" s="38">
        <v>2275</v>
      </c>
      <c r="F673" s="39">
        <v>275</v>
      </c>
    </row>
    <row r="674" spans="1:6" x14ac:dyDescent="0.3">
      <c r="A674" s="30" t="s">
        <v>6</v>
      </c>
      <c r="B674" s="31" t="s">
        <v>35</v>
      </c>
      <c r="C674" s="31" t="s">
        <v>33</v>
      </c>
      <c r="D674" s="31" t="s">
        <v>142</v>
      </c>
      <c r="E674" s="33">
        <v>3857</v>
      </c>
      <c r="F674" s="34">
        <v>512</v>
      </c>
    </row>
    <row r="675" spans="1:6" x14ac:dyDescent="0.3">
      <c r="A675" s="35" t="s">
        <v>6</v>
      </c>
      <c r="B675" s="36" t="s">
        <v>7</v>
      </c>
      <c r="C675" s="36" t="s">
        <v>18</v>
      </c>
      <c r="D675" s="36" t="s">
        <v>69</v>
      </c>
      <c r="E675" s="38">
        <v>1463</v>
      </c>
      <c r="F675" s="39">
        <v>113</v>
      </c>
    </row>
    <row r="676" spans="1:6" x14ac:dyDescent="0.3">
      <c r="A676" s="30" t="s">
        <v>67</v>
      </c>
      <c r="B676" s="31" t="s">
        <v>7</v>
      </c>
      <c r="C676" s="31" t="s">
        <v>90</v>
      </c>
      <c r="D676" s="32">
        <v>44748</v>
      </c>
      <c r="E676" s="33">
        <v>7924</v>
      </c>
      <c r="F676" s="34">
        <v>275</v>
      </c>
    </row>
    <row r="677" spans="1:6" x14ac:dyDescent="0.3">
      <c r="A677" s="35" t="s">
        <v>14</v>
      </c>
      <c r="B677" s="36" t="s">
        <v>7</v>
      </c>
      <c r="C677" s="36" t="s">
        <v>59</v>
      </c>
      <c r="D677" s="36" t="s">
        <v>147</v>
      </c>
      <c r="E677" s="38">
        <v>8799</v>
      </c>
      <c r="F677" s="39">
        <v>47</v>
      </c>
    </row>
    <row r="678" spans="1:6" x14ac:dyDescent="0.3">
      <c r="A678" s="30" t="s">
        <v>79</v>
      </c>
      <c r="B678" s="31" t="s">
        <v>32</v>
      </c>
      <c r="C678" s="31" t="s">
        <v>57</v>
      </c>
      <c r="D678" s="31" t="s">
        <v>94</v>
      </c>
      <c r="E678" s="33">
        <v>2898</v>
      </c>
      <c r="F678" s="34">
        <v>276</v>
      </c>
    </row>
    <row r="679" spans="1:6" x14ac:dyDescent="0.3">
      <c r="A679" s="35" t="s">
        <v>70</v>
      </c>
      <c r="B679" s="36" t="s">
        <v>7</v>
      </c>
      <c r="C679" s="36" t="s">
        <v>75</v>
      </c>
      <c r="D679" s="36" t="s">
        <v>62</v>
      </c>
      <c r="E679" s="38">
        <v>9506</v>
      </c>
      <c r="F679" s="39">
        <v>212</v>
      </c>
    </row>
    <row r="680" spans="1:6" x14ac:dyDescent="0.3">
      <c r="A680" s="30" t="s">
        <v>22</v>
      </c>
      <c r="B680" s="31" t="s">
        <v>25</v>
      </c>
      <c r="C680" s="31" t="s">
        <v>23</v>
      </c>
      <c r="D680" s="32">
        <v>44812</v>
      </c>
      <c r="E680" s="33">
        <v>7175</v>
      </c>
      <c r="F680" s="34">
        <v>145</v>
      </c>
    </row>
    <row r="681" spans="1:6" x14ac:dyDescent="0.3">
      <c r="A681" s="35" t="s">
        <v>55</v>
      </c>
      <c r="B681" s="36" t="s">
        <v>35</v>
      </c>
      <c r="C681" s="36" t="s">
        <v>11</v>
      </c>
      <c r="D681" s="37">
        <v>44716</v>
      </c>
      <c r="E681" s="38">
        <v>1729</v>
      </c>
      <c r="F681" s="39">
        <v>31</v>
      </c>
    </row>
    <row r="682" spans="1:6" x14ac:dyDescent="0.3">
      <c r="A682" s="30" t="s">
        <v>14</v>
      </c>
      <c r="B682" s="31" t="s">
        <v>25</v>
      </c>
      <c r="C682" s="31" t="s">
        <v>60</v>
      </c>
      <c r="D682" s="31" t="s">
        <v>39</v>
      </c>
      <c r="E682" s="33">
        <v>1589</v>
      </c>
      <c r="F682" s="34">
        <v>271</v>
      </c>
    </row>
    <row r="683" spans="1:6" x14ac:dyDescent="0.3">
      <c r="A683" s="35" t="s">
        <v>22</v>
      </c>
      <c r="B683" s="36" t="s">
        <v>25</v>
      </c>
      <c r="C683" s="36" t="s">
        <v>73</v>
      </c>
      <c r="D683" s="36" t="s">
        <v>69</v>
      </c>
      <c r="E683" s="38">
        <v>630</v>
      </c>
      <c r="F683" s="39">
        <v>52</v>
      </c>
    </row>
    <row r="684" spans="1:6" x14ac:dyDescent="0.3">
      <c r="A684" s="30" t="s">
        <v>9</v>
      </c>
      <c r="B684" s="31" t="s">
        <v>15</v>
      </c>
      <c r="C684" s="31" t="s">
        <v>20</v>
      </c>
      <c r="D684" s="31" t="s">
        <v>152</v>
      </c>
      <c r="E684" s="33">
        <v>112</v>
      </c>
      <c r="F684" s="34">
        <v>128</v>
      </c>
    </row>
    <row r="685" spans="1:6" x14ac:dyDescent="0.3">
      <c r="A685" s="35" t="s">
        <v>48</v>
      </c>
      <c r="B685" s="36" t="s">
        <v>32</v>
      </c>
      <c r="C685" s="36" t="s">
        <v>38</v>
      </c>
      <c r="D685" s="37">
        <v>44744</v>
      </c>
      <c r="E685" s="38">
        <v>5187</v>
      </c>
      <c r="F685" s="39">
        <v>142</v>
      </c>
    </row>
    <row r="686" spans="1:6" x14ac:dyDescent="0.3">
      <c r="A686" s="30" t="s">
        <v>28</v>
      </c>
      <c r="B686" s="31" t="s">
        <v>15</v>
      </c>
      <c r="C686" s="31" t="s">
        <v>50</v>
      </c>
      <c r="D686" s="32">
        <v>44809</v>
      </c>
      <c r="E686" s="33">
        <v>6223</v>
      </c>
      <c r="F686" s="34">
        <v>256</v>
      </c>
    </row>
    <row r="687" spans="1:6" x14ac:dyDescent="0.3">
      <c r="A687" s="35" t="s">
        <v>34</v>
      </c>
      <c r="B687" s="36" t="s">
        <v>25</v>
      </c>
      <c r="C687" s="36" t="s">
        <v>11</v>
      </c>
      <c r="D687" s="37">
        <v>44718</v>
      </c>
      <c r="E687" s="38">
        <v>7714</v>
      </c>
      <c r="F687" s="39">
        <v>106</v>
      </c>
    </row>
    <row r="688" spans="1:6" x14ac:dyDescent="0.3">
      <c r="A688" s="30" t="s">
        <v>64</v>
      </c>
      <c r="B688" s="31" t="s">
        <v>32</v>
      </c>
      <c r="C688" s="31" t="s">
        <v>75</v>
      </c>
      <c r="D688" s="32">
        <v>44718</v>
      </c>
      <c r="E688" s="33">
        <v>9457</v>
      </c>
      <c r="F688" s="34">
        <v>6</v>
      </c>
    </row>
    <row r="689" spans="1:6" x14ac:dyDescent="0.3">
      <c r="A689" s="35" t="s">
        <v>41</v>
      </c>
      <c r="B689" s="36" t="s">
        <v>25</v>
      </c>
      <c r="C689" s="36" t="s">
        <v>42</v>
      </c>
      <c r="D689" s="36" t="s">
        <v>62</v>
      </c>
      <c r="E689" s="38">
        <v>6678</v>
      </c>
      <c r="F689" s="39">
        <v>226</v>
      </c>
    </row>
    <row r="690" spans="1:6" x14ac:dyDescent="0.3">
      <c r="A690" s="30" t="s">
        <v>22</v>
      </c>
      <c r="B690" s="31" t="s">
        <v>7</v>
      </c>
      <c r="C690" s="31" t="s">
        <v>26</v>
      </c>
      <c r="D690" s="31" t="s">
        <v>30</v>
      </c>
      <c r="E690" s="33">
        <v>2107</v>
      </c>
      <c r="F690" s="34">
        <v>121</v>
      </c>
    </row>
    <row r="691" spans="1:6" x14ac:dyDescent="0.3">
      <c r="A691" s="35" t="s">
        <v>40</v>
      </c>
      <c r="B691" s="36" t="s">
        <v>32</v>
      </c>
      <c r="C691" s="36" t="s">
        <v>73</v>
      </c>
      <c r="D691" s="36" t="s">
        <v>136</v>
      </c>
      <c r="E691" s="38">
        <v>6069</v>
      </c>
      <c r="F691" s="39">
        <v>151</v>
      </c>
    </row>
    <row r="692" spans="1:6" x14ac:dyDescent="0.3">
      <c r="A692" s="30" t="s">
        <v>6</v>
      </c>
      <c r="B692" s="31" t="s">
        <v>7</v>
      </c>
      <c r="C692" s="31" t="s">
        <v>59</v>
      </c>
      <c r="D692" s="31" t="s">
        <v>63</v>
      </c>
      <c r="E692" s="33">
        <v>1862</v>
      </c>
      <c r="F692" s="34">
        <v>284</v>
      </c>
    </row>
    <row r="693" spans="1:6" x14ac:dyDescent="0.3">
      <c r="A693" s="35" t="s">
        <v>6</v>
      </c>
      <c r="B693" s="36" t="s">
        <v>25</v>
      </c>
      <c r="C693" s="36" t="s">
        <v>11</v>
      </c>
      <c r="D693" s="37">
        <v>44868</v>
      </c>
      <c r="E693" s="38">
        <v>6972</v>
      </c>
      <c r="F693" s="39">
        <v>89</v>
      </c>
    </row>
    <row r="694" spans="1:6" x14ac:dyDescent="0.3">
      <c r="A694" s="30" t="s">
        <v>79</v>
      </c>
      <c r="B694" s="31" t="s">
        <v>32</v>
      </c>
      <c r="C694" s="31" t="s">
        <v>11</v>
      </c>
      <c r="D694" s="31" t="s">
        <v>114</v>
      </c>
      <c r="E694" s="33">
        <v>10220</v>
      </c>
      <c r="F694" s="34">
        <v>508</v>
      </c>
    </row>
    <row r="695" spans="1:6" x14ac:dyDescent="0.3">
      <c r="A695" s="35" t="s">
        <v>29</v>
      </c>
      <c r="B695" s="36" t="s">
        <v>15</v>
      </c>
      <c r="C695" s="36" t="s">
        <v>18</v>
      </c>
      <c r="D695" s="36" t="s">
        <v>52</v>
      </c>
      <c r="E695" s="38">
        <v>3969</v>
      </c>
      <c r="F695" s="39">
        <v>243</v>
      </c>
    </row>
    <row r="696" spans="1:6" x14ac:dyDescent="0.3">
      <c r="A696" s="30" t="s">
        <v>48</v>
      </c>
      <c r="B696" s="31" t="s">
        <v>10</v>
      </c>
      <c r="C696" s="31" t="s">
        <v>60</v>
      </c>
      <c r="D696" s="31" t="s">
        <v>136</v>
      </c>
      <c r="E696" s="33">
        <v>1547</v>
      </c>
      <c r="F696" s="34">
        <v>170</v>
      </c>
    </row>
    <row r="697" spans="1:6" x14ac:dyDescent="0.3">
      <c r="A697" s="35" t="s">
        <v>34</v>
      </c>
      <c r="B697" s="36" t="s">
        <v>32</v>
      </c>
      <c r="C697" s="36" t="s">
        <v>13</v>
      </c>
      <c r="D697" s="36" t="s">
        <v>136</v>
      </c>
      <c r="E697" s="38">
        <v>1162</v>
      </c>
      <c r="F697" s="39">
        <v>18</v>
      </c>
    </row>
    <row r="698" spans="1:6" x14ac:dyDescent="0.3">
      <c r="A698" s="30" t="s">
        <v>9</v>
      </c>
      <c r="B698" s="31" t="s">
        <v>35</v>
      </c>
      <c r="C698" s="31" t="s">
        <v>13</v>
      </c>
      <c r="D698" s="31" t="s">
        <v>143</v>
      </c>
      <c r="E698" s="33">
        <v>6342</v>
      </c>
      <c r="F698" s="34">
        <v>282</v>
      </c>
    </row>
    <row r="699" spans="1:6" x14ac:dyDescent="0.3">
      <c r="A699" s="35" t="s">
        <v>70</v>
      </c>
      <c r="B699" s="36" t="s">
        <v>25</v>
      </c>
      <c r="C699" s="36" t="s">
        <v>18</v>
      </c>
      <c r="D699" s="37">
        <v>44868</v>
      </c>
      <c r="E699" s="38">
        <v>10633</v>
      </c>
      <c r="F699" s="39">
        <v>277</v>
      </c>
    </row>
    <row r="700" spans="1:6" x14ac:dyDescent="0.3">
      <c r="A700" s="30" t="s">
        <v>29</v>
      </c>
      <c r="B700" s="31" t="s">
        <v>32</v>
      </c>
      <c r="C700" s="31" t="s">
        <v>18</v>
      </c>
      <c r="D700" s="31" t="s">
        <v>129</v>
      </c>
      <c r="E700" s="33">
        <v>15057</v>
      </c>
      <c r="F700" s="34">
        <v>212</v>
      </c>
    </row>
    <row r="701" spans="1:6" x14ac:dyDescent="0.3">
      <c r="A701" s="35" t="s">
        <v>29</v>
      </c>
      <c r="B701" s="36" t="s">
        <v>32</v>
      </c>
      <c r="C701" s="36" t="s">
        <v>59</v>
      </c>
      <c r="D701" s="36" t="s">
        <v>156</v>
      </c>
      <c r="E701" s="38">
        <v>4704</v>
      </c>
      <c r="F701" s="39">
        <v>126</v>
      </c>
    </row>
    <row r="702" spans="1:6" x14ac:dyDescent="0.3">
      <c r="A702" s="30" t="s">
        <v>45</v>
      </c>
      <c r="B702" s="31" t="s">
        <v>35</v>
      </c>
      <c r="C702" s="31" t="s">
        <v>18</v>
      </c>
      <c r="D702" s="32">
        <v>44745</v>
      </c>
      <c r="E702" s="33">
        <v>9338</v>
      </c>
      <c r="F702" s="34">
        <v>11</v>
      </c>
    </row>
    <row r="703" spans="1:6" x14ac:dyDescent="0.3">
      <c r="A703" s="35" t="s">
        <v>48</v>
      </c>
      <c r="B703" s="36" t="s">
        <v>25</v>
      </c>
      <c r="C703" s="36" t="s">
        <v>23</v>
      </c>
      <c r="D703" s="37">
        <v>44685</v>
      </c>
      <c r="E703" s="38">
        <v>7959</v>
      </c>
      <c r="F703" s="39">
        <v>30</v>
      </c>
    </row>
    <row r="704" spans="1:6" x14ac:dyDescent="0.3">
      <c r="A704" s="30" t="s">
        <v>71</v>
      </c>
      <c r="B704" s="31" t="s">
        <v>10</v>
      </c>
      <c r="C704" s="31" t="s">
        <v>11</v>
      </c>
      <c r="D704" s="32">
        <v>44656</v>
      </c>
      <c r="E704" s="33">
        <v>9023</v>
      </c>
      <c r="F704" s="34">
        <v>51</v>
      </c>
    </row>
    <row r="705" spans="1:6" x14ac:dyDescent="0.3">
      <c r="A705" s="35" t="s">
        <v>83</v>
      </c>
      <c r="B705" s="36" t="s">
        <v>32</v>
      </c>
      <c r="C705" s="36" t="s">
        <v>75</v>
      </c>
      <c r="D705" s="37">
        <v>44652</v>
      </c>
      <c r="E705" s="38">
        <v>14525</v>
      </c>
      <c r="F705" s="39">
        <v>92</v>
      </c>
    </row>
    <row r="706" spans="1:6" x14ac:dyDescent="0.3">
      <c r="A706" s="30" t="s">
        <v>40</v>
      </c>
      <c r="B706" s="31" t="s">
        <v>15</v>
      </c>
      <c r="C706" s="31" t="s">
        <v>87</v>
      </c>
      <c r="D706" s="31" t="s">
        <v>30</v>
      </c>
      <c r="E706" s="33">
        <v>5810</v>
      </c>
      <c r="F706" s="34">
        <v>101</v>
      </c>
    </row>
    <row r="707" spans="1:6" x14ac:dyDescent="0.3">
      <c r="A707" s="35" t="s">
        <v>64</v>
      </c>
      <c r="B707" s="36" t="s">
        <v>25</v>
      </c>
      <c r="C707" s="36" t="s">
        <v>57</v>
      </c>
      <c r="D707" s="37">
        <v>44872</v>
      </c>
      <c r="E707" s="38">
        <v>6426</v>
      </c>
      <c r="F707" s="39">
        <v>98</v>
      </c>
    </row>
    <row r="708" spans="1:6" x14ac:dyDescent="0.3">
      <c r="A708" s="30" t="s">
        <v>55</v>
      </c>
      <c r="B708" s="31" t="s">
        <v>15</v>
      </c>
      <c r="C708" s="31" t="s">
        <v>8</v>
      </c>
      <c r="D708" s="31" t="s">
        <v>144</v>
      </c>
      <c r="E708" s="33">
        <v>4403</v>
      </c>
      <c r="F708" s="34">
        <v>159</v>
      </c>
    </row>
    <row r="709" spans="1:6" x14ac:dyDescent="0.3">
      <c r="A709" s="35" t="s">
        <v>71</v>
      </c>
      <c r="B709" s="36" t="s">
        <v>25</v>
      </c>
      <c r="C709" s="36" t="s">
        <v>13</v>
      </c>
      <c r="D709" s="36" t="s">
        <v>141</v>
      </c>
      <c r="E709" s="38">
        <v>1582</v>
      </c>
      <c r="F709" s="39">
        <v>62</v>
      </c>
    </row>
    <row r="710" spans="1:6" x14ac:dyDescent="0.3">
      <c r="A710" s="30" t="s">
        <v>48</v>
      </c>
      <c r="B710" s="31" t="s">
        <v>35</v>
      </c>
      <c r="C710" s="31" t="s">
        <v>42</v>
      </c>
      <c r="D710" s="31" t="s">
        <v>125</v>
      </c>
      <c r="E710" s="33">
        <v>791</v>
      </c>
      <c r="F710" s="34">
        <v>22</v>
      </c>
    </row>
    <row r="711" spans="1:6" x14ac:dyDescent="0.3">
      <c r="A711" s="35" t="s">
        <v>14</v>
      </c>
      <c r="B711" s="36" t="s">
        <v>10</v>
      </c>
      <c r="C711" s="36" t="s">
        <v>20</v>
      </c>
      <c r="D711" s="36" t="s">
        <v>136</v>
      </c>
      <c r="E711" s="38">
        <v>9100</v>
      </c>
      <c r="F711" s="39">
        <v>187</v>
      </c>
    </row>
    <row r="712" spans="1:6" x14ac:dyDescent="0.3">
      <c r="A712" s="30" t="s">
        <v>29</v>
      </c>
      <c r="B712" s="31" t="s">
        <v>35</v>
      </c>
      <c r="C712" s="31" t="s">
        <v>38</v>
      </c>
      <c r="D712" s="32">
        <v>44902</v>
      </c>
      <c r="E712" s="33">
        <v>9884</v>
      </c>
      <c r="F712" s="34">
        <v>200</v>
      </c>
    </row>
    <row r="713" spans="1:6" x14ac:dyDescent="0.3">
      <c r="A713" s="35" t="s">
        <v>14</v>
      </c>
      <c r="B713" s="36" t="s">
        <v>7</v>
      </c>
      <c r="C713" s="36" t="s">
        <v>33</v>
      </c>
      <c r="D713" s="36" t="s">
        <v>61</v>
      </c>
      <c r="E713" s="38">
        <v>3780</v>
      </c>
      <c r="F713" s="39">
        <v>201</v>
      </c>
    </row>
    <row r="714" spans="1:6" x14ac:dyDescent="0.3">
      <c r="A714" s="30" t="s">
        <v>31</v>
      </c>
      <c r="B714" s="31" t="s">
        <v>25</v>
      </c>
      <c r="C714" s="31" t="s">
        <v>26</v>
      </c>
      <c r="D714" s="31" t="s">
        <v>142</v>
      </c>
      <c r="E714" s="33">
        <v>4557</v>
      </c>
      <c r="F714" s="34">
        <v>308</v>
      </c>
    </row>
    <row r="715" spans="1:6" x14ac:dyDescent="0.3">
      <c r="A715" s="35" t="s">
        <v>48</v>
      </c>
      <c r="B715" s="36" t="s">
        <v>15</v>
      </c>
      <c r="C715" s="36" t="s">
        <v>36</v>
      </c>
      <c r="D715" s="36" t="s">
        <v>132</v>
      </c>
      <c r="E715" s="38">
        <v>5796</v>
      </c>
      <c r="F715" s="39">
        <v>55</v>
      </c>
    </row>
    <row r="716" spans="1:6" x14ac:dyDescent="0.3">
      <c r="A716" s="30" t="s">
        <v>28</v>
      </c>
      <c r="B716" s="31" t="s">
        <v>7</v>
      </c>
      <c r="C716" s="31" t="s">
        <v>60</v>
      </c>
      <c r="D716" s="40" t="s">
        <v>85</v>
      </c>
      <c r="E716" s="33">
        <v>70</v>
      </c>
      <c r="F716" s="34">
        <v>103</v>
      </c>
    </row>
    <row r="717" spans="1:6" x14ac:dyDescent="0.3">
      <c r="A717" s="35" t="s">
        <v>67</v>
      </c>
      <c r="B717" s="36" t="s">
        <v>7</v>
      </c>
      <c r="C717" s="36" t="s">
        <v>59</v>
      </c>
      <c r="D717" s="37">
        <v>44900</v>
      </c>
      <c r="E717" s="38">
        <v>9037</v>
      </c>
      <c r="F717" s="39">
        <v>101</v>
      </c>
    </row>
    <row r="718" spans="1:6" x14ac:dyDescent="0.3">
      <c r="A718" s="30" t="s">
        <v>71</v>
      </c>
      <c r="B718" s="31" t="s">
        <v>25</v>
      </c>
      <c r="C718" s="31" t="s">
        <v>73</v>
      </c>
      <c r="D718" s="32">
        <v>44655</v>
      </c>
      <c r="E718" s="33">
        <v>4746</v>
      </c>
      <c r="F718" s="34">
        <v>137</v>
      </c>
    </row>
    <row r="719" spans="1:6" x14ac:dyDescent="0.3">
      <c r="A719" s="35" t="s">
        <v>77</v>
      </c>
      <c r="B719" s="36" t="s">
        <v>15</v>
      </c>
      <c r="C719" s="36" t="s">
        <v>33</v>
      </c>
      <c r="D719" s="36" t="s">
        <v>74</v>
      </c>
      <c r="E719" s="38">
        <v>6713</v>
      </c>
      <c r="F719" s="39">
        <v>398</v>
      </c>
    </row>
    <row r="720" spans="1:6" x14ac:dyDescent="0.3">
      <c r="A720" s="30" t="s">
        <v>45</v>
      </c>
      <c r="B720" s="31" t="s">
        <v>35</v>
      </c>
      <c r="C720" s="31" t="s">
        <v>36</v>
      </c>
      <c r="D720" s="32">
        <v>44776</v>
      </c>
      <c r="E720" s="33">
        <v>6237</v>
      </c>
      <c r="F720" s="34">
        <v>88</v>
      </c>
    </row>
    <row r="721" spans="1:6" x14ac:dyDescent="0.3">
      <c r="A721" s="35" t="s">
        <v>37</v>
      </c>
      <c r="B721" s="36" t="s">
        <v>10</v>
      </c>
      <c r="C721" s="36" t="s">
        <v>59</v>
      </c>
      <c r="D721" s="36" t="s">
        <v>152</v>
      </c>
      <c r="E721" s="38">
        <v>7483</v>
      </c>
      <c r="F721" s="39">
        <v>232</v>
      </c>
    </row>
    <row r="722" spans="1:6" x14ac:dyDescent="0.3">
      <c r="A722" s="30" t="s">
        <v>64</v>
      </c>
      <c r="B722" s="31" t="s">
        <v>10</v>
      </c>
      <c r="C722" s="31" t="s">
        <v>8</v>
      </c>
      <c r="D722" s="31" t="s">
        <v>78</v>
      </c>
      <c r="E722" s="33">
        <v>1309</v>
      </c>
      <c r="F722" s="34">
        <v>51</v>
      </c>
    </row>
    <row r="723" spans="1:6" x14ac:dyDescent="0.3">
      <c r="A723" s="35" t="s">
        <v>67</v>
      </c>
      <c r="B723" s="36" t="s">
        <v>7</v>
      </c>
      <c r="C723" s="36" t="s">
        <v>20</v>
      </c>
      <c r="D723" s="36" t="s">
        <v>113</v>
      </c>
      <c r="E723" s="38">
        <v>1155</v>
      </c>
      <c r="F723" s="39">
        <v>66</v>
      </c>
    </row>
    <row r="724" spans="1:6" x14ac:dyDescent="0.3">
      <c r="A724" s="30" t="s">
        <v>40</v>
      </c>
      <c r="B724" s="31" t="s">
        <v>7</v>
      </c>
      <c r="C724" s="31" t="s">
        <v>26</v>
      </c>
      <c r="D724" s="31" t="s">
        <v>127</v>
      </c>
      <c r="E724" s="33">
        <v>2989</v>
      </c>
      <c r="F724" s="34">
        <v>124</v>
      </c>
    </row>
    <row r="725" spans="1:6" x14ac:dyDescent="0.3">
      <c r="A725" s="35" t="s">
        <v>83</v>
      </c>
      <c r="B725" s="36" t="s">
        <v>10</v>
      </c>
      <c r="C725" s="36" t="s">
        <v>75</v>
      </c>
      <c r="D725" s="37">
        <v>44685</v>
      </c>
      <c r="E725" s="38">
        <v>9625</v>
      </c>
      <c r="F725" s="39">
        <v>78</v>
      </c>
    </row>
    <row r="726" spans="1:6" x14ac:dyDescent="0.3">
      <c r="A726" s="30" t="s">
        <v>77</v>
      </c>
      <c r="B726" s="31" t="s">
        <v>7</v>
      </c>
      <c r="C726" s="31" t="s">
        <v>73</v>
      </c>
      <c r="D726" s="31" t="s">
        <v>93</v>
      </c>
      <c r="E726" s="33">
        <v>7357</v>
      </c>
      <c r="F726" s="34">
        <v>341</v>
      </c>
    </row>
    <row r="727" spans="1:6" x14ac:dyDescent="0.3">
      <c r="A727" s="35" t="s">
        <v>64</v>
      </c>
      <c r="B727" s="36" t="s">
        <v>15</v>
      </c>
      <c r="C727" s="36" t="s">
        <v>26</v>
      </c>
      <c r="D727" s="37">
        <v>44628</v>
      </c>
      <c r="E727" s="38">
        <v>10031</v>
      </c>
      <c r="F727" s="39">
        <v>114</v>
      </c>
    </row>
    <row r="728" spans="1:6" x14ac:dyDescent="0.3">
      <c r="A728" s="30" t="s">
        <v>12</v>
      </c>
      <c r="B728" s="31" t="s">
        <v>35</v>
      </c>
      <c r="C728" s="31" t="s">
        <v>59</v>
      </c>
      <c r="D728" s="32">
        <v>44872</v>
      </c>
      <c r="E728" s="33">
        <v>6587</v>
      </c>
      <c r="F728" s="34">
        <v>4</v>
      </c>
    </row>
    <row r="729" spans="1:6" x14ac:dyDescent="0.3">
      <c r="A729" s="35" t="s">
        <v>64</v>
      </c>
      <c r="B729" s="36" t="s">
        <v>25</v>
      </c>
      <c r="C729" s="36" t="s">
        <v>36</v>
      </c>
      <c r="D729" s="37">
        <v>44868</v>
      </c>
      <c r="E729" s="38">
        <v>3311</v>
      </c>
      <c r="F729" s="39">
        <v>22</v>
      </c>
    </row>
    <row r="730" spans="1:6" x14ac:dyDescent="0.3">
      <c r="A730" s="30" t="s">
        <v>28</v>
      </c>
      <c r="B730" s="31" t="s">
        <v>7</v>
      </c>
      <c r="C730" s="31" t="s">
        <v>13</v>
      </c>
      <c r="D730" s="32">
        <v>44835</v>
      </c>
      <c r="E730" s="33">
        <v>15330</v>
      </c>
      <c r="F730" s="34">
        <v>30</v>
      </c>
    </row>
    <row r="731" spans="1:6" x14ac:dyDescent="0.3">
      <c r="A731" s="35" t="s">
        <v>45</v>
      </c>
      <c r="B731" s="36" t="s">
        <v>7</v>
      </c>
      <c r="C731" s="36" t="s">
        <v>87</v>
      </c>
      <c r="D731" s="37">
        <v>44655</v>
      </c>
      <c r="E731" s="38">
        <v>14028</v>
      </c>
      <c r="F731" s="39">
        <v>351</v>
      </c>
    </row>
    <row r="732" spans="1:6" x14ac:dyDescent="0.3">
      <c r="A732" s="30" t="s">
        <v>37</v>
      </c>
      <c r="B732" s="31" t="s">
        <v>15</v>
      </c>
      <c r="C732" s="31" t="s">
        <v>26</v>
      </c>
      <c r="D732" s="31" t="s">
        <v>152</v>
      </c>
      <c r="E732" s="33">
        <v>6678</v>
      </c>
      <c r="F732" s="34">
        <v>708</v>
      </c>
    </row>
    <row r="733" spans="1:6" x14ac:dyDescent="0.3">
      <c r="A733" s="35" t="s">
        <v>40</v>
      </c>
      <c r="B733" s="36" t="s">
        <v>25</v>
      </c>
      <c r="C733" s="36" t="s">
        <v>42</v>
      </c>
      <c r="D733" s="37">
        <v>44780</v>
      </c>
      <c r="E733" s="38">
        <v>8624</v>
      </c>
      <c r="F733" s="39">
        <v>50</v>
      </c>
    </row>
    <row r="734" spans="1:6" x14ac:dyDescent="0.3">
      <c r="A734" s="30" t="s">
        <v>14</v>
      </c>
      <c r="B734" s="31" t="s">
        <v>7</v>
      </c>
      <c r="C734" s="31" t="s">
        <v>42</v>
      </c>
      <c r="D734" s="32">
        <v>44899</v>
      </c>
      <c r="E734" s="33">
        <v>1197</v>
      </c>
      <c r="F734" s="34">
        <v>356</v>
      </c>
    </row>
    <row r="735" spans="1:6" x14ac:dyDescent="0.3">
      <c r="A735" s="35" t="s">
        <v>29</v>
      </c>
      <c r="B735" s="36" t="s">
        <v>35</v>
      </c>
      <c r="C735" s="36" t="s">
        <v>57</v>
      </c>
      <c r="D735" s="36" t="s">
        <v>69</v>
      </c>
      <c r="E735" s="38">
        <v>483</v>
      </c>
      <c r="F735" s="39">
        <v>185</v>
      </c>
    </row>
    <row r="736" spans="1:6" x14ac:dyDescent="0.3">
      <c r="A736" s="30" t="s">
        <v>83</v>
      </c>
      <c r="B736" s="31" t="s">
        <v>7</v>
      </c>
      <c r="C736" s="31" t="s">
        <v>75</v>
      </c>
      <c r="D736" s="32">
        <v>44748</v>
      </c>
      <c r="E736" s="33">
        <v>1687</v>
      </c>
      <c r="F736" s="34">
        <v>236</v>
      </c>
    </row>
    <row r="737" spans="1:6" x14ac:dyDescent="0.3">
      <c r="A737" s="35" t="s">
        <v>22</v>
      </c>
      <c r="B737" s="36" t="s">
        <v>35</v>
      </c>
      <c r="C737" s="36" t="s">
        <v>65</v>
      </c>
      <c r="D737" s="36" t="s">
        <v>39</v>
      </c>
      <c r="E737" s="38">
        <v>1309</v>
      </c>
      <c r="F737" s="39">
        <v>30</v>
      </c>
    </row>
    <row r="738" spans="1:6" x14ac:dyDescent="0.3">
      <c r="A738" s="30" t="s">
        <v>53</v>
      </c>
      <c r="B738" s="31" t="s">
        <v>32</v>
      </c>
      <c r="C738" s="31" t="s">
        <v>20</v>
      </c>
      <c r="D738" s="31" t="s">
        <v>109</v>
      </c>
      <c r="E738" s="33">
        <v>9534</v>
      </c>
      <c r="F738" s="34">
        <v>111</v>
      </c>
    </row>
    <row r="739" spans="1:6" x14ac:dyDescent="0.3">
      <c r="A739" s="35" t="s">
        <v>58</v>
      </c>
      <c r="B739" s="36" t="s">
        <v>35</v>
      </c>
      <c r="C739" s="36" t="s">
        <v>8</v>
      </c>
      <c r="D739" s="37">
        <v>44777</v>
      </c>
      <c r="E739" s="38">
        <v>1694</v>
      </c>
      <c r="F739" s="39">
        <v>289</v>
      </c>
    </row>
    <row r="740" spans="1:6" x14ac:dyDescent="0.3">
      <c r="A740" s="30" t="s">
        <v>28</v>
      </c>
      <c r="B740" s="31" t="s">
        <v>7</v>
      </c>
      <c r="C740" s="31" t="s">
        <v>60</v>
      </c>
      <c r="D740" s="40" t="s">
        <v>191</v>
      </c>
      <c r="E740" s="33">
        <v>80.62</v>
      </c>
      <c r="F740" s="34">
        <v>103</v>
      </c>
    </row>
    <row r="741" spans="1:6" x14ac:dyDescent="0.3">
      <c r="A741" s="35" t="s">
        <v>9</v>
      </c>
      <c r="B741" s="36" t="s">
        <v>7</v>
      </c>
      <c r="C741" s="36" t="s">
        <v>87</v>
      </c>
      <c r="D741" s="36" t="s">
        <v>24</v>
      </c>
      <c r="E741" s="38">
        <v>2443</v>
      </c>
      <c r="F741" s="39">
        <v>20</v>
      </c>
    </row>
    <row r="742" spans="1:6" x14ac:dyDescent="0.3">
      <c r="A742" s="30" t="s">
        <v>31</v>
      </c>
      <c r="B742" s="31" t="s">
        <v>15</v>
      </c>
      <c r="C742" s="31" t="s">
        <v>90</v>
      </c>
      <c r="D742" s="31" t="s">
        <v>120</v>
      </c>
      <c r="E742" s="33">
        <v>2933</v>
      </c>
      <c r="F742" s="34">
        <v>55</v>
      </c>
    </row>
    <row r="743" spans="1:6" x14ac:dyDescent="0.3">
      <c r="A743" s="35" t="s">
        <v>58</v>
      </c>
      <c r="B743" s="36" t="s">
        <v>32</v>
      </c>
      <c r="C743" s="36" t="s">
        <v>36</v>
      </c>
      <c r="D743" s="36" t="s">
        <v>99</v>
      </c>
      <c r="E743" s="38">
        <v>2044</v>
      </c>
      <c r="F743" s="39">
        <v>90</v>
      </c>
    </row>
    <row r="744" spans="1:6" x14ac:dyDescent="0.3">
      <c r="A744" s="30" t="s">
        <v>12</v>
      </c>
      <c r="B744" s="31" t="s">
        <v>15</v>
      </c>
      <c r="C744" s="31" t="s">
        <v>73</v>
      </c>
      <c r="D744" s="31" t="s">
        <v>155</v>
      </c>
      <c r="E744" s="33">
        <v>6524</v>
      </c>
      <c r="F744" s="34">
        <v>303</v>
      </c>
    </row>
    <row r="745" spans="1:6" x14ac:dyDescent="0.3">
      <c r="A745" s="35" t="s">
        <v>58</v>
      </c>
      <c r="B745" s="36" t="s">
        <v>32</v>
      </c>
      <c r="C745" s="36" t="s">
        <v>42</v>
      </c>
      <c r="D745" s="36" t="s">
        <v>145</v>
      </c>
      <c r="E745" s="38">
        <v>12656</v>
      </c>
      <c r="F745" s="39">
        <v>126</v>
      </c>
    </row>
    <row r="746" spans="1:6" x14ac:dyDescent="0.3">
      <c r="A746" s="30" t="s">
        <v>41</v>
      </c>
      <c r="B746" s="31" t="s">
        <v>35</v>
      </c>
      <c r="C746" s="31" t="s">
        <v>33</v>
      </c>
      <c r="D746" s="32">
        <v>44839</v>
      </c>
      <c r="E746" s="33">
        <v>8722</v>
      </c>
      <c r="F746" s="34">
        <v>109</v>
      </c>
    </row>
    <row r="747" spans="1:6" x14ac:dyDescent="0.3">
      <c r="A747" s="35" t="s">
        <v>34</v>
      </c>
      <c r="B747" s="36" t="s">
        <v>15</v>
      </c>
      <c r="C747" s="36" t="s">
        <v>75</v>
      </c>
      <c r="D747" s="36" t="s">
        <v>133</v>
      </c>
      <c r="E747" s="38">
        <v>15750</v>
      </c>
      <c r="F747" s="39">
        <v>92</v>
      </c>
    </row>
    <row r="748" spans="1:6" x14ac:dyDescent="0.3">
      <c r="A748" s="30" t="s">
        <v>83</v>
      </c>
      <c r="B748" s="31" t="s">
        <v>10</v>
      </c>
      <c r="C748" s="31" t="s">
        <v>90</v>
      </c>
      <c r="D748" s="31" t="s">
        <v>61</v>
      </c>
      <c r="E748" s="33">
        <v>6839</v>
      </c>
      <c r="F748" s="34">
        <v>56</v>
      </c>
    </row>
    <row r="749" spans="1:6" x14ac:dyDescent="0.3">
      <c r="A749" s="35" t="s">
        <v>9</v>
      </c>
      <c r="B749" s="36" t="s">
        <v>35</v>
      </c>
      <c r="C749" s="36" t="s">
        <v>26</v>
      </c>
      <c r="D749" s="37">
        <v>44900</v>
      </c>
      <c r="E749" s="38">
        <v>13685</v>
      </c>
      <c r="F749" s="39">
        <v>58</v>
      </c>
    </row>
    <row r="750" spans="1:6" x14ac:dyDescent="0.3">
      <c r="A750" s="30" t="s">
        <v>70</v>
      </c>
      <c r="B750" s="31" t="s">
        <v>25</v>
      </c>
      <c r="C750" s="31" t="s">
        <v>87</v>
      </c>
      <c r="D750" s="31" t="s">
        <v>142</v>
      </c>
      <c r="E750" s="33">
        <v>2912</v>
      </c>
      <c r="F750" s="34">
        <v>110</v>
      </c>
    </row>
    <row r="751" spans="1:6" x14ac:dyDescent="0.3">
      <c r="A751" s="35" t="s">
        <v>41</v>
      </c>
      <c r="B751" s="36" t="s">
        <v>10</v>
      </c>
      <c r="C751" s="36" t="s">
        <v>50</v>
      </c>
      <c r="D751" s="36" t="s">
        <v>138</v>
      </c>
      <c r="E751" s="38">
        <v>3339</v>
      </c>
      <c r="F751" s="39">
        <v>171</v>
      </c>
    </row>
    <row r="752" spans="1:6" x14ac:dyDescent="0.3">
      <c r="A752" s="30" t="s">
        <v>12</v>
      </c>
      <c r="B752" s="31" t="s">
        <v>15</v>
      </c>
      <c r="C752" s="31" t="s">
        <v>65</v>
      </c>
      <c r="D752" s="31" t="s">
        <v>135</v>
      </c>
      <c r="E752" s="33">
        <v>910</v>
      </c>
      <c r="F752" s="34">
        <v>117</v>
      </c>
    </row>
    <row r="753" spans="1:6" x14ac:dyDescent="0.3">
      <c r="A753" s="35" t="s">
        <v>29</v>
      </c>
      <c r="B753" s="36" t="s">
        <v>25</v>
      </c>
      <c r="C753" s="36" t="s">
        <v>36</v>
      </c>
      <c r="D753" s="37">
        <v>44744</v>
      </c>
      <c r="E753" s="38">
        <v>19481</v>
      </c>
      <c r="F753" s="39">
        <v>51</v>
      </c>
    </row>
    <row r="754" spans="1:6" x14ac:dyDescent="0.3">
      <c r="A754" s="30" t="s">
        <v>70</v>
      </c>
      <c r="B754" s="31" t="s">
        <v>35</v>
      </c>
      <c r="C754" s="31" t="s">
        <v>18</v>
      </c>
      <c r="D754" s="31" t="s">
        <v>123</v>
      </c>
      <c r="E754" s="33">
        <v>8099</v>
      </c>
      <c r="F754" s="34">
        <v>118</v>
      </c>
    </row>
    <row r="755" spans="1:6" x14ac:dyDescent="0.3">
      <c r="A755" s="35" t="s">
        <v>14</v>
      </c>
      <c r="B755" s="36" t="s">
        <v>10</v>
      </c>
      <c r="C755" s="36" t="s">
        <v>87</v>
      </c>
      <c r="D755" s="37">
        <v>44569</v>
      </c>
      <c r="E755" s="38">
        <v>13727</v>
      </c>
      <c r="F755" s="39">
        <v>79</v>
      </c>
    </row>
    <row r="756" spans="1:6" x14ac:dyDescent="0.3">
      <c r="A756" s="30" t="s">
        <v>6</v>
      </c>
      <c r="B756" s="31" t="s">
        <v>15</v>
      </c>
      <c r="C756" s="31" t="s">
        <v>46</v>
      </c>
      <c r="D756" s="31" t="s">
        <v>133</v>
      </c>
      <c r="E756" s="33">
        <v>8659</v>
      </c>
      <c r="F756" s="34">
        <v>29</v>
      </c>
    </row>
    <row r="757" spans="1:6" x14ac:dyDescent="0.3">
      <c r="A757" s="35" t="s">
        <v>12</v>
      </c>
      <c r="B757" s="36" t="s">
        <v>35</v>
      </c>
      <c r="C757" s="36" t="s">
        <v>57</v>
      </c>
      <c r="D757" s="36" t="s">
        <v>127</v>
      </c>
      <c r="E757" s="38">
        <v>5782</v>
      </c>
      <c r="F757" s="39">
        <v>103</v>
      </c>
    </row>
    <row r="758" spans="1:6" x14ac:dyDescent="0.3">
      <c r="A758" s="30" t="s">
        <v>41</v>
      </c>
      <c r="B758" s="31" t="s">
        <v>7</v>
      </c>
      <c r="C758" s="31" t="s">
        <v>36</v>
      </c>
      <c r="D758" s="31" t="s">
        <v>134</v>
      </c>
      <c r="E758" s="33">
        <v>8463</v>
      </c>
      <c r="F758" s="34">
        <v>155</v>
      </c>
    </row>
    <row r="759" spans="1:6" x14ac:dyDescent="0.3">
      <c r="A759" s="35" t="s">
        <v>40</v>
      </c>
      <c r="B759" s="36" t="s">
        <v>25</v>
      </c>
      <c r="C759" s="36" t="s">
        <v>36</v>
      </c>
      <c r="D759" s="36" t="s">
        <v>115</v>
      </c>
      <c r="E759" s="38">
        <v>4914</v>
      </c>
      <c r="F759" s="39">
        <v>31</v>
      </c>
    </row>
    <row r="760" spans="1:6" x14ac:dyDescent="0.3">
      <c r="A760" s="30" t="s">
        <v>53</v>
      </c>
      <c r="B760" s="31" t="s">
        <v>15</v>
      </c>
      <c r="C760" s="31" t="s">
        <v>20</v>
      </c>
      <c r="D760" s="31" t="s">
        <v>93</v>
      </c>
      <c r="E760" s="33">
        <v>3087</v>
      </c>
      <c r="F760" s="34">
        <v>128</v>
      </c>
    </row>
    <row r="761" spans="1:6" x14ac:dyDescent="0.3">
      <c r="A761" s="35" t="s">
        <v>22</v>
      </c>
      <c r="B761" s="36" t="s">
        <v>25</v>
      </c>
      <c r="C761" s="36" t="s">
        <v>57</v>
      </c>
      <c r="D761" s="37">
        <v>44840</v>
      </c>
      <c r="E761" s="38">
        <v>9205</v>
      </c>
      <c r="F761" s="39">
        <v>419</v>
      </c>
    </row>
    <row r="762" spans="1:6" x14ac:dyDescent="0.3">
      <c r="A762" s="30" t="s">
        <v>48</v>
      </c>
      <c r="B762" s="31" t="s">
        <v>35</v>
      </c>
      <c r="C762" s="31" t="s">
        <v>100</v>
      </c>
      <c r="D762" s="31" t="s">
        <v>96</v>
      </c>
      <c r="E762" s="33">
        <v>2303</v>
      </c>
      <c r="F762" s="34">
        <v>7</v>
      </c>
    </row>
    <row r="763" spans="1:6" x14ac:dyDescent="0.3">
      <c r="A763" s="35" t="s">
        <v>70</v>
      </c>
      <c r="B763" s="36" t="s">
        <v>25</v>
      </c>
      <c r="C763" s="36" t="s">
        <v>60</v>
      </c>
      <c r="D763" s="37">
        <v>44777</v>
      </c>
      <c r="E763" s="38">
        <v>1358</v>
      </c>
      <c r="F763" s="39">
        <v>106</v>
      </c>
    </row>
    <row r="764" spans="1:6" x14ac:dyDescent="0.3">
      <c r="A764" s="30" t="s">
        <v>79</v>
      </c>
      <c r="B764" s="31" t="s">
        <v>15</v>
      </c>
      <c r="C764" s="31" t="s">
        <v>87</v>
      </c>
      <c r="D764" s="32">
        <v>44748</v>
      </c>
      <c r="E764" s="33">
        <v>3605</v>
      </c>
      <c r="F764" s="34">
        <v>68</v>
      </c>
    </row>
    <row r="765" spans="1:6" x14ac:dyDescent="0.3">
      <c r="A765" s="35" t="s">
        <v>31</v>
      </c>
      <c r="B765" s="36" t="s">
        <v>15</v>
      </c>
      <c r="C765" s="36" t="s">
        <v>11</v>
      </c>
      <c r="D765" s="37">
        <v>44836</v>
      </c>
      <c r="E765" s="38">
        <v>8498</v>
      </c>
      <c r="F765" s="39">
        <v>44</v>
      </c>
    </row>
    <row r="766" spans="1:6" x14ac:dyDescent="0.3">
      <c r="A766" s="30" t="s">
        <v>41</v>
      </c>
      <c r="B766" s="31" t="s">
        <v>15</v>
      </c>
      <c r="C766" s="31" t="s">
        <v>26</v>
      </c>
      <c r="D766" s="31" t="s">
        <v>86</v>
      </c>
      <c r="E766" s="33">
        <v>700</v>
      </c>
      <c r="F766" s="34">
        <v>457</v>
      </c>
    </row>
    <row r="767" spans="1:6" x14ac:dyDescent="0.3">
      <c r="A767" s="35" t="s">
        <v>22</v>
      </c>
      <c r="B767" s="36" t="s">
        <v>10</v>
      </c>
      <c r="C767" s="36" t="s">
        <v>87</v>
      </c>
      <c r="D767" s="36" t="s">
        <v>133</v>
      </c>
      <c r="E767" s="38">
        <v>2191</v>
      </c>
      <c r="F767" s="39">
        <v>524</v>
      </c>
    </row>
    <row r="768" spans="1:6" x14ac:dyDescent="0.3">
      <c r="A768" s="30" t="s">
        <v>9</v>
      </c>
      <c r="B768" s="31" t="s">
        <v>15</v>
      </c>
      <c r="C768" s="31" t="s">
        <v>26</v>
      </c>
      <c r="D768" s="31" t="s">
        <v>94</v>
      </c>
      <c r="E768" s="33">
        <v>644</v>
      </c>
      <c r="F768" s="34">
        <v>137</v>
      </c>
    </row>
    <row r="769" spans="1:6" x14ac:dyDescent="0.3">
      <c r="A769" s="35" t="s">
        <v>19</v>
      </c>
      <c r="B769" s="36" t="s">
        <v>32</v>
      </c>
      <c r="C769" s="36" t="s">
        <v>60</v>
      </c>
      <c r="D769" s="36" t="s">
        <v>113</v>
      </c>
      <c r="E769" s="38">
        <v>4340</v>
      </c>
      <c r="F769" s="39">
        <v>86</v>
      </c>
    </row>
    <row r="770" spans="1:6" x14ac:dyDescent="0.3">
      <c r="A770" s="30" t="s">
        <v>9</v>
      </c>
      <c r="B770" s="31" t="s">
        <v>35</v>
      </c>
      <c r="C770" s="31" t="s">
        <v>75</v>
      </c>
      <c r="D770" s="31" t="s">
        <v>137</v>
      </c>
      <c r="E770" s="33">
        <v>2282</v>
      </c>
      <c r="F770" s="34">
        <v>296</v>
      </c>
    </row>
    <row r="771" spans="1:6" x14ac:dyDescent="0.3">
      <c r="A771" s="35" t="s">
        <v>37</v>
      </c>
      <c r="B771" s="36" t="s">
        <v>35</v>
      </c>
      <c r="C771" s="36" t="s">
        <v>100</v>
      </c>
      <c r="D771" s="36" t="s">
        <v>143</v>
      </c>
      <c r="E771" s="38">
        <v>7714</v>
      </c>
      <c r="F771" s="39">
        <v>597</v>
      </c>
    </row>
    <row r="772" spans="1:6" x14ac:dyDescent="0.3">
      <c r="A772" s="30" t="s">
        <v>70</v>
      </c>
      <c r="B772" s="31" t="s">
        <v>35</v>
      </c>
      <c r="C772" s="31" t="s">
        <v>57</v>
      </c>
      <c r="D772" s="31" t="s">
        <v>92</v>
      </c>
      <c r="E772" s="33">
        <v>826</v>
      </c>
      <c r="F772" s="34">
        <v>149</v>
      </c>
    </row>
    <row r="773" spans="1:6" x14ac:dyDescent="0.3">
      <c r="A773" s="35" t="s">
        <v>71</v>
      </c>
      <c r="B773" s="36" t="s">
        <v>10</v>
      </c>
      <c r="C773" s="36" t="s">
        <v>20</v>
      </c>
      <c r="D773" s="37">
        <v>44600</v>
      </c>
      <c r="E773" s="38">
        <v>203</v>
      </c>
      <c r="F773" s="39">
        <v>207</v>
      </c>
    </row>
    <row r="774" spans="1:6" x14ac:dyDescent="0.3">
      <c r="A774" s="30" t="s">
        <v>77</v>
      </c>
      <c r="B774" s="31" t="s">
        <v>25</v>
      </c>
      <c r="C774" s="31" t="s">
        <v>100</v>
      </c>
      <c r="D774" s="31" t="s">
        <v>125</v>
      </c>
      <c r="E774" s="33">
        <v>13356</v>
      </c>
      <c r="F774" s="34">
        <v>93</v>
      </c>
    </row>
    <row r="775" spans="1:6" x14ac:dyDescent="0.3">
      <c r="A775" s="35" t="s">
        <v>34</v>
      </c>
      <c r="B775" s="36" t="s">
        <v>25</v>
      </c>
      <c r="C775" s="36" t="s">
        <v>33</v>
      </c>
      <c r="D775" s="37">
        <v>44563</v>
      </c>
      <c r="E775" s="38">
        <v>6510</v>
      </c>
      <c r="F775" s="39">
        <v>23</v>
      </c>
    </row>
    <row r="776" spans="1:6" x14ac:dyDescent="0.3">
      <c r="A776" s="30" t="s">
        <v>14</v>
      </c>
      <c r="B776" s="31" t="s">
        <v>35</v>
      </c>
      <c r="C776" s="31" t="s">
        <v>100</v>
      </c>
      <c r="D776" s="31" t="s">
        <v>44</v>
      </c>
      <c r="E776" s="33">
        <v>5894</v>
      </c>
      <c r="F776" s="34">
        <v>305</v>
      </c>
    </row>
    <row r="777" spans="1:6" x14ac:dyDescent="0.3">
      <c r="A777" s="35" t="s">
        <v>70</v>
      </c>
      <c r="B777" s="36" t="s">
        <v>15</v>
      </c>
      <c r="C777" s="36" t="s">
        <v>46</v>
      </c>
      <c r="D777" s="36" t="s">
        <v>17</v>
      </c>
      <c r="E777" s="38">
        <v>7910</v>
      </c>
      <c r="F777" s="39">
        <v>125</v>
      </c>
    </row>
    <row r="778" spans="1:6" x14ac:dyDescent="0.3">
      <c r="A778" s="30" t="s">
        <v>58</v>
      </c>
      <c r="B778" s="31" t="s">
        <v>10</v>
      </c>
      <c r="C778" s="31" t="s">
        <v>33</v>
      </c>
      <c r="D778" s="31" t="s">
        <v>133</v>
      </c>
      <c r="E778" s="33">
        <v>784</v>
      </c>
      <c r="F778" s="34">
        <v>129</v>
      </c>
    </row>
    <row r="779" spans="1:6" x14ac:dyDescent="0.3">
      <c r="A779" s="35" t="s">
        <v>53</v>
      </c>
      <c r="B779" s="36" t="s">
        <v>7</v>
      </c>
      <c r="C779" s="36" t="s">
        <v>36</v>
      </c>
      <c r="D779" s="36" t="s">
        <v>140</v>
      </c>
      <c r="E779" s="38">
        <v>1750</v>
      </c>
      <c r="F779" s="39">
        <v>252</v>
      </c>
    </row>
    <row r="780" spans="1:6" x14ac:dyDescent="0.3">
      <c r="A780" s="30" t="s">
        <v>12</v>
      </c>
      <c r="B780" s="31" t="s">
        <v>32</v>
      </c>
      <c r="C780" s="31" t="s">
        <v>13</v>
      </c>
      <c r="D780" s="32">
        <v>44809</v>
      </c>
      <c r="E780" s="33">
        <v>280</v>
      </c>
      <c r="F780" s="34">
        <v>75</v>
      </c>
    </row>
    <row r="781" spans="1:6" x14ac:dyDescent="0.3">
      <c r="A781" s="35" t="s">
        <v>64</v>
      </c>
      <c r="B781" s="36" t="s">
        <v>32</v>
      </c>
      <c r="C781" s="36" t="s">
        <v>18</v>
      </c>
      <c r="D781" s="36" t="s">
        <v>115</v>
      </c>
      <c r="E781" s="38">
        <v>504</v>
      </c>
      <c r="F781" s="39">
        <v>87</v>
      </c>
    </row>
    <row r="782" spans="1:6" x14ac:dyDescent="0.3">
      <c r="A782" s="30" t="s">
        <v>48</v>
      </c>
      <c r="B782" s="31" t="s">
        <v>10</v>
      </c>
      <c r="C782" s="31" t="s">
        <v>59</v>
      </c>
      <c r="D782" s="32">
        <v>44658</v>
      </c>
      <c r="E782" s="33">
        <v>7154</v>
      </c>
      <c r="F782" s="34">
        <v>342</v>
      </c>
    </row>
    <row r="783" spans="1:6" x14ac:dyDescent="0.3">
      <c r="A783" s="35" t="s">
        <v>19</v>
      </c>
      <c r="B783" s="36" t="s">
        <v>25</v>
      </c>
      <c r="C783" s="36" t="s">
        <v>50</v>
      </c>
      <c r="D783" s="37">
        <v>44626</v>
      </c>
      <c r="E783" s="38">
        <v>1617</v>
      </c>
      <c r="F783" s="39">
        <v>13</v>
      </c>
    </row>
    <row r="784" spans="1:6" x14ac:dyDescent="0.3">
      <c r="A784" s="30" t="s">
        <v>41</v>
      </c>
      <c r="B784" s="31" t="s">
        <v>25</v>
      </c>
      <c r="C784" s="31" t="s">
        <v>13</v>
      </c>
      <c r="D784" s="31" t="s">
        <v>76</v>
      </c>
      <c r="E784" s="33">
        <v>10822</v>
      </c>
      <c r="F784" s="34">
        <v>30</v>
      </c>
    </row>
    <row r="785" spans="1:6" x14ac:dyDescent="0.3">
      <c r="A785" s="35" t="s">
        <v>79</v>
      </c>
      <c r="B785" s="36" t="s">
        <v>25</v>
      </c>
      <c r="C785" s="36" t="s">
        <v>20</v>
      </c>
      <c r="D785" s="37">
        <v>44809</v>
      </c>
      <c r="E785" s="38">
        <v>10724</v>
      </c>
      <c r="F785" s="39">
        <v>203</v>
      </c>
    </row>
    <row r="786" spans="1:6" x14ac:dyDescent="0.3">
      <c r="A786" s="30" t="s">
        <v>70</v>
      </c>
      <c r="B786" s="31" t="s">
        <v>10</v>
      </c>
      <c r="C786" s="31" t="s">
        <v>100</v>
      </c>
      <c r="D786" s="32">
        <v>44718</v>
      </c>
      <c r="E786" s="33">
        <v>3640</v>
      </c>
      <c r="F786" s="34">
        <v>106</v>
      </c>
    </row>
    <row r="787" spans="1:6" x14ac:dyDescent="0.3">
      <c r="A787" s="35" t="s">
        <v>70</v>
      </c>
      <c r="B787" s="36" t="s">
        <v>10</v>
      </c>
      <c r="C787" s="36" t="s">
        <v>38</v>
      </c>
      <c r="D787" s="37">
        <v>44658</v>
      </c>
      <c r="E787" s="38">
        <v>7532</v>
      </c>
      <c r="F787" s="39">
        <v>234</v>
      </c>
    </row>
    <row r="788" spans="1:6" x14ac:dyDescent="0.3">
      <c r="A788" s="30" t="s">
        <v>28</v>
      </c>
      <c r="B788" s="31" t="s">
        <v>25</v>
      </c>
      <c r="C788" s="31" t="s">
        <v>38</v>
      </c>
      <c r="D788" s="32">
        <v>44718</v>
      </c>
      <c r="E788" s="33">
        <v>1582</v>
      </c>
      <c r="F788" s="34">
        <v>100</v>
      </c>
    </row>
    <row r="789" spans="1:6" x14ac:dyDescent="0.3">
      <c r="A789" s="35" t="s">
        <v>79</v>
      </c>
      <c r="B789" s="36" t="s">
        <v>15</v>
      </c>
      <c r="C789" s="36" t="s">
        <v>65</v>
      </c>
      <c r="D789" s="36" t="s">
        <v>130</v>
      </c>
      <c r="E789" s="38">
        <v>1456</v>
      </c>
      <c r="F789" s="39">
        <v>91</v>
      </c>
    </row>
    <row r="790" spans="1:6" x14ac:dyDescent="0.3">
      <c r="A790" s="30" t="s">
        <v>64</v>
      </c>
      <c r="B790" s="31" t="s">
        <v>25</v>
      </c>
      <c r="C790" s="31" t="s">
        <v>42</v>
      </c>
      <c r="D790" s="31" t="s">
        <v>96</v>
      </c>
      <c r="E790" s="33">
        <v>2016</v>
      </c>
      <c r="F790" s="34">
        <v>277</v>
      </c>
    </row>
    <row r="791" spans="1:6" x14ac:dyDescent="0.3">
      <c r="A791" s="35" t="s">
        <v>83</v>
      </c>
      <c r="B791" s="36" t="s">
        <v>25</v>
      </c>
      <c r="C791" s="36" t="s">
        <v>90</v>
      </c>
      <c r="D791" s="36" t="s">
        <v>66</v>
      </c>
      <c r="E791" s="38">
        <v>7588</v>
      </c>
      <c r="F791" s="39">
        <v>42</v>
      </c>
    </row>
    <row r="792" spans="1:6" x14ac:dyDescent="0.3">
      <c r="A792" s="30" t="s">
        <v>31</v>
      </c>
      <c r="B792" s="31" t="s">
        <v>35</v>
      </c>
      <c r="C792" s="31" t="s">
        <v>60</v>
      </c>
      <c r="D792" s="31" t="s">
        <v>103</v>
      </c>
      <c r="E792" s="33">
        <v>3402</v>
      </c>
      <c r="F792" s="34">
        <v>249</v>
      </c>
    </row>
    <row r="793" spans="1:6" x14ac:dyDescent="0.3">
      <c r="A793" s="35" t="s">
        <v>12</v>
      </c>
      <c r="B793" s="36" t="s">
        <v>25</v>
      </c>
      <c r="C793" s="36" t="s">
        <v>18</v>
      </c>
      <c r="D793" s="37">
        <v>44835</v>
      </c>
      <c r="E793" s="38">
        <v>700</v>
      </c>
      <c r="F793" s="39">
        <v>97</v>
      </c>
    </row>
    <row r="794" spans="1:6" x14ac:dyDescent="0.3">
      <c r="A794" s="30" t="s">
        <v>28</v>
      </c>
      <c r="B794" s="31" t="s">
        <v>32</v>
      </c>
      <c r="C794" s="31" t="s">
        <v>60</v>
      </c>
      <c r="D794" s="31" t="s">
        <v>78</v>
      </c>
      <c r="E794" s="33">
        <v>1904</v>
      </c>
      <c r="F794" s="34">
        <v>8</v>
      </c>
    </row>
    <row r="795" spans="1:6" x14ac:dyDescent="0.3">
      <c r="A795" s="35" t="s">
        <v>45</v>
      </c>
      <c r="B795" s="36" t="s">
        <v>25</v>
      </c>
      <c r="C795" s="36" t="s">
        <v>11</v>
      </c>
      <c r="D795" s="36" t="s">
        <v>91</v>
      </c>
      <c r="E795" s="38">
        <v>4844</v>
      </c>
      <c r="F795" s="39">
        <v>275</v>
      </c>
    </row>
    <row r="796" spans="1:6" x14ac:dyDescent="0.3">
      <c r="A796" s="30" t="s">
        <v>19</v>
      </c>
      <c r="B796" s="31" t="s">
        <v>7</v>
      </c>
      <c r="C796" s="31" t="s">
        <v>18</v>
      </c>
      <c r="D796" s="31" t="s">
        <v>126</v>
      </c>
      <c r="E796" s="33">
        <v>9625</v>
      </c>
      <c r="F796" s="34">
        <v>313</v>
      </c>
    </row>
    <row r="797" spans="1:6" x14ac:dyDescent="0.3">
      <c r="A797" s="35" t="s">
        <v>19</v>
      </c>
      <c r="B797" s="36" t="s">
        <v>7</v>
      </c>
      <c r="C797" s="36" t="s">
        <v>73</v>
      </c>
      <c r="D797" s="37">
        <v>44777</v>
      </c>
      <c r="E797" s="38">
        <v>4599</v>
      </c>
      <c r="F797" s="39">
        <v>323</v>
      </c>
    </row>
    <row r="798" spans="1:6" x14ac:dyDescent="0.3">
      <c r="A798" s="30" t="s">
        <v>45</v>
      </c>
      <c r="B798" s="31" t="s">
        <v>32</v>
      </c>
      <c r="C798" s="31" t="s">
        <v>38</v>
      </c>
      <c r="D798" s="31" t="s">
        <v>109</v>
      </c>
      <c r="E798" s="33">
        <v>3003</v>
      </c>
      <c r="F798" s="34">
        <v>155</v>
      </c>
    </row>
    <row r="799" spans="1:6" x14ac:dyDescent="0.3">
      <c r="A799" s="35" t="s">
        <v>67</v>
      </c>
      <c r="B799" s="36" t="s">
        <v>15</v>
      </c>
      <c r="C799" s="36" t="s">
        <v>60</v>
      </c>
      <c r="D799" s="36" t="s">
        <v>155</v>
      </c>
      <c r="E799" s="38">
        <v>9744</v>
      </c>
      <c r="F799" s="39">
        <v>377</v>
      </c>
    </row>
    <row r="800" spans="1:6" x14ac:dyDescent="0.3">
      <c r="A800" s="30" t="s">
        <v>34</v>
      </c>
      <c r="B800" s="31" t="s">
        <v>10</v>
      </c>
      <c r="C800" s="31" t="s">
        <v>73</v>
      </c>
      <c r="D800" s="32">
        <v>44595</v>
      </c>
      <c r="E800" s="33">
        <v>1400</v>
      </c>
      <c r="F800" s="34">
        <v>2</v>
      </c>
    </row>
    <row r="801" spans="1:6" x14ac:dyDescent="0.3">
      <c r="A801" s="35" t="s">
        <v>6</v>
      </c>
      <c r="B801" s="36" t="s">
        <v>32</v>
      </c>
      <c r="C801" s="36" t="s">
        <v>33</v>
      </c>
      <c r="D801" s="36" t="s">
        <v>39</v>
      </c>
      <c r="E801" s="38">
        <v>364</v>
      </c>
      <c r="F801" s="39">
        <v>170</v>
      </c>
    </row>
    <row r="802" spans="1:6" x14ac:dyDescent="0.3">
      <c r="A802" s="30" t="s">
        <v>55</v>
      </c>
      <c r="B802" s="31" t="s">
        <v>25</v>
      </c>
      <c r="C802" s="31" t="s">
        <v>100</v>
      </c>
      <c r="D802" s="31" t="s">
        <v>24</v>
      </c>
      <c r="E802" s="33">
        <v>7231</v>
      </c>
      <c r="F802" s="34">
        <v>38</v>
      </c>
    </row>
    <row r="803" spans="1:6" x14ac:dyDescent="0.3">
      <c r="A803" s="35" t="s">
        <v>28</v>
      </c>
      <c r="B803" s="36" t="s">
        <v>7</v>
      </c>
      <c r="C803" s="36" t="s">
        <v>60</v>
      </c>
      <c r="D803" s="41" t="s">
        <v>294</v>
      </c>
      <c r="E803" s="38">
        <v>73.91</v>
      </c>
      <c r="F803" s="39">
        <v>101</v>
      </c>
    </row>
    <row r="804" spans="1:6" x14ac:dyDescent="0.3">
      <c r="A804" s="30" t="s">
        <v>53</v>
      </c>
      <c r="B804" s="31" t="s">
        <v>7</v>
      </c>
      <c r="C804" s="31" t="s">
        <v>65</v>
      </c>
      <c r="D804" s="31" t="s">
        <v>144</v>
      </c>
      <c r="E804" s="33">
        <v>8309</v>
      </c>
      <c r="F804" s="34">
        <v>166</v>
      </c>
    </row>
    <row r="805" spans="1:6" x14ac:dyDescent="0.3">
      <c r="A805" s="35" t="s">
        <v>55</v>
      </c>
      <c r="B805" s="36" t="s">
        <v>35</v>
      </c>
      <c r="C805" s="36" t="s">
        <v>75</v>
      </c>
      <c r="D805" s="36" t="s">
        <v>84</v>
      </c>
      <c r="E805" s="38">
        <v>3164</v>
      </c>
      <c r="F805" s="39">
        <v>164</v>
      </c>
    </row>
    <row r="806" spans="1:6" x14ac:dyDescent="0.3">
      <c r="A806" s="30" t="s">
        <v>45</v>
      </c>
      <c r="B806" s="31" t="s">
        <v>7</v>
      </c>
      <c r="C806" s="31" t="s">
        <v>13</v>
      </c>
      <c r="D806" s="31" t="s">
        <v>135</v>
      </c>
      <c r="E806" s="33">
        <v>5691</v>
      </c>
      <c r="F806" s="34">
        <v>171</v>
      </c>
    </row>
    <row r="807" spans="1:6" x14ac:dyDescent="0.3">
      <c r="A807" s="35" t="s">
        <v>83</v>
      </c>
      <c r="B807" s="36" t="s">
        <v>25</v>
      </c>
      <c r="C807" s="36" t="s">
        <v>36</v>
      </c>
      <c r="D807" s="37">
        <v>44655</v>
      </c>
      <c r="E807" s="38">
        <v>490</v>
      </c>
      <c r="F807" s="39">
        <v>49</v>
      </c>
    </row>
    <row r="808" spans="1:6" x14ac:dyDescent="0.3">
      <c r="A808" s="30" t="s">
        <v>28</v>
      </c>
      <c r="B808" s="31" t="s">
        <v>10</v>
      </c>
      <c r="C808" s="31" t="s">
        <v>11</v>
      </c>
      <c r="D808" s="32">
        <v>44812</v>
      </c>
      <c r="E808" s="33">
        <v>18032</v>
      </c>
      <c r="F808" s="34">
        <v>205</v>
      </c>
    </row>
    <row r="809" spans="1:6" x14ac:dyDescent="0.3">
      <c r="A809" s="35" t="s">
        <v>28</v>
      </c>
      <c r="B809" s="36" t="s">
        <v>25</v>
      </c>
      <c r="C809" s="36" t="s">
        <v>42</v>
      </c>
      <c r="D809" s="36" t="s">
        <v>152</v>
      </c>
      <c r="E809" s="38">
        <v>637</v>
      </c>
      <c r="F809" s="39">
        <v>313</v>
      </c>
    </row>
    <row r="810" spans="1:6" x14ac:dyDescent="0.3">
      <c r="A810" s="30" t="s">
        <v>67</v>
      </c>
      <c r="B810" s="31" t="s">
        <v>35</v>
      </c>
      <c r="C810" s="31" t="s">
        <v>59</v>
      </c>
      <c r="D810" s="31" t="s">
        <v>44</v>
      </c>
      <c r="E810" s="33">
        <v>4067</v>
      </c>
      <c r="F810" s="34">
        <v>29</v>
      </c>
    </row>
    <row r="811" spans="1:6" x14ac:dyDescent="0.3">
      <c r="A811" s="35" t="s">
        <v>12</v>
      </c>
      <c r="B811" s="36" t="s">
        <v>25</v>
      </c>
      <c r="C811" s="36" t="s">
        <v>33</v>
      </c>
      <c r="D811" s="36" t="s">
        <v>86</v>
      </c>
      <c r="E811" s="38">
        <v>8204</v>
      </c>
      <c r="F811" s="39">
        <v>307</v>
      </c>
    </row>
    <row r="812" spans="1:6" x14ac:dyDescent="0.3">
      <c r="A812" s="30" t="s">
        <v>83</v>
      </c>
      <c r="B812" s="31" t="s">
        <v>35</v>
      </c>
      <c r="C812" s="31" t="s">
        <v>18</v>
      </c>
      <c r="D812" s="31" t="s">
        <v>108</v>
      </c>
      <c r="E812" s="33">
        <v>9870</v>
      </c>
      <c r="F812" s="34">
        <v>121</v>
      </c>
    </row>
    <row r="813" spans="1:6" x14ac:dyDescent="0.3">
      <c r="A813" s="35" t="s">
        <v>53</v>
      </c>
      <c r="B813" s="36" t="s">
        <v>35</v>
      </c>
      <c r="C813" s="36" t="s">
        <v>100</v>
      </c>
      <c r="D813" s="36" t="s">
        <v>96</v>
      </c>
      <c r="E813" s="38">
        <v>5131</v>
      </c>
      <c r="F813" s="39">
        <v>285</v>
      </c>
    </row>
    <row r="814" spans="1:6" x14ac:dyDescent="0.3">
      <c r="A814" s="30" t="s">
        <v>31</v>
      </c>
      <c r="B814" s="31" t="s">
        <v>35</v>
      </c>
      <c r="C814" s="31" t="s">
        <v>42</v>
      </c>
      <c r="D814" s="32">
        <v>44837</v>
      </c>
      <c r="E814" s="33">
        <v>1141</v>
      </c>
      <c r="F814" s="34">
        <v>205</v>
      </c>
    </row>
    <row r="815" spans="1:6" x14ac:dyDescent="0.3">
      <c r="A815" s="35" t="s">
        <v>19</v>
      </c>
      <c r="B815" s="36" t="s">
        <v>7</v>
      </c>
      <c r="C815" s="36" t="s">
        <v>42</v>
      </c>
      <c r="D815" s="36" t="s">
        <v>66</v>
      </c>
      <c r="E815" s="38">
        <v>7980</v>
      </c>
      <c r="F815" s="39">
        <v>157</v>
      </c>
    </row>
    <row r="816" spans="1:6" x14ac:dyDescent="0.3">
      <c r="A816" s="30" t="s">
        <v>9</v>
      </c>
      <c r="B816" s="31" t="s">
        <v>25</v>
      </c>
      <c r="C816" s="31" t="s">
        <v>36</v>
      </c>
      <c r="D816" s="32">
        <v>44564</v>
      </c>
      <c r="E816" s="33">
        <v>5229</v>
      </c>
      <c r="F816" s="34">
        <v>182</v>
      </c>
    </row>
    <row r="817" spans="1:6" x14ac:dyDescent="0.3">
      <c r="A817" s="35" t="s">
        <v>34</v>
      </c>
      <c r="B817" s="36" t="s">
        <v>7</v>
      </c>
      <c r="C817" s="36" t="s">
        <v>38</v>
      </c>
      <c r="D817" s="36" t="s">
        <v>89</v>
      </c>
      <c r="E817" s="38">
        <v>3423</v>
      </c>
      <c r="F817" s="39">
        <v>100</v>
      </c>
    </row>
    <row r="818" spans="1:6" x14ac:dyDescent="0.3">
      <c r="A818" s="30" t="s">
        <v>19</v>
      </c>
      <c r="B818" s="31" t="s">
        <v>7</v>
      </c>
      <c r="C818" s="31" t="s">
        <v>46</v>
      </c>
      <c r="D818" s="32">
        <v>44872</v>
      </c>
      <c r="E818" s="33">
        <v>6468</v>
      </c>
      <c r="F818" s="34">
        <v>223</v>
      </c>
    </row>
    <row r="819" spans="1:6" x14ac:dyDescent="0.3">
      <c r="A819" s="35" t="s">
        <v>37</v>
      </c>
      <c r="B819" s="36" t="s">
        <v>25</v>
      </c>
      <c r="C819" s="36" t="s">
        <v>8</v>
      </c>
      <c r="D819" s="37">
        <v>44595</v>
      </c>
      <c r="E819" s="38">
        <v>4326</v>
      </c>
      <c r="F819" s="39">
        <v>61</v>
      </c>
    </row>
    <row r="820" spans="1:6" x14ac:dyDescent="0.3">
      <c r="A820" s="30" t="s">
        <v>6</v>
      </c>
      <c r="B820" s="31" t="s">
        <v>32</v>
      </c>
      <c r="C820" s="31" t="s">
        <v>73</v>
      </c>
      <c r="D820" s="32">
        <v>44654</v>
      </c>
      <c r="E820" s="33">
        <v>7154</v>
      </c>
      <c r="F820" s="34">
        <v>133</v>
      </c>
    </row>
    <row r="821" spans="1:6" x14ac:dyDescent="0.3">
      <c r="A821" s="35" t="s">
        <v>70</v>
      </c>
      <c r="B821" s="36" t="s">
        <v>7</v>
      </c>
      <c r="C821" s="36" t="s">
        <v>11</v>
      </c>
      <c r="D821" s="36" t="s">
        <v>142</v>
      </c>
      <c r="E821" s="38">
        <v>3997</v>
      </c>
      <c r="F821" s="39">
        <v>228</v>
      </c>
    </row>
    <row r="822" spans="1:6" x14ac:dyDescent="0.3">
      <c r="A822" s="30" t="s">
        <v>70</v>
      </c>
      <c r="B822" s="31" t="s">
        <v>32</v>
      </c>
      <c r="C822" s="31" t="s">
        <v>65</v>
      </c>
      <c r="D822" s="31" t="s">
        <v>95</v>
      </c>
      <c r="E822" s="33">
        <v>5180</v>
      </c>
      <c r="F822" s="34">
        <v>233</v>
      </c>
    </row>
    <row r="823" spans="1:6" x14ac:dyDescent="0.3">
      <c r="A823" s="35" t="s">
        <v>40</v>
      </c>
      <c r="B823" s="36" t="s">
        <v>35</v>
      </c>
      <c r="C823" s="36" t="s">
        <v>33</v>
      </c>
      <c r="D823" s="36" t="s">
        <v>122</v>
      </c>
      <c r="E823" s="38">
        <v>2723</v>
      </c>
      <c r="F823" s="39">
        <v>425</v>
      </c>
    </row>
    <row r="824" spans="1:6" x14ac:dyDescent="0.3">
      <c r="A824" s="30" t="s">
        <v>58</v>
      </c>
      <c r="B824" s="31" t="s">
        <v>10</v>
      </c>
      <c r="C824" s="31" t="s">
        <v>57</v>
      </c>
      <c r="D824" s="31" t="s">
        <v>120</v>
      </c>
      <c r="E824" s="33">
        <v>952</v>
      </c>
      <c r="F824" s="34">
        <v>24</v>
      </c>
    </row>
    <row r="825" spans="1:6" x14ac:dyDescent="0.3">
      <c r="A825" s="35" t="s">
        <v>28</v>
      </c>
      <c r="B825" s="36" t="s">
        <v>35</v>
      </c>
      <c r="C825" s="36" t="s">
        <v>18</v>
      </c>
      <c r="D825" s="36" t="s">
        <v>130</v>
      </c>
      <c r="E825" s="38">
        <v>5691</v>
      </c>
      <c r="F825" s="39">
        <v>495</v>
      </c>
    </row>
    <row r="826" spans="1:6" x14ac:dyDescent="0.3">
      <c r="A826" s="30" t="s">
        <v>31</v>
      </c>
      <c r="B826" s="31" t="s">
        <v>35</v>
      </c>
      <c r="C826" s="31" t="s">
        <v>87</v>
      </c>
      <c r="D826" s="32">
        <v>44622</v>
      </c>
      <c r="E826" s="33">
        <v>10969</v>
      </c>
      <c r="F826" s="34">
        <v>170</v>
      </c>
    </row>
    <row r="827" spans="1:6" x14ac:dyDescent="0.3">
      <c r="A827" s="35" t="s">
        <v>28</v>
      </c>
      <c r="B827" s="36" t="s">
        <v>10</v>
      </c>
      <c r="C827" s="36" t="s">
        <v>18</v>
      </c>
      <c r="D827" s="36" t="s">
        <v>89</v>
      </c>
      <c r="E827" s="38">
        <v>5964</v>
      </c>
      <c r="F827" s="39">
        <v>26</v>
      </c>
    </row>
    <row r="828" spans="1:6" x14ac:dyDescent="0.3">
      <c r="A828" s="30" t="s">
        <v>14</v>
      </c>
      <c r="B828" s="31" t="s">
        <v>15</v>
      </c>
      <c r="C828" s="31" t="s">
        <v>38</v>
      </c>
      <c r="D828" s="31" t="s">
        <v>157</v>
      </c>
      <c r="E828" s="33">
        <v>2821</v>
      </c>
      <c r="F828" s="34">
        <v>24</v>
      </c>
    </row>
    <row r="829" spans="1:6" x14ac:dyDescent="0.3">
      <c r="A829" s="35" t="s">
        <v>28</v>
      </c>
      <c r="B829" s="36" t="s">
        <v>10</v>
      </c>
      <c r="C829" s="36" t="s">
        <v>50</v>
      </c>
      <c r="D829" s="36" t="s">
        <v>107</v>
      </c>
      <c r="E829" s="38">
        <v>1302</v>
      </c>
      <c r="F829" s="39">
        <v>33</v>
      </c>
    </row>
    <row r="830" spans="1:6" x14ac:dyDescent="0.3">
      <c r="A830" s="30" t="s">
        <v>9</v>
      </c>
      <c r="B830" s="31" t="s">
        <v>7</v>
      </c>
      <c r="C830" s="31" t="s">
        <v>36</v>
      </c>
      <c r="D830" s="31" t="s">
        <v>63</v>
      </c>
      <c r="E830" s="33">
        <v>5474</v>
      </c>
      <c r="F830" s="34">
        <v>109</v>
      </c>
    </row>
    <row r="831" spans="1:6" x14ac:dyDescent="0.3">
      <c r="A831" s="35" t="s">
        <v>64</v>
      </c>
      <c r="B831" s="36" t="s">
        <v>10</v>
      </c>
      <c r="C831" s="36" t="s">
        <v>90</v>
      </c>
      <c r="D831" s="36" t="s">
        <v>30</v>
      </c>
      <c r="E831" s="38">
        <v>4179</v>
      </c>
      <c r="F831" s="39">
        <v>276</v>
      </c>
    </row>
    <row r="832" spans="1:6" x14ac:dyDescent="0.3">
      <c r="A832" s="30" t="s">
        <v>6</v>
      </c>
      <c r="B832" s="31" t="s">
        <v>7</v>
      </c>
      <c r="C832" s="31" t="s">
        <v>23</v>
      </c>
      <c r="D832" s="31" t="s">
        <v>49</v>
      </c>
      <c r="E832" s="33">
        <v>1946</v>
      </c>
      <c r="F832" s="34">
        <v>164</v>
      </c>
    </row>
    <row r="833" spans="1:6" x14ac:dyDescent="0.3">
      <c r="A833" s="35" t="s">
        <v>31</v>
      </c>
      <c r="B833" s="36" t="s">
        <v>35</v>
      </c>
      <c r="C833" s="36" t="s">
        <v>59</v>
      </c>
      <c r="D833" s="36" t="s">
        <v>118</v>
      </c>
      <c r="E833" s="38">
        <v>4291</v>
      </c>
      <c r="F833" s="39">
        <v>1</v>
      </c>
    </row>
    <row r="834" spans="1:6" x14ac:dyDescent="0.3">
      <c r="A834" s="30" t="s">
        <v>22</v>
      </c>
      <c r="B834" s="31" t="s">
        <v>10</v>
      </c>
      <c r="C834" s="31" t="s">
        <v>42</v>
      </c>
      <c r="D834" s="32">
        <v>44626</v>
      </c>
      <c r="E834" s="33">
        <v>7196</v>
      </c>
      <c r="F834" s="34">
        <v>160</v>
      </c>
    </row>
    <row r="835" spans="1:6" x14ac:dyDescent="0.3">
      <c r="A835" s="35" t="s">
        <v>34</v>
      </c>
      <c r="B835" s="36" t="s">
        <v>35</v>
      </c>
      <c r="C835" s="36" t="s">
        <v>18</v>
      </c>
      <c r="D835" s="36" t="s">
        <v>148</v>
      </c>
      <c r="E835" s="38">
        <v>1939</v>
      </c>
      <c r="F835" s="39">
        <v>98</v>
      </c>
    </row>
    <row r="836" spans="1:6" x14ac:dyDescent="0.3">
      <c r="A836" s="30" t="s">
        <v>34</v>
      </c>
      <c r="B836" s="31" t="s">
        <v>10</v>
      </c>
      <c r="C836" s="31" t="s">
        <v>36</v>
      </c>
      <c r="D836" s="32">
        <v>44899</v>
      </c>
      <c r="E836" s="33">
        <v>10437</v>
      </c>
      <c r="F836" s="34">
        <v>46</v>
      </c>
    </row>
    <row r="837" spans="1:6" x14ac:dyDescent="0.3">
      <c r="A837" s="35" t="s">
        <v>29</v>
      </c>
      <c r="B837" s="36" t="s">
        <v>15</v>
      </c>
      <c r="C837" s="36" t="s">
        <v>73</v>
      </c>
      <c r="D837" s="36" t="s">
        <v>105</v>
      </c>
      <c r="E837" s="38">
        <v>6916</v>
      </c>
      <c r="F837" s="39">
        <v>259</v>
      </c>
    </row>
    <row r="838" spans="1:6" x14ac:dyDescent="0.3">
      <c r="A838" s="30" t="s">
        <v>37</v>
      </c>
      <c r="B838" s="31" t="s">
        <v>7</v>
      </c>
      <c r="C838" s="31" t="s">
        <v>26</v>
      </c>
      <c r="D838" s="32">
        <v>44716</v>
      </c>
      <c r="E838" s="33">
        <v>3647</v>
      </c>
      <c r="F838" s="34">
        <v>310</v>
      </c>
    </row>
    <row r="839" spans="1:6" x14ac:dyDescent="0.3">
      <c r="A839" s="35" t="s">
        <v>55</v>
      </c>
      <c r="B839" s="36" t="s">
        <v>15</v>
      </c>
      <c r="C839" s="36" t="s">
        <v>26</v>
      </c>
      <c r="D839" s="37">
        <v>44600</v>
      </c>
      <c r="E839" s="38">
        <v>8995</v>
      </c>
      <c r="F839" s="39">
        <v>78</v>
      </c>
    </row>
    <row r="840" spans="1:6" x14ac:dyDescent="0.3">
      <c r="A840" s="30" t="s">
        <v>12</v>
      </c>
      <c r="B840" s="31" t="s">
        <v>15</v>
      </c>
      <c r="C840" s="31" t="s">
        <v>36</v>
      </c>
      <c r="D840" s="32">
        <v>44899</v>
      </c>
      <c r="E840" s="33">
        <v>7252</v>
      </c>
      <c r="F840" s="34">
        <v>136</v>
      </c>
    </row>
    <row r="841" spans="1:6" x14ac:dyDescent="0.3">
      <c r="A841" s="35" t="s">
        <v>19</v>
      </c>
      <c r="B841" s="36" t="s">
        <v>10</v>
      </c>
      <c r="C841" s="36" t="s">
        <v>38</v>
      </c>
      <c r="D841" s="36" t="s">
        <v>141</v>
      </c>
      <c r="E841" s="38">
        <v>16380</v>
      </c>
      <c r="F841" s="39">
        <v>130</v>
      </c>
    </row>
    <row r="842" spans="1:6" x14ac:dyDescent="0.3">
      <c r="A842" s="30" t="s">
        <v>9</v>
      </c>
      <c r="B842" s="31" t="s">
        <v>25</v>
      </c>
      <c r="C842" s="31" t="s">
        <v>87</v>
      </c>
      <c r="D842" s="31" t="s">
        <v>139</v>
      </c>
      <c r="E842" s="33">
        <v>9660</v>
      </c>
      <c r="F842" s="34">
        <v>24</v>
      </c>
    </row>
    <row r="843" spans="1:6" x14ac:dyDescent="0.3">
      <c r="A843" s="35" t="s">
        <v>53</v>
      </c>
      <c r="B843" s="36" t="s">
        <v>10</v>
      </c>
      <c r="C843" s="36" t="s">
        <v>13</v>
      </c>
      <c r="D843" s="37">
        <v>44809</v>
      </c>
      <c r="E843" s="38">
        <v>4522</v>
      </c>
      <c r="F843" s="39">
        <v>5</v>
      </c>
    </row>
    <row r="844" spans="1:6" x14ac:dyDescent="0.3">
      <c r="A844" s="30" t="s">
        <v>67</v>
      </c>
      <c r="B844" s="31" t="s">
        <v>15</v>
      </c>
      <c r="C844" s="31" t="s">
        <v>87</v>
      </c>
      <c r="D844" s="32">
        <v>44812</v>
      </c>
      <c r="E844" s="33">
        <v>329</v>
      </c>
      <c r="F844" s="34">
        <v>109</v>
      </c>
    </row>
    <row r="845" spans="1:6" x14ac:dyDescent="0.3">
      <c r="A845" s="35" t="s">
        <v>77</v>
      </c>
      <c r="B845" s="36" t="s">
        <v>35</v>
      </c>
      <c r="C845" s="36" t="s">
        <v>75</v>
      </c>
      <c r="D845" s="36" t="s">
        <v>158</v>
      </c>
      <c r="E845" s="38">
        <v>3458</v>
      </c>
      <c r="F845" s="39">
        <v>294</v>
      </c>
    </row>
    <row r="846" spans="1:6" x14ac:dyDescent="0.3">
      <c r="A846" s="30" t="s">
        <v>28</v>
      </c>
      <c r="B846" s="31" t="s">
        <v>10</v>
      </c>
      <c r="C846" s="31" t="s">
        <v>100</v>
      </c>
      <c r="D846" s="31" t="s">
        <v>91</v>
      </c>
      <c r="E846" s="33">
        <v>4641</v>
      </c>
      <c r="F846" s="34">
        <v>413</v>
      </c>
    </row>
    <row r="847" spans="1:6" x14ac:dyDescent="0.3">
      <c r="A847" s="35" t="s">
        <v>6</v>
      </c>
      <c r="B847" s="36" t="s">
        <v>35</v>
      </c>
      <c r="C847" s="36" t="s">
        <v>59</v>
      </c>
      <c r="D847" s="36" t="s">
        <v>21</v>
      </c>
      <c r="E847" s="38">
        <v>4627</v>
      </c>
      <c r="F847" s="39">
        <v>136</v>
      </c>
    </row>
    <row r="848" spans="1:6" x14ac:dyDescent="0.3">
      <c r="A848" s="30" t="s">
        <v>67</v>
      </c>
      <c r="B848" s="31" t="s">
        <v>15</v>
      </c>
      <c r="C848" s="31" t="s">
        <v>65</v>
      </c>
      <c r="D848" s="31" t="s">
        <v>114</v>
      </c>
      <c r="E848" s="33">
        <v>3192</v>
      </c>
      <c r="F848" s="34">
        <v>175</v>
      </c>
    </row>
    <row r="849" spans="1:6" x14ac:dyDescent="0.3">
      <c r="A849" s="35" t="s">
        <v>79</v>
      </c>
      <c r="B849" s="36" t="s">
        <v>35</v>
      </c>
      <c r="C849" s="36" t="s">
        <v>23</v>
      </c>
      <c r="D849" s="36" t="s">
        <v>152</v>
      </c>
      <c r="E849" s="38">
        <v>252</v>
      </c>
      <c r="F849" s="39">
        <v>237</v>
      </c>
    </row>
    <row r="850" spans="1:6" x14ac:dyDescent="0.3">
      <c r="A850" s="30" t="s">
        <v>37</v>
      </c>
      <c r="B850" s="31" t="s">
        <v>32</v>
      </c>
      <c r="C850" s="31" t="s">
        <v>36</v>
      </c>
      <c r="D850" s="31" t="s">
        <v>112</v>
      </c>
      <c r="E850" s="33">
        <v>868</v>
      </c>
      <c r="F850" s="34">
        <v>125</v>
      </c>
    </row>
    <row r="851" spans="1:6" x14ac:dyDescent="0.3">
      <c r="A851" s="35" t="s">
        <v>37</v>
      </c>
      <c r="B851" s="36" t="s">
        <v>35</v>
      </c>
      <c r="C851" s="36" t="s">
        <v>57</v>
      </c>
      <c r="D851" s="37">
        <v>44598</v>
      </c>
      <c r="E851" s="38">
        <v>210</v>
      </c>
      <c r="F851" s="39">
        <v>16</v>
      </c>
    </row>
    <row r="852" spans="1:6" x14ac:dyDescent="0.3">
      <c r="A852" s="30" t="s">
        <v>22</v>
      </c>
      <c r="B852" s="31" t="s">
        <v>32</v>
      </c>
      <c r="C852" s="31" t="s">
        <v>11</v>
      </c>
      <c r="D852" s="31" t="s">
        <v>66</v>
      </c>
      <c r="E852" s="33">
        <v>7007</v>
      </c>
      <c r="F852" s="34">
        <v>135</v>
      </c>
    </row>
    <row r="853" spans="1:6" x14ac:dyDescent="0.3">
      <c r="A853" s="35" t="s">
        <v>79</v>
      </c>
      <c r="B853" s="36" t="s">
        <v>25</v>
      </c>
      <c r="C853" s="36" t="s">
        <v>73</v>
      </c>
      <c r="D853" s="37">
        <v>44836</v>
      </c>
      <c r="E853" s="38">
        <v>5845</v>
      </c>
      <c r="F853" s="39">
        <v>91</v>
      </c>
    </row>
    <row r="854" spans="1:6" x14ac:dyDescent="0.3">
      <c r="A854" s="30" t="s">
        <v>40</v>
      </c>
      <c r="B854" s="31" t="s">
        <v>35</v>
      </c>
      <c r="C854" s="31" t="s">
        <v>90</v>
      </c>
      <c r="D854" s="31" t="s">
        <v>76</v>
      </c>
      <c r="E854" s="33">
        <v>1372</v>
      </c>
      <c r="F854" s="34">
        <v>614</v>
      </c>
    </row>
    <row r="855" spans="1:6" x14ac:dyDescent="0.3">
      <c r="A855" s="35" t="s">
        <v>58</v>
      </c>
      <c r="B855" s="36" t="s">
        <v>10</v>
      </c>
      <c r="C855" s="36" t="s">
        <v>42</v>
      </c>
      <c r="D855" s="36" t="s">
        <v>95</v>
      </c>
      <c r="E855" s="38">
        <v>8428</v>
      </c>
      <c r="F855" s="39">
        <v>216</v>
      </c>
    </row>
    <row r="856" spans="1:6" x14ac:dyDescent="0.3">
      <c r="A856" s="30" t="s">
        <v>71</v>
      </c>
      <c r="B856" s="31" t="s">
        <v>7</v>
      </c>
      <c r="C856" s="31" t="s">
        <v>8</v>
      </c>
      <c r="D856" s="31" t="s">
        <v>88</v>
      </c>
      <c r="E856" s="33">
        <v>4977</v>
      </c>
      <c r="F856" s="34">
        <v>317</v>
      </c>
    </row>
    <row r="857" spans="1:6" x14ac:dyDescent="0.3">
      <c r="A857" s="35" t="s">
        <v>28</v>
      </c>
      <c r="B857" s="36" t="s">
        <v>32</v>
      </c>
      <c r="C857" s="36" t="s">
        <v>100</v>
      </c>
      <c r="D857" s="36" t="s">
        <v>91</v>
      </c>
      <c r="E857" s="38">
        <v>1694</v>
      </c>
      <c r="F857" s="39">
        <v>21</v>
      </c>
    </row>
    <row r="858" spans="1:6" x14ac:dyDescent="0.3">
      <c r="A858" s="30" t="s">
        <v>77</v>
      </c>
      <c r="B858" s="31" t="s">
        <v>15</v>
      </c>
      <c r="C858" s="31" t="s">
        <v>20</v>
      </c>
      <c r="D858" s="32">
        <v>44569</v>
      </c>
      <c r="E858" s="33">
        <v>4326</v>
      </c>
      <c r="F858" s="34">
        <v>154</v>
      </c>
    </row>
    <row r="859" spans="1:6" x14ac:dyDescent="0.3">
      <c r="A859" s="35" t="s">
        <v>34</v>
      </c>
      <c r="B859" s="36" t="s">
        <v>15</v>
      </c>
      <c r="C859" s="36" t="s">
        <v>36</v>
      </c>
      <c r="D859" s="36" t="s">
        <v>78</v>
      </c>
      <c r="E859" s="38">
        <v>9527</v>
      </c>
      <c r="F859" s="39">
        <v>222</v>
      </c>
    </row>
    <row r="860" spans="1:6" x14ac:dyDescent="0.3">
      <c r="A860" s="30" t="s">
        <v>40</v>
      </c>
      <c r="B860" s="31" t="s">
        <v>10</v>
      </c>
      <c r="C860" s="31" t="s">
        <v>20</v>
      </c>
      <c r="D860" s="31" t="s">
        <v>68</v>
      </c>
      <c r="E860" s="33">
        <v>10766</v>
      </c>
      <c r="F860" s="34">
        <v>157</v>
      </c>
    </row>
    <row r="861" spans="1:6" x14ac:dyDescent="0.3">
      <c r="A861" s="35" t="s">
        <v>53</v>
      </c>
      <c r="B861" s="36" t="s">
        <v>32</v>
      </c>
      <c r="C861" s="36" t="s">
        <v>57</v>
      </c>
      <c r="D861" s="36" t="s">
        <v>159</v>
      </c>
      <c r="E861" s="38">
        <v>1288</v>
      </c>
      <c r="F861" s="39">
        <v>27</v>
      </c>
    </row>
    <row r="862" spans="1:6" x14ac:dyDescent="0.3">
      <c r="A862" s="30" t="s">
        <v>70</v>
      </c>
      <c r="B862" s="31" t="s">
        <v>15</v>
      </c>
      <c r="C862" s="31" t="s">
        <v>65</v>
      </c>
      <c r="D862" s="31" t="s">
        <v>52</v>
      </c>
      <c r="E862" s="33">
        <v>4879</v>
      </c>
      <c r="F862" s="34">
        <v>350</v>
      </c>
    </row>
    <row r="863" spans="1:6" x14ac:dyDescent="0.3">
      <c r="A863" s="35" t="s">
        <v>83</v>
      </c>
      <c r="B863" s="36" t="s">
        <v>32</v>
      </c>
      <c r="C863" s="36" t="s">
        <v>46</v>
      </c>
      <c r="D863" s="36" t="s">
        <v>141</v>
      </c>
      <c r="E863" s="38">
        <v>2408</v>
      </c>
      <c r="F863" s="39">
        <v>157</v>
      </c>
    </row>
    <row r="864" spans="1:6" x14ac:dyDescent="0.3">
      <c r="A864" s="30" t="s">
        <v>14</v>
      </c>
      <c r="B864" s="31" t="s">
        <v>7</v>
      </c>
      <c r="C864" s="31" t="s">
        <v>90</v>
      </c>
      <c r="D864" s="32">
        <v>44600</v>
      </c>
      <c r="E864" s="33">
        <v>3094</v>
      </c>
      <c r="F864" s="34">
        <v>468</v>
      </c>
    </row>
    <row r="865" spans="1:6" x14ac:dyDescent="0.3">
      <c r="A865" s="35" t="s">
        <v>28</v>
      </c>
      <c r="B865" s="36" t="s">
        <v>25</v>
      </c>
      <c r="C865" s="36" t="s">
        <v>100</v>
      </c>
      <c r="D865" s="36" t="s">
        <v>61</v>
      </c>
      <c r="E865" s="38">
        <v>7231</v>
      </c>
      <c r="F865" s="39">
        <v>130</v>
      </c>
    </row>
    <row r="866" spans="1:6" x14ac:dyDescent="0.3">
      <c r="A866" s="30" t="s">
        <v>19</v>
      </c>
      <c r="B866" s="31" t="s">
        <v>10</v>
      </c>
      <c r="C866" s="31" t="s">
        <v>11</v>
      </c>
      <c r="D866" s="32">
        <v>44688</v>
      </c>
      <c r="E866" s="33">
        <v>8981</v>
      </c>
      <c r="F866" s="34">
        <v>130</v>
      </c>
    </row>
    <row r="867" spans="1:6" x14ac:dyDescent="0.3">
      <c r="A867" s="35" t="s">
        <v>48</v>
      </c>
      <c r="B867" s="36" t="s">
        <v>15</v>
      </c>
      <c r="C867" s="36" t="s">
        <v>23</v>
      </c>
      <c r="D867" s="41">
        <v>44873</v>
      </c>
      <c r="E867" s="38">
        <v>63</v>
      </c>
      <c r="F867" s="39">
        <v>105</v>
      </c>
    </row>
    <row r="868" spans="1:6" x14ac:dyDescent="0.3">
      <c r="A868" s="30" t="s">
        <v>12</v>
      </c>
      <c r="B868" s="31" t="s">
        <v>15</v>
      </c>
      <c r="C868" s="31" t="s">
        <v>100</v>
      </c>
      <c r="D868" s="31" t="s">
        <v>97</v>
      </c>
      <c r="E868" s="33">
        <v>1372</v>
      </c>
      <c r="F868" s="34">
        <v>105</v>
      </c>
    </row>
    <row r="869" spans="1:6" x14ac:dyDescent="0.3">
      <c r="A869" s="35" t="s">
        <v>14</v>
      </c>
      <c r="B869" s="36" t="s">
        <v>7</v>
      </c>
      <c r="C869" s="36" t="s">
        <v>26</v>
      </c>
      <c r="D869" s="37">
        <v>44896</v>
      </c>
      <c r="E869" s="38">
        <v>5250</v>
      </c>
      <c r="F869" s="39">
        <v>293</v>
      </c>
    </row>
    <row r="870" spans="1:6" x14ac:dyDescent="0.3">
      <c r="A870" s="30" t="s">
        <v>22</v>
      </c>
      <c r="B870" s="31" t="s">
        <v>35</v>
      </c>
      <c r="C870" s="31" t="s">
        <v>59</v>
      </c>
      <c r="D870" s="32">
        <v>44873</v>
      </c>
      <c r="E870" s="33">
        <v>7560</v>
      </c>
      <c r="F870" s="34">
        <v>15</v>
      </c>
    </row>
    <row r="871" spans="1:6" x14ac:dyDescent="0.3">
      <c r="A871" s="35" t="s">
        <v>6</v>
      </c>
      <c r="B871" s="36" t="s">
        <v>15</v>
      </c>
      <c r="C871" s="36" t="s">
        <v>50</v>
      </c>
      <c r="D871" s="36" t="s">
        <v>30</v>
      </c>
      <c r="E871" s="38">
        <v>5012</v>
      </c>
      <c r="F871" s="39">
        <v>384</v>
      </c>
    </row>
    <row r="872" spans="1:6" x14ac:dyDescent="0.3">
      <c r="A872" s="30" t="s">
        <v>53</v>
      </c>
      <c r="B872" s="31" t="s">
        <v>7</v>
      </c>
      <c r="C872" s="31" t="s">
        <v>87</v>
      </c>
      <c r="D872" s="31" t="s">
        <v>116</v>
      </c>
      <c r="E872" s="33">
        <v>3038</v>
      </c>
      <c r="F872" s="34">
        <v>135</v>
      </c>
    </row>
    <row r="873" spans="1:6" x14ac:dyDescent="0.3">
      <c r="A873" s="35" t="s">
        <v>29</v>
      </c>
      <c r="B873" s="36" t="s">
        <v>25</v>
      </c>
      <c r="C873" s="36" t="s">
        <v>23</v>
      </c>
      <c r="D873" s="37">
        <v>44749</v>
      </c>
      <c r="E873" s="38">
        <v>1099</v>
      </c>
      <c r="F873" s="39">
        <v>92</v>
      </c>
    </row>
    <row r="874" spans="1:6" x14ac:dyDescent="0.3">
      <c r="A874" s="30" t="s">
        <v>77</v>
      </c>
      <c r="B874" s="31" t="s">
        <v>25</v>
      </c>
      <c r="C874" s="31" t="s">
        <v>8</v>
      </c>
      <c r="D874" s="32">
        <v>44868</v>
      </c>
      <c r="E874" s="33">
        <v>7413</v>
      </c>
      <c r="F874" s="34">
        <v>4</v>
      </c>
    </row>
    <row r="875" spans="1:6" x14ac:dyDescent="0.3">
      <c r="A875" s="35" t="s">
        <v>77</v>
      </c>
      <c r="B875" s="36" t="s">
        <v>7</v>
      </c>
      <c r="C875" s="36" t="s">
        <v>100</v>
      </c>
      <c r="D875" s="36" t="s">
        <v>47</v>
      </c>
      <c r="E875" s="38">
        <v>5397</v>
      </c>
      <c r="F875" s="39">
        <v>239</v>
      </c>
    </row>
    <row r="876" spans="1:6" x14ac:dyDescent="0.3">
      <c r="A876" s="30" t="s">
        <v>31</v>
      </c>
      <c r="B876" s="31" t="s">
        <v>15</v>
      </c>
      <c r="C876" s="31" t="s">
        <v>42</v>
      </c>
      <c r="D876" s="32">
        <v>44743</v>
      </c>
      <c r="E876" s="33">
        <v>2303</v>
      </c>
      <c r="F876" s="34">
        <v>33</v>
      </c>
    </row>
    <row r="877" spans="1:6" x14ac:dyDescent="0.3">
      <c r="A877" s="35" t="s">
        <v>41</v>
      </c>
      <c r="B877" s="36" t="s">
        <v>25</v>
      </c>
      <c r="C877" s="36" t="s">
        <v>38</v>
      </c>
      <c r="D877" s="37">
        <v>44896</v>
      </c>
      <c r="E877" s="38">
        <v>1141</v>
      </c>
      <c r="F877" s="39">
        <v>518</v>
      </c>
    </row>
    <row r="878" spans="1:6" x14ac:dyDescent="0.3">
      <c r="A878" s="30" t="s">
        <v>41</v>
      </c>
      <c r="B878" s="31" t="s">
        <v>10</v>
      </c>
      <c r="C878" s="31" t="s">
        <v>36</v>
      </c>
      <c r="D878" s="32">
        <v>44810</v>
      </c>
      <c r="E878" s="33">
        <v>10325</v>
      </c>
      <c r="F878" s="34">
        <v>147</v>
      </c>
    </row>
    <row r="879" spans="1:6" x14ac:dyDescent="0.3">
      <c r="A879" s="35" t="s">
        <v>67</v>
      </c>
      <c r="B879" s="36" t="s">
        <v>10</v>
      </c>
      <c r="C879" s="36" t="s">
        <v>36</v>
      </c>
      <c r="D879" s="36" t="s">
        <v>86</v>
      </c>
      <c r="E879" s="38">
        <v>2149</v>
      </c>
      <c r="F879" s="39">
        <v>84</v>
      </c>
    </row>
    <row r="880" spans="1:6" x14ac:dyDescent="0.3">
      <c r="A880" s="30" t="s">
        <v>12</v>
      </c>
      <c r="B880" s="31" t="s">
        <v>7</v>
      </c>
      <c r="C880" s="31" t="s">
        <v>11</v>
      </c>
      <c r="D880" s="31" t="s">
        <v>142</v>
      </c>
      <c r="E880" s="33">
        <v>12362</v>
      </c>
      <c r="F880" s="34">
        <v>94</v>
      </c>
    </row>
    <row r="881" spans="1:6" x14ac:dyDescent="0.3">
      <c r="A881" s="35" t="s">
        <v>45</v>
      </c>
      <c r="B881" s="36" t="s">
        <v>7</v>
      </c>
      <c r="C881" s="36" t="s">
        <v>73</v>
      </c>
      <c r="D881" s="36" t="s">
        <v>107</v>
      </c>
      <c r="E881" s="38">
        <v>12635</v>
      </c>
      <c r="F881" s="39">
        <v>194</v>
      </c>
    </row>
    <row r="882" spans="1:6" x14ac:dyDescent="0.3">
      <c r="A882" s="30" t="s">
        <v>79</v>
      </c>
      <c r="B882" s="31" t="s">
        <v>7</v>
      </c>
      <c r="C882" s="31" t="s">
        <v>8</v>
      </c>
      <c r="D882" s="31" t="s">
        <v>160</v>
      </c>
      <c r="E882" s="33">
        <v>2443</v>
      </c>
      <c r="F882" s="34">
        <v>216</v>
      </c>
    </row>
    <row r="883" spans="1:6" x14ac:dyDescent="0.3">
      <c r="A883" s="35" t="s">
        <v>31</v>
      </c>
      <c r="B883" s="36" t="s">
        <v>35</v>
      </c>
      <c r="C883" s="36" t="s">
        <v>38</v>
      </c>
      <c r="D883" s="36" t="s">
        <v>154</v>
      </c>
      <c r="E883" s="38">
        <v>6237</v>
      </c>
      <c r="F883" s="39">
        <v>247</v>
      </c>
    </row>
    <row r="884" spans="1:6" x14ac:dyDescent="0.3">
      <c r="A884" s="30" t="s">
        <v>19</v>
      </c>
      <c r="B884" s="31" t="s">
        <v>32</v>
      </c>
      <c r="C884" s="31" t="s">
        <v>46</v>
      </c>
      <c r="D884" s="31" t="s">
        <v>127</v>
      </c>
      <c r="E884" s="33">
        <v>1736</v>
      </c>
      <c r="F884" s="34">
        <v>79</v>
      </c>
    </row>
    <row r="885" spans="1:6" x14ac:dyDescent="0.3">
      <c r="A885" s="35" t="s">
        <v>19</v>
      </c>
      <c r="B885" s="36" t="s">
        <v>7</v>
      </c>
      <c r="C885" s="36" t="s">
        <v>33</v>
      </c>
      <c r="D885" s="36" t="s">
        <v>74</v>
      </c>
      <c r="E885" s="38">
        <v>7315</v>
      </c>
      <c r="F885" s="39">
        <v>237</v>
      </c>
    </row>
    <row r="886" spans="1:6" x14ac:dyDescent="0.3">
      <c r="A886" s="30" t="s">
        <v>48</v>
      </c>
      <c r="B886" s="31" t="s">
        <v>35</v>
      </c>
      <c r="C886" s="31" t="s">
        <v>13</v>
      </c>
      <c r="D886" s="31" t="s">
        <v>72</v>
      </c>
      <c r="E886" s="33">
        <v>4935</v>
      </c>
      <c r="F886" s="34">
        <v>63</v>
      </c>
    </row>
    <row r="887" spans="1:6" x14ac:dyDescent="0.3">
      <c r="A887" s="35" t="s">
        <v>12</v>
      </c>
      <c r="B887" s="36" t="s">
        <v>10</v>
      </c>
      <c r="C887" s="36" t="s">
        <v>59</v>
      </c>
      <c r="D887" s="36" t="s">
        <v>121</v>
      </c>
      <c r="E887" s="38">
        <v>1393</v>
      </c>
      <c r="F887" s="39">
        <v>172</v>
      </c>
    </row>
    <row r="888" spans="1:6" x14ac:dyDescent="0.3">
      <c r="A888" s="30" t="s">
        <v>53</v>
      </c>
      <c r="B888" s="31" t="s">
        <v>35</v>
      </c>
      <c r="C888" s="31" t="s">
        <v>75</v>
      </c>
      <c r="D888" s="31" t="s">
        <v>112</v>
      </c>
      <c r="E888" s="33">
        <v>3381</v>
      </c>
      <c r="F888" s="34">
        <v>408</v>
      </c>
    </row>
    <row r="889" spans="1:6" x14ac:dyDescent="0.3">
      <c r="A889" s="35" t="s">
        <v>64</v>
      </c>
      <c r="B889" s="36" t="s">
        <v>10</v>
      </c>
      <c r="C889" s="36" t="s">
        <v>75</v>
      </c>
      <c r="D889" s="36" t="s">
        <v>78</v>
      </c>
      <c r="E889" s="38">
        <v>2933</v>
      </c>
      <c r="F889" s="39">
        <v>233</v>
      </c>
    </row>
    <row r="890" spans="1:6" x14ac:dyDescent="0.3">
      <c r="A890" s="30" t="s">
        <v>64</v>
      </c>
      <c r="B890" s="31" t="s">
        <v>25</v>
      </c>
      <c r="C890" s="31" t="s">
        <v>87</v>
      </c>
      <c r="D890" s="31" t="s">
        <v>134</v>
      </c>
      <c r="E890" s="33">
        <v>3836</v>
      </c>
      <c r="F890" s="34">
        <v>59</v>
      </c>
    </row>
    <row r="891" spans="1:6" x14ac:dyDescent="0.3">
      <c r="A891" s="35" t="s">
        <v>55</v>
      </c>
      <c r="B891" s="36" t="s">
        <v>7</v>
      </c>
      <c r="C891" s="36" t="s">
        <v>75</v>
      </c>
      <c r="D891" s="37">
        <v>44628</v>
      </c>
      <c r="E891" s="38">
        <v>8022</v>
      </c>
      <c r="F891" s="39">
        <v>123</v>
      </c>
    </row>
    <row r="892" spans="1:6" x14ac:dyDescent="0.3">
      <c r="A892" s="30" t="s">
        <v>58</v>
      </c>
      <c r="B892" s="31" t="s">
        <v>25</v>
      </c>
      <c r="C892" s="31" t="s">
        <v>42</v>
      </c>
      <c r="D892" s="32">
        <v>44652</v>
      </c>
      <c r="E892" s="33">
        <v>371</v>
      </c>
      <c r="F892" s="34">
        <v>229</v>
      </c>
    </row>
    <row r="893" spans="1:6" x14ac:dyDescent="0.3">
      <c r="A893" s="35" t="s">
        <v>70</v>
      </c>
      <c r="B893" s="36" t="s">
        <v>35</v>
      </c>
      <c r="C893" s="36" t="s">
        <v>23</v>
      </c>
      <c r="D893" s="36" t="s">
        <v>30</v>
      </c>
      <c r="E893" s="38">
        <v>16702</v>
      </c>
      <c r="F893" s="39">
        <v>198</v>
      </c>
    </row>
    <row r="894" spans="1:6" x14ac:dyDescent="0.3">
      <c r="A894" s="30" t="s">
        <v>9</v>
      </c>
      <c r="B894" s="31" t="s">
        <v>15</v>
      </c>
      <c r="C894" s="31" t="s">
        <v>87</v>
      </c>
      <c r="D894" s="32">
        <v>44870</v>
      </c>
      <c r="E894" s="33">
        <v>13258</v>
      </c>
      <c r="F894" s="34">
        <v>32</v>
      </c>
    </row>
    <row r="895" spans="1:6" x14ac:dyDescent="0.3">
      <c r="A895" s="35" t="s">
        <v>53</v>
      </c>
      <c r="B895" s="36" t="s">
        <v>25</v>
      </c>
      <c r="C895" s="36" t="s">
        <v>13</v>
      </c>
      <c r="D895" s="36" t="s">
        <v>47</v>
      </c>
      <c r="E895" s="38">
        <v>2058</v>
      </c>
      <c r="F895" s="39">
        <v>236</v>
      </c>
    </row>
    <row r="896" spans="1:6" x14ac:dyDescent="0.3">
      <c r="A896" s="30" t="s">
        <v>55</v>
      </c>
      <c r="B896" s="31" t="s">
        <v>7</v>
      </c>
      <c r="C896" s="31" t="s">
        <v>90</v>
      </c>
      <c r="D896" s="31" t="s">
        <v>119</v>
      </c>
      <c r="E896" s="33">
        <v>10192</v>
      </c>
      <c r="F896" s="34">
        <v>67</v>
      </c>
    </row>
    <row r="897" spans="1:6" x14ac:dyDescent="0.3">
      <c r="A897" s="35" t="s">
        <v>6</v>
      </c>
      <c r="B897" s="36" t="s">
        <v>7</v>
      </c>
      <c r="C897" s="36" t="s">
        <v>38</v>
      </c>
      <c r="D897" s="37">
        <v>44622</v>
      </c>
      <c r="E897" s="38">
        <v>7140</v>
      </c>
      <c r="F897" s="39">
        <v>438</v>
      </c>
    </row>
    <row r="898" spans="1:6" x14ac:dyDescent="0.3">
      <c r="A898" s="30" t="s">
        <v>41</v>
      </c>
      <c r="B898" s="31" t="s">
        <v>10</v>
      </c>
      <c r="C898" s="31" t="s">
        <v>60</v>
      </c>
      <c r="D898" s="32">
        <v>44717</v>
      </c>
      <c r="E898" s="33">
        <v>9835</v>
      </c>
      <c r="F898" s="34">
        <v>167</v>
      </c>
    </row>
    <row r="899" spans="1:6" x14ac:dyDescent="0.3">
      <c r="A899" s="35" t="s">
        <v>22</v>
      </c>
      <c r="B899" s="36" t="s">
        <v>7</v>
      </c>
      <c r="C899" s="36" t="s">
        <v>75</v>
      </c>
      <c r="D899" s="36" t="s">
        <v>66</v>
      </c>
      <c r="E899" s="38">
        <v>5775</v>
      </c>
      <c r="F899" s="39">
        <v>135</v>
      </c>
    </row>
    <row r="900" spans="1:6" x14ac:dyDescent="0.3">
      <c r="A900" s="30" t="s">
        <v>22</v>
      </c>
      <c r="B900" s="31" t="s">
        <v>7</v>
      </c>
      <c r="C900" s="31" t="s">
        <v>18</v>
      </c>
      <c r="D900" s="31" t="s">
        <v>139</v>
      </c>
      <c r="E900" s="33">
        <v>749</v>
      </c>
      <c r="F900" s="34">
        <v>148</v>
      </c>
    </row>
    <row r="901" spans="1:6" x14ac:dyDescent="0.3">
      <c r="A901" s="35" t="s">
        <v>71</v>
      </c>
      <c r="B901" s="36" t="s">
        <v>35</v>
      </c>
      <c r="C901" s="36" t="s">
        <v>33</v>
      </c>
      <c r="D901" s="36" t="s">
        <v>51</v>
      </c>
      <c r="E901" s="38">
        <v>7770</v>
      </c>
      <c r="F901" s="39">
        <v>54</v>
      </c>
    </row>
    <row r="902" spans="1:6" x14ac:dyDescent="0.3">
      <c r="A902" s="30" t="s">
        <v>6</v>
      </c>
      <c r="B902" s="31" t="s">
        <v>7</v>
      </c>
      <c r="C902" s="31" t="s">
        <v>11</v>
      </c>
      <c r="D902" s="32">
        <v>44749</v>
      </c>
      <c r="E902" s="33">
        <v>5502</v>
      </c>
      <c r="F902" s="34">
        <v>64</v>
      </c>
    </row>
    <row r="903" spans="1:6" x14ac:dyDescent="0.3">
      <c r="A903" s="35" t="s">
        <v>19</v>
      </c>
      <c r="B903" s="36" t="s">
        <v>7</v>
      </c>
      <c r="C903" s="36" t="s">
        <v>100</v>
      </c>
      <c r="D903" s="36" t="s">
        <v>108</v>
      </c>
      <c r="E903" s="38">
        <v>6223</v>
      </c>
      <c r="F903" s="39">
        <v>181</v>
      </c>
    </row>
    <row r="904" spans="1:6" x14ac:dyDescent="0.3">
      <c r="A904" s="30" t="s">
        <v>70</v>
      </c>
      <c r="B904" s="31" t="s">
        <v>7</v>
      </c>
      <c r="C904" s="31" t="s">
        <v>20</v>
      </c>
      <c r="D904" s="32">
        <v>44903</v>
      </c>
      <c r="E904" s="33">
        <v>3507</v>
      </c>
      <c r="F904" s="34">
        <v>114</v>
      </c>
    </row>
    <row r="905" spans="1:6" x14ac:dyDescent="0.3">
      <c r="A905" s="35" t="s">
        <v>12</v>
      </c>
      <c r="B905" s="36" t="s">
        <v>25</v>
      </c>
      <c r="C905" s="36" t="s">
        <v>23</v>
      </c>
      <c r="D905" s="36" t="s">
        <v>124</v>
      </c>
      <c r="E905" s="38">
        <v>5600</v>
      </c>
      <c r="F905" s="39">
        <v>181</v>
      </c>
    </row>
    <row r="906" spans="1:6" x14ac:dyDescent="0.3">
      <c r="A906" s="30" t="s">
        <v>19</v>
      </c>
      <c r="B906" s="31" t="s">
        <v>15</v>
      </c>
      <c r="C906" s="31" t="s">
        <v>26</v>
      </c>
      <c r="D906" s="32">
        <v>44717</v>
      </c>
      <c r="E906" s="33">
        <v>721</v>
      </c>
      <c r="F906" s="34">
        <v>151</v>
      </c>
    </row>
    <row r="907" spans="1:6" x14ac:dyDescent="0.3">
      <c r="A907" s="35" t="s">
        <v>19</v>
      </c>
      <c r="B907" s="36" t="s">
        <v>35</v>
      </c>
      <c r="C907" s="36" t="s">
        <v>26</v>
      </c>
      <c r="D907" s="36" t="s">
        <v>143</v>
      </c>
      <c r="E907" s="38">
        <v>6615</v>
      </c>
      <c r="F907" s="39">
        <v>137</v>
      </c>
    </row>
    <row r="908" spans="1:6" x14ac:dyDescent="0.3">
      <c r="A908" s="30" t="s">
        <v>31</v>
      </c>
      <c r="B908" s="31" t="s">
        <v>32</v>
      </c>
      <c r="C908" s="31" t="s">
        <v>59</v>
      </c>
      <c r="D908" s="32">
        <v>44686</v>
      </c>
      <c r="E908" s="33">
        <v>7420</v>
      </c>
      <c r="F908" s="34">
        <v>163</v>
      </c>
    </row>
    <row r="909" spans="1:6" x14ac:dyDescent="0.3">
      <c r="A909" s="35" t="s">
        <v>29</v>
      </c>
      <c r="B909" s="36" t="s">
        <v>25</v>
      </c>
      <c r="C909" s="36" t="s">
        <v>20</v>
      </c>
      <c r="D909" s="36" t="s">
        <v>132</v>
      </c>
      <c r="E909" s="38">
        <v>3164</v>
      </c>
      <c r="F909" s="39">
        <v>84</v>
      </c>
    </row>
    <row r="910" spans="1:6" x14ac:dyDescent="0.3">
      <c r="A910" s="30" t="s">
        <v>48</v>
      </c>
      <c r="B910" s="31" t="s">
        <v>15</v>
      </c>
      <c r="C910" s="31" t="s">
        <v>90</v>
      </c>
      <c r="D910" s="31" t="s">
        <v>44</v>
      </c>
      <c r="E910" s="33">
        <v>9114</v>
      </c>
      <c r="F910" s="34">
        <v>140</v>
      </c>
    </row>
    <row r="911" spans="1:6" x14ac:dyDescent="0.3">
      <c r="A911" s="35" t="s">
        <v>48</v>
      </c>
      <c r="B911" s="36" t="s">
        <v>25</v>
      </c>
      <c r="C911" s="36" t="s">
        <v>11</v>
      </c>
      <c r="D911" s="37">
        <v>44900</v>
      </c>
      <c r="E911" s="38">
        <v>5404</v>
      </c>
      <c r="F911" s="39">
        <v>187</v>
      </c>
    </row>
    <row r="912" spans="1:6" x14ac:dyDescent="0.3">
      <c r="A912" s="30" t="s">
        <v>31</v>
      </c>
      <c r="B912" s="31" t="s">
        <v>25</v>
      </c>
      <c r="C912" s="31" t="s">
        <v>18</v>
      </c>
      <c r="D912" s="31" t="s">
        <v>21</v>
      </c>
      <c r="E912" s="33">
        <v>3990</v>
      </c>
      <c r="F912" s="34">
        <v>169</v>
      </c>
    </row>
    <row r="913" spans="1:6" x14ac:dyDescent="0.3">
      <c r="A913" s="35" t="s">
        <v>83</v>
      </c>
      <c r="B913" s="36" t="s">
        <v>7</v>
      </c>
      <c r="C913" s="36" t="s">
        <v>11</v>
      </c>
      <c r="D913" s="36" t="s">
        <v>85</v>
      </c>
      <c r="E913" s="38">
        <v>14924</v>
      </c>
      <c r="F913" s="39">
        <v>12</v>
      </c>
    </row>
    <row r="914" spans="1:6" x14ac:dyDescent="0.3">
      <c r="A914" s="30" t="s">
        <v>58</v>
      </c>
      <c r="B914" s="31" t="s">
        <v>15</v>
      </c>
      <c r="C914" s="31" t="s">
        <v>38</v>
      </c>
      <c r="D914" s="31" t="s">
        <v>94</v>
      </c>
      <c r="E914" s="33">
        <v>7091</v>
      </c>
      <c r="F914" s="34">
        <v>194</v>
      </c>
    </row>
    <row r="915" spans="1:6" x14ac:dyDescent="0.3">
      <c r="A915" s="35" t="s">
        <v>45</v>
      </c>
      <c r="B915" s="36" t="s">
        <v>32</v>
      </c>
      <c r="C915" s="36" t="s">
        <v>46</v>
      </c>
      <c r="D915" s="36" t="s">
        <v>86</v>
      </c>
      <c r="E915" s="38">
        <v>2807</v>
      </c>
      <c r="F915" s="39">
        <v>252</v>
      </c>
    </row>
    <row r="916" spans="1:6" x14ac:dyDescent="0.3">
      <c r="A916" s="30" t="s">
        <v>14</v>
      </c>
      <c r="B916" s="31" t="s">
        <v>10</v>
      </c>
      <c r="C916" s="31" t="s">
        <v>23</v>
      </c>
      <c r="D916" s="31" t="s">
        <v>54</v>
      </c>
      <c r="E916" s="33">
        <v>6496</v>
      </c>
      <c r="F916" s="34">
        <v>168</v>
      </c>
    </row>
    <row r="917" spans="1:6" x14ac:dyDescent="0.3">
      <c r="A917" s="35" t="s">
        <v>22</v>
      </c>
      <c r="B917" s="36" t="s">
        <v>32</v>
      </c>
      <c r="C917" s="36" t="s">
        <v>23</v>
      </c>
      <c r="D917" s="36" t="s">
        <v>112</v>
      </c>
      <c r="E917" s="38">
        <v>3738</v>
      </c>
      <c r="F917" s="39">
        <v>261</v>
      </c>
    </row>
    <row r="918" spans="1:6" x14ac:dyDescent="0.3">
      <c r="A918" s="30" t="s">
        <v>83</v>
      </c>
      <c r="B918" s="31" t="s">
        <v>10</v>
      </c>
      <c r="C918" s="31" t="s">
        <v>33</v>
      </c>
      <c r="D918" s="31" t="s">
        <v>47</v>
      </c>
      <c r="E918" s="33">
        <v>1190</v>
      </c>
      <c r="F918" s="34">
        <v>256</v>
      </c>
    </row>
    <row r="919" spans="1:6" x14ac:dyDescent="0.3">
      <c r="A919" s="35" t="s">
        <v>34</v>
      </c>
      <c r="B919" s="36" t="s">
        <v>7</v>
      </c>
      <c r="C919" s="36" t="s">
        <v>60</v>
      </c>
      <c r="D919" s="36" t="s">
        <v>61</v>
      </c>
      <c r="E919" s="38">
        <v>8379</v>
      </c>
      <c r="F919" s="39">
        <v>43</v>
      </c>
    </row>
    <row r="920" spans="1:6" x14ac:dyDescent="0.3">
      <c r="A920" s="30" t="s">
        <v>31</v>
      </c>
      <c r="B920" s="31" t="s">
        <v>15</v>
      </c>
      <c r="C920" s="31" t="s">
        <v>73</v>
      </c>
      <c r="D920" s="31" t="s">
        <v>89</v>
      </c>
      <c r="E920" s="33">
        <v>9268</v>
      </c>
      <c r="F920" s="34">
        <v>100</v>
      </c>
    </row>
    <row r="921" spans="1:6" x14ac:dyDescent="0.3">
      <c r="A921" s="35" t="s">
        <v>64</v>
      </c>
      <c r="B921" s="36" t="s">
        <v>32</v>
      </c>
      <c r="C921" s="36" t="s">
        <v>38</v>
      </c>
      <c r="D921" s="36" t="s">
        <v>127</v>
      </c>
      <c r="E921" s="38">
        <v>1029</v>
      </c>
      <c r="F921" s="39">
        <v>98</v>
      </c>
    </row>
    <row r="922" spans="1:6" x14ac:dyDescent="0.3">
      <c r="A922" s="30" t="s">
        <v>64</v>
      </c>
      <c r="B922" s="31" t="s">
        <v>10</v>
      </c>
      <c r="C922" s="31" t="s">
        <v>36</v>
      </c>
      <c r="D922" s="31" t="s">
        <v>104</v>
      </c>
      <c r="E922" s="33">
        <v>3549</v>
      </c>
      <c r="F922" s="34">
        <v>76</v>
      </c>
    </row>
    <row r="923" spans="1:6" x14ac:dyDescent="0.3">
      <c r="A923" s="35" t="s">
        <v>64</v>
      </c>
      <c r="B923" s="36" t="s">
        <v>10</v>
      </c>
      <c r="C923" s="36" t="s">
        <v>23</v>
      </c>
      <c r="D923" s="37">
        <v>44659</v>
      </c>
      <c r="E923" s="38">
        <v>12026</v>
      </c>
      <c r="F923" s="39">
        <v>262</v>
      </c>
    </row>
    <row r="924" spans="1:6" x14ac:dyDescent="0.3">
      <c r="A924" s="30" t="s">
        <v>70</v>
      </c>
      <c r="B924" s="31" t="s">
        <v>10</v>
      </c>
      <c r="C924" s="31" t="s">
        <v>20</v>
      </c>
      <c r="D924" s="31" t="s">
        <v>85</v>
      </c>
      <c r="E924" s="33">
        <v>2303</v>
      </c>
      <c r="F924" s="34">
        <v>244</v>
      </c>
    </row>
    <row r="925" spans="1:6" x14ac:dyDescent="0.3">
      <c r="A925" s="35" t="s">
        <v>22</v>
      </c>
      <c r="B925" s="36" t="s">
        <v>35</v>
      </c>
      <c r="C925" s="36" t="s">
        <v>50</v>
      </c>
      <c r="D925" s="37">
        <v>44685</v>
      </c>
      <c r="E925" s="38">
        <v>13405</v>
      </c>
      <c r="F925" s="39">
        <v>12</v>
      </c>
    </row>
    <row r="926" spans="1:6" x14ac:dyDescent="0.3">
      <c r="A926" s="30" t="s">
        <v>77</v>
      </c>
      <c r="B926" s="31" t="s">
        <v>35</v>
      </c>
      <c r="C926" s="31" t="s">
        <v>13</v>
      </c>
      <c r="D926" s="32">
        <v>44688</v>
      </c>
      <c r="E926" s="33">
        <v>14763</v>
      </c>
      <c r="F926" s="34">
        <v>113</v>
      </c>
    </row>
    <row r="927" spans="1:6" x14ac:dyDescent="0.3">
      <c r="A927" s="35" t="s">
        <v>55</v>
      </c>
      <c r="B927" s="36" t="s">
        <v>25</v>
      </c>
      <c r="C927" s="36" t="s">
        <v>36</v>
      </c>
      <c r="D927" s="36" t="s">
        <v>161</v>
      </c>
      <c r="E927" s="38">
        <v>12894</v>
      </c>
      <c r="F927" s="39">
        <v>48</v>
      </c>
    </row>
    <row r="928" spans="1:6" x14ac:dyDescent="0.3">
      <c r="A928" s="30" t="s">
        <v>83</v>
      </c>
      <c r="B928" s="31" t="s">
        <v>25</v>
      </c>
      <c r="C928" s="31" t="s">
        <v>38</v>
      </c>
      <c r="D928" s="31" t="s">
        <v>47</v>
      </c>
      <c r="E928" s="33">
        <v>8302</v>
      </c>
      <c r="F928" s="34">
        <v>131</v>
      </c>
    </row>
    <row r="929" spans="1:6" x14ac:dyDescent="0.3">
      <c r="A929" s="35" t="s">
        <v>48</v>
      </c>
      <c r="B929" s="36" t="s">
        <v>7</v>
      </c>
      <c r="C929" s="36" t="s">
        <v>38</v>
      </c>
      <c r="D929" s="37">
        <v>44902</v>
      </c>
      <c r="E929" s="38">
        <v>455</v>
      </c>
      <c r="F929" s="39">
        <v>174</v>
      </c>
    </row>
    <row r="930" spans="1:6" x14ac:dyDescent="0.3">
      <c r="A930" s="30" t="s">
        <v>70</v>
      </c>
      <c r="B930" s="31" t="s">
        <v>10</v>
      </c>
      <c r="C930" s="31" t="s">
        <v>73</v>
      </c>
      <c r="D930" s="31" t="s">
        <v>111</v>
      </c>
      <c r="E930" s="33">
        <v>8183</v>
      </c>
      <c r="F930" s="34">
        <v>254</v>
      </c>
    </row>
    <row r="931" spans="1:6" x14ac:dyDescent="0.3">
      <c r="A931" s="35" t="s">
        <v>79</v>
      </c>
      <c r="B931" s="36" t="s">
        <v>15</v>
      </c>
      <c r="C931" s="36" t="s">
        <v>75</v>
      </c>
      <c r="D931" s="36" t="s">
        <v>121</v>
      </c>
      <c r="E931" s="38">
        <v>1645</v>
      </c>
      <c r="F931" s="39">
        <v>284</v>
      </c>
    </row>
    <row r="932" spans="1:6" x14ac:dyDescent="0.3">
      <c r="A932" s="30" t="s">
        <v>55</v>
      </c>
      <c r="B932" s="31" t="s">
        <v>7</v>
      </c>
      <c r="C932" s="31" t="s">
        <v>26</v>
      </c>
      <c r="D932" s="31" t="s">
        <v>109</v>
      </c>
      <c r="E932" s="33">
        <v>3143</v>
      </c>
      <c r="F932" s="34">
        <v>67</v>
      </c>
    </row>
    <row r="933" spans="1:6" x14ac:dyDescent="0.3">
      <c r="A933" s="35" t="s">
        <v>45</v>
      </c>
      <c r="B933" s="36" t="s">
        <v>35</v>
      </c>
      <c r="C933" s="36" t="s">
        <v>75</v>
      </c>
      <c r="D933" s="37">
        <v>44870</v>
      </c>
      <c r="E933" s="38">
        <v>5873</v>
      </c>
      <c r="F933" s="39">
        <v>249</v>
      </c>
    </row>
    <row r="934" spans="1:6" x14ac:dyDescent="0.3">
      <c r="A934" s="30" t="s">
        <v>83</v>
      </c>
      <c r="B934" s="31" t="s">
        <v>10</v>
      </c>
      <c r="C934" s="31" t="s">
        <v>26</v>
      </c>
      <c r="D934" s="31" t="s">
        <v>74</v>
      </c>
      <c r="E934" s="33">
        <v>11298</v>
      </c>
      <c r="F934" s="34">
        <v>313</v>
      </c>
    </row>
    <row r="935" spans="1:6" x14ac:dyDescent="0.3">
      <c r="A935" s="35" t="s">
        <v>19</v>
      </c>
      <c r="B935" s="36" t="s">
        <v>35</v>
      </c>
      <c r="C935" s="36" t="s">
        <v>13</v>
      </c>
      <c r="D935" s="37">
        <v>44748</v>
      </c>
      <c r="E935" s="38">
        <v>12425</v>
      </c>
      <c r="F935" s="39">
        <v>167</v>
      </c>
    </row>
    <row r="936" spans="1:6" x14ac:dyDescent="0.3">
      <c r="A936" s="30" t="s">
        <v>19</v>
      </c>
      <c r="B936" s="31" t="s">
        <v>7</v>
      </c>
      <c r="C936" s="31" t="s">
        <v>59</v>
      </c>
      <c r="D936" s="31" t="s">
        <v>49</v>
      </c>
      <c r="E936" s="33">
        <v>1715</v>
      </c>
      <c r="F936" s="34">
        <v>286</v>
      </c>
    </row>
    <row r="937" spans="1:6" x14ac:dyDescent="0.3">
      <c r="A937" s="35" t="s">
        <v>31</v>
      </c>
      <c r="B937" s="36" t="s">
        <v>10</v>
      </c>
      <c r="C937" s="36" t="s">
        <v>23</v>
      </c>
      <c r="D937" s="36" t="s">
        <v>120</v>
      </c>
      <c r="E937" s="38">
        <v>8190</v>
      </c>
      <c r="F937" s="39">
        <v>109</v>
      </c>
    </row>
    <row r="938" spans="1:6" x14ac:dyDescent="0.3">
      <c r="A938" s="30" t="s">
        <v>64</v>
      </c>
      <c r="B938" s="31" t="s">
        <v>35</v>
      </c>
      <c r="C938" s="31" t="s">
        <v>18</v>
      </c>
      <c r="D938" s="32">
        <v>44598</v>
      </c>
      <c r="E938" s="33">
        <v>4991</v>
      </c>
      <c r="F938" s="34">
        <v>166</v>
      </c>
    </row>
    <row r="939" spans="1:6" x14ac:dyDescent="0.3">
      <c r="A939" s="35" t="s">
        <v>29</v>
      </c>
      <c r="B939" s="36" t="s">
        <v>10</v>
      </c>
      <c r="C939" s="36" t="s">
        <v>8</v>
      </c>
      <c r="D939" s="36" t="s">
        <v>43</v>
      </c>
      <c r="E939" s="38">
        <v>15491</v>
      </c>
      <c r="F939" s="39">
        <v>85</v>
      </c>
    </row>
    <row r="940" spans="1:6" x14ac:dyDescent="0.3">
      <c r="A940" s="30" t="s">
        <v>29</v>
      </c>
      <c r="B940" s="31" t="s">
        <v>35</v>
      </c>
      <c r="C940" s="31" t="s">
        <v>20</v>
      </c>
      <c r="D940" s="32">
        <v>44595</v>
      </c>
      <c r="E940" s="33">
        <v>5096</v>
      </c>
      <c r="F940" s="34">
        <v>142</v>
      </c>
    </row>
    <row r="941" spans="1:6" x14ac:dyDescent="0.3">
      <c r="A941" s="35" t="s">
        <v>9</v>
      </c>
      <c r="B941" s="36" t="s">
        <v>15</v>
      </c>
      <c r="C941" s="36" t="s">
        <v>100</v>
      </c>
      <c r="D941" s="37">
        <v>44835</v>
      </c>
      <c r="E941" s="38">
        <v>7063</v>
      </c>
      <c r="F941" s="39">
        <v>104</v>
      </c>
    </row>
    <row r="942" spans="1:6" x14ac:dyDescent="0.3">
      <c r="A942" s="30" t="s">
        <v>41</v>
      </c>
      <c r="B942" s="31" t="s">
        <v>32</v>
      </c>
      <c r="C942" s="31" t="s">
        <v>100</v>
      </c>
      <c r="D942" s="31" t="s">
        <v>49</v>
      </c>
      <c r="E942" s="33">
        <v>2275</v>
      </c>
      <c r="F942" s="34">
        <v>115</v>
      </c>
    </row>
    <row r="943" spans="1:6" x14ac:dyDescent="0.3">
      <c r="A943" s="35" t="s">
        <v>31</v>
      </c>
      <c r="B943" s="36" t="s">
        <v>35</v>
      </c>
      <c r="C943" s="36" t="s">
        <v>33</v>
      </c>
      <c r="D943" s="36" t="s">
        <v>66</v>
      </c>
      <c r="E943" s="38">
        <v>7602</v>
      </c>
      <c r="F943" s="39">
        <v>18</v>
      </c>
    </row>
    <row r="944" spans="1:6" x14ac:dyDescent="0.3">
      <c r="A944" s="30" t="s">
        <v>45</v>
      </c>
      <c r="B944" s="31" t="s">
        <v>15</v>
      </c>
      <c r="C944" s="31" t="s">
        <v>11</v>
      </c>
      <c r="D944" s="32">
        <v>44780</v>
      </c>
      <c r="E944" s="33">
        <v>4200</v>
      </c>
      <c r="F944" s="34">
        <v>80</v>
      </c>
    </row>
    <row r="945" spans="1:6" x14ac:dyDescent="0.3">
      <c r="A945" s="35" t="s">
        <v>19</v>
      </c>
      <c r="B945" s="36" t="s">
        <v>10</v>
      </c>
      <c r="C945" s="36" t="s">
        <v>50</v>
      </c>
      <c r="D945" s="37">
        <v>44779</v>
      </c>
      <c r="E945" s="38">
        <v>11137</v>
      </c>
      <c r="F945" s="39">
        <v>88</v>
      </c>
    </row>
    <row r="946" spans="1:6" x14ac:dyDescent="0.3">
      <c r="A946" s="30" t="s">
        <v>14</v>
      </c>
      <c r="B946" s="31" t="s">
        <v>7</v>
      </c>
      <c r="C946" s="31" t="s">
        <v>60</v>
      </c>
      <c r="D946" s="31" t="s">
        <v>97</v>
      </c>
      <c r="E946" s="33">
        <v>3388</v>
      </c>
      <c r="F946" s="34">
        <v>212</v>
      </c>
    </row>
    <row r="947" spans="1:6" x14ac:dyDescent="0.3">
      <c r="A947" s="35" t="s">
        <v>55</v>
      </c>
      <c r="B947" s="36" t="s">
        <v>15</v>
      </c>
      <c r="C947" s="36" t="s">
        <v>23</v>
      </c>
      <c r="D947" s="37">
        <v>44777</v>
      </c>
      <c r="E947" s="38">
        <v>6832</v>
      </c>
      <c r="F947" s="39">
        <v>306</v>
      </c>
    </row>
    <row r="948" spans="1:6" x14ac:dyDescent="0.3">
      <c r="A948" s="30" t="s">
        <v>64</v>
      </c>
      <c r="B948" s="31" t="s">
        <v>35</v>
      </c>
      <c r="C948" s="31" t="s">
        <v>57</v>
      </c>
      <c r="D948" s="32">
        <v>44781</v>
      </c>
      <c r="E948" s="33">
        <v>3437</v>
      </c>
      <c r="F948" s="34">
        <v>181</v>
      </c>
    </row>
    <row r="949" spans="1:6" x14ac:dyDescent="0.3">
      <c r="A949" s="35" t="s">
        <v>64</v>
      </c>
      <c r="B949" s="36" t="s">
        <v>7</v>
      </c>
      <c r="C949" s="36" t="s">
        <v>46</v>
      </c>
      <c r="D949" s="36" t="s">
        <v>93</v>
      </c>
      <c r="E949" s="38">
        <v>301</v>
      </c>
      <c r="F949" s="39">
        <v>65</v>
      </c>
    </row>
    <row r="950" spans="1:6" x14ac:dyDescent="0.3">
      <c r="A950" s="30" t="s">
        <v>19</v>
      </c>
      <c r="B950" s="31" t="s">
        <v>35</v>
      </c>
      <c r="C950" s="31" t="s">
        <v>57</v>
      </c>
      <c r="D950" s="31" t="s">
        <v>122</v>
      </c>
      <c r="E950" s="33">
        <v>1869</v>
      </c>
      <c r="F950" s="34">
        <v>158</v>
      </c>
    </row>
    <row r="951" spans="1:6" x14ac:dyDescent="0.3">
      <c r="A951" s="35" t="s">
        <v>58</v>
      </c>
      <c r="B951" s="36" t="s">
        <v>32</v>
      </c>
      <c r="C951" s="36" t="s">
        <v>87</v>
      </c>
      <c r="D951" s="37">
        <v>44873</v>
      </c>
      <c r="E951" s="38">
        <v>17465</v>
      </c>
      <c r="F951" s="39">
        <v>271</v>
      </c>
    </row>
    <row r="952" spans="1:6" x14ac:dyDescent="0.3">
      <c r="A952" s="30" t="s">
        <v>77</v>
      </c>
      <c r="B952" s="31" t="s">
        <v>32</v>
      </c>
      <c r="C952" s="31" t="s">
        <v>65</v>
      </c>
      <c r="D952" s="31" t="s">
        <v>126</v>
      </c>
      <c r="E952" s="33">
        <v>10143</v>
      </c>
      <c r="F952" s="34">
        <v>24</v>
      </c>
    </row>
    <row r="953" spans="1:6" x14ac:dyDescent="0.3">
      <c r="A953" s="35" t="s">
        <v>9</v>
      </c>
      <c r="B953" s="36" t="s">
        <v>25</v>
      </c>
      <c r="C953" s="36" t="s">
        <v>26</v>
      </c>
      <c r="D953" s="37">
        <v>44872</v>
      </c>
      <c r="E953" s="38">
        <v>3626</v>
      </c>
      <c r="F953" s="39">
        <v>10</v>
      </c>
    </row>
    <row r="954" spans="1:6" x14ac:dyDescent="0.3">
      <c r="A954" s="30" t="s">
        <v>37</v>
      </c>
      <c r="B954" s="31" t="s">
        <v>35</v>
      </c>
      <c r="C954" s="31" t="s">
        <v>90</v>
      </c>
      <c r="D954" s="32">
        <v>44595</v>
      </c>
      <c r="E954" s="33">
        <v>3346</v>
      </c>
      <c r="F954" s="34">
        <v>304</v>
      </c>
    </row>
    <row r="955" spans="1:6" x14ac:dyDescent="0.3">
      <c r="A955" s="35" t="s">
        <v>77</v>
      </c>
      <c r="B955" s="36" t="s">
        <v>15</v>
      </c>
      <c r="C955" s="36" t="s">
        <v>73</v>
      </c>
      <c r="D955" s="36" t="s">
        <v>94</v>
      </c>
      <c r="E955" s="38">
        <v>6321</v>
      </c>
      <c r="F955" s="39">
        <v>88</v>
      </c>
    </row>
    <row r="956" spans="1:6" x14ac:dyDescent="0.3">
      <c r="A956" s="30" t="s">
        <v>29</v>
      </c>
      <c r="B956" s="31" t="s">
        <v>7</v>
      </c>
      <c r="C956" s="31" t="s">
        <v>50</v>
      </c>
      <c r="D956" s="32">
        <v>44628</v>
      </c>
      <c r="E956" s="33">
        <v>9345</v>
      </c>
      <c r="F956" s="34">
        <v>133</v>
      </c>
    </row>
    <row r="957" spans="1:6" x14ac:dyDescent="0.3">
      <c r="A957" s="35" t="s">
        <v>48</v>
      </c>
      <c r="B957" s="36" t="s">
        <v>7</v>
      </c>
      <c r="C957" s="36" t="s">
        <v>13</v>
      </c>
      <c r="D957" s="37">
        <v>44564</v>
      </c>
      <c r="E957" s="38">
        <v>15008</v>
      </c>
      <c r="F957" s="39">
        <v>165</v>
      </c>
    </row>
    <row r="958" spans="1:6" x14ac:dyDescent="0.3">
      <c r="A958" s="30" t="s">
        <v>70</v>
      </c>
      <c r="B958" s="31" t="s">
        <v>25</v>
      </c>
      <c r="C958" s="31" t="s">
        <v>59</v>
      </c>
      <c r="D958" s="31" t="s">
        <v>121</v>
      </c>
      <c r="E958" s="33">
        <v>7609</v>
      </c>
      <c r="F958" s="34">
        <v>150</v>
      </c>
    </row>
    <row r="959" spans="1:6" x14ac:dyDescent="0.3">
      <c r="A959" s="35" t="s">
        <v>41</v>
      </c>
      <c r="B959" s="36" t="s">
        <v>35</v>
      </c>
      <c r="C959" s="36" t="s">
        <v>57</v>
      </c>
      <c r="D959" s="36" t="s">
        <v>44</v>
      </c>
      <c r="E959" s="38">
        <v>10332</v>
      </c>
      <c r="F959" s="39">
        <v>180</v>
      </c>
    </row>
    <row r="960" spans="1:6" x14ac:dyDescent="0.3">
      <c r="A960" s="30" t="s">
        <v>34</v>
      </c>
      <c r="B960" s="31" t="s">
        <v>10</v>
      </c>
      <c r="C960" s="31" t="s">
        <v>59</v>
      </c>
      <c r="D960" s="31" t="s">
        <v>101</v>
      </c>
      <c r="E960" s="33">
        <v>819</v>
      </c>
      <c r="F960" s="34">
        <v>213</v>
      </c>
    </row>
    <row r="961" spans="1:6" x14ac:dyDescent="0.3">
      <c r="A961" s="35" t="s">
        <v>28</v>
      </c>
      <c r="B961" s="36" t="s">
        <v>7</v>
      </c>
      <c r="C961" s="36" t="s">
        <v>38</v>
      </c>
      <c r="D961" s="36" t="s">
        <v>95</v>
      </c>
      <c r="E961" s="38">
        <v>5754</v>
      </c>
      <c r="F961" s="39">
        <v>133</v>
      </c>
    </row>
    <row r="962" spans="1:6" x14ac:dyDescent="0.3">
      <c r="A962" s="30" t="s">
        <v>48</v>
      </c>
      <c r="B962" s="31" t="s">
        <v>15</v>
      </c>
      <c r="C962" s="31" t="s">
        <v>23</v>
      </c>
      <c r="D962" s="40">
        <v>45238</v>
      </c>
      <c r="E962" s="33">
        <v>63.71</v>
      </c>
      <c r="F962" s="34">
        <v>109</v>
      </c>
    </row>
    <row r="963" spans="1:6" x14ac:dyDescent="0.3">
      <c r="A963" s="35" t="s">
        <v>19</v>
      </c>
      <c r="B963" s="36" t="s">
        <v>32</v>
      </c>
      <c r="C963" s="36" t="s">
        <v>65</v>
      </c>
      <c r="D963" s="36" t="s">
        <v>72</v>
      </c>
      <c r="E963" s="38">
        <v>6440</v>
      </c>
      <c r="F963" s="39">
        <v>141</v>
      </c>
    </row>
    <row r="964" spans="1:6" x14ac:dyDescent="0.3">
      <c r="A964" s="30" t="s">
        <v>53</v>
      </c>
      <c r="B964" s="31" t="s">
        <v>10</v>
      </c>
      <c r="C964" s="31" t="s">
        <v>36</v>
      </c>
      <c r="D964" s="32">
        <v>44806</v>
      </c>
      <c r="E964" s="33">
        <v>4956</v>
      </c>
      <c r="F964" s="34">
        <v>58</v>
      </c>
    </row>
    <row r="965" spans="1:6" x14ac:dyDescent="0.3">
      <c r="A965" s="35" t="s">
        <v>28</v>
      </c>
      <c r="B965" s="36" t="s">
        <v>7</v>
      </c>
      <c r="C965" s="36" t="s">
        <v>50</v>
      </c>
      <c r="D965" s="36" t="s">
        <v>99</v>
      </c>
      <c r="E965" s="38">
        <v>2352</v>
      </c>
      <c r="F965" s="39">
        <v>58</v>
      </c>
    </row>
    <row r="966" spans="1:6" x14ac:dyDescent="0.3">
      <c r="A966" s="30" t="s">
        <v>19</v>
      </c>
      <c r="B966" s="31" t="s">
        <v>15</v>
      </c>
      <c r="C966" s="31" t="s">
        <v>60</v>
      </c>
      <c r="D966" s="31" t="s">
        <v>43</v>
      </c>
      <c r="E966" s="33">
        <v>3906</v>
      </c>
      <c r="F966" s="34">
        <v>76</v>
      </c>
    </row>
    <row r="967" spans="1:6" x14ac:dyDescent="0.3">
      <c r="A967" s="35" t="s">
        <v>41</v>
      </c>
      <c r="B967" s="36" t="s">
        <v>10</v>
      </c>
      <c r="C967" s="36" t="s">
        <v>59</v>
      </c>
      <c r="D967" s="37">
        <v>44658</v>
      </c>
      <c r="E967" s="38">
        <v>1813</v>
      </c>
      <c r="F967" s="39">
        <v>296</v>
      </c>
    </row>
    <row r="968" spans="1:6" x14ac:dyDescent="0.3">
      <c r="A968" s="30" t="s">
        <v>83</v>
      </c>
      <c r="B968" s="31" t="s">
        <v>10</v>
      </c>
      <c r="C968" s="31" t="s">
        <v>65</v>
      </c>
      <c r="D968" s="31" t="s">
        <v>121</v>
      </c>
      <c r="E968" s="33">
        <v>11788</v>
      </c>
      <c r="F968" s="34">
        <v>73</v>
      </c>
    </row>
    <row r="969" spans="1:6" x14ac:dyDescent="0.3">
      <c r="A969" s="35" t="s">
        <v>12</v>
      </c>
      <c r="B969" s="36" t="s">
        <v>15</v>
      </c>
      <c r="C969" s="36" t="s">
        <v>18</v>
      </c>
      <c r="D969" s="36" t="s">
        <v>21</v>
      </c>
      <c r="E969" s="38">
        <v>5768</v>
      </c>
      <c r="F969" s="39">
        <v>119</v>
      </c>
    </row>
    <row r="970" spans="1:6" x14ac:dyDescent="0.3">
      <c r="A970" s="30" t="s">
        <v>71</v>
      </c>
      <c r="B970" s="31" t="s">
        <v>32</v>
      </c>
      <c r="C970" s="31" t="s">
        <v>11</v>
      </c>
      <c r="D970" s="31" t="s">
        <v>114</v>
      </c>
      <c r="E970" s="33">
        <v>2401</v>
      </c>
      <c r="F970" s="34">
        <v>78</v>
      </c>
    </row>
    <row r="971" spans="1:6" x14ac:dyDescent="0.3">
      <c r="A971" s="35" t="s">
        <v>71</v>
      </c>
      <c r="B971" s="36" t="s">
        <v>32</v>
      </c>
      <c r="C971" s="36" t="s">
        <v>36</v>
      </c>
      <c r="D971" s="37">
        <v>44840</v>
      </c>
      <c r="E971" s="38">
        <v>4515</v>
      </c>
      <c r="F971" s="39">
        <v>392</v>
      </c>
    </row>
    <row r="972" spans="1:6" x14ac:dyDescent="0.3">
      <c r="A972" s="30" t="s">
        <v>77</v>
      </c>
      <c r="B972" s="31" t="s">
        <v>25</v>
      </c>
      <c r="C972" s="31" t="s">
        <v>59</v>
      </c>
      <c r="D972" s="31" t="s">
        <v>78</v>
      </c>
      <c r="E972" s="33">
        <v>10794</v>
      </c>
      <c r="F972" s="34">
        <v>51</v>
      </c>
    </row>
    <row r="973" spans="1:6" x14ac:dyDescent="0.3">
      <c r="A973" s="35" t="s">
        <v>9</v>
      </c>
      <c r="B973" s="36" t="s">
        <v>10</v>
      </c>
      <c r="C973" s="36" t="s">
        <v>23</v>
      </c>
      <c r="D973" s="36" t="s">
        <v>49</v>
      </c>
      <c r="E973" s="38">
        <v>13706</v>
      </c>
      <c r="F973" s="39">
        <v>207</v>
      </c>
    </row>
    <row r="974" spans="1:6" x14ac:dyDescent="0.3">
      <c r="A974" s="30" t="s">
        <v>53</v>
      </c>
      <c r="B974" s="31" t="s">
        <v>10</v>
      </c>
      <c r="C974" s="31" t="s">
        <v>33</v>
      </c>
      <c r="D974" s="31" t="s">
        <v>66</v>
      </c>
      <c r="E974" s="33">
        <v>4361</v>
      </c>
      <c r="F974" s="34">
        <v>40</v>
      </c>
    </row>
    <row r="975" spans="1:6" x14ac:dyDescent="0.3">
      <c r="A975" s="35" t="s">
        <v>6</v>
      </c>
      <c r="B975" s="36" t="s">
        <v>10</v>
      </c>
      <c r="C975" s="36" t="s">
        <v>65</v>
      </c>
      <c r="D975" s="36" t="s">
        <v>140</v>
      </c>
      <c r="E975" s="38">
        <v>10122</v>
      </c>
      <c r="F975" s="39">
        <v>100</v>
      </c>
    </row>
    <row r="976" spans="1:6" x14ac:dyDescent="0.3">
      <c r="A976" s="30" t="s">
        <v>37</v>
      </c>
      <c r="B976" s="31" t="s">
        <v>15</v>
      </c>
      <c r="C976" s="31" t="s">
        <v>73</v>
      </c>
      <c r="D976" s="31" t="s">
        <v>98</v>
      </c>
      <c r="E976" s="33">
        <v>994</v>
      </c>
      <c r="F976" s="34">
        <v>57</v>
      </c>
    </row>
    <row r="977" spans="1:6" x14ac:dyDescent="0.3">
      <c r="A977" s="35" t="s">
        <v>71</v>
      </c>
      <c r="B977" s="36" t="s">
        <v>25</v>
      </c>
      <c r="C977" s="36" t="s">
        <v>20</v>
      </c>
      <c r="D977" s="36" t="s">
        <v>93</v>
      </c>
      <c r="E977" s="38">
        <v>2268</v>
      </c>
      <c r="F977" s="39">
        <v>42</v>
      </c>
    </row>
    <row r="978" spans="1:6" x14ac:dyDescent="0.3">
      <c r="A978" s="30" t="s">
        <v>12</v>
      </c>
      <c r="B978" s="31" t="s">
        <v>15</v>
      </c>
      <c r="C978" s="31" t="s">
        <v>33</v>
      </c>
      <c r="D978" s="32">
        <v>44807</v>
      </c>
      <c r="E978" s="33">
        <v>574</v>
      </c>
      <c r="F978" s="34">
        <v>156</v>
      </c>
    </row>
    <row r="979" spans="1:6" x14ac:dyDescent="0.3">
      <c r="A979" s="35" t="s">
        <v>70</v>
      </c>
      <c r="B979" s="36" t="s">
        <v>7</v>
      </c>
      <c r="C979" s="36" t="s">
        <v>38</v>
      </c>
      <c r="D979" s="36" t="s">
        <v>27</v>
      </c>
      <c r="E979" s="38">
        <v>1792</v>
      </c>
      <c r="F979" s="39">
        <v>23</v>
      </c>
    </row>
    <row r="980" spans="1:6" x14ac:dyDescent="0.3">
      <c r="A980" s="30" t="s">
        <v>34</v>
      </c>
      <c r="B980" s="31" t="s">
        <v>35</v>
      </c>
      <c r="C980" s="31" t="s">
        <v>90</v>
      </c>
      <c r="D980" s="32">
        <v>44840</v>
      </c>
      <c r="E980" s="33">
        <v>4844</v>
      </c>
      <c r="F980" s="34">
        <v>539</v>
      </c>
    </row>
    <row r="981" spans="1:6" x14ac:dyDescent="0.3">
      <c r="A981" s="35" t="s">
        <v>53</v>
      </c>
      <c r="B981" s="36" t="s">
        <v>15</v>
      </c>
      <c r="C981" s="36" t="s">
        <v>42</v>
      </c>
      <c r="D981" s="37">
        <v>44775</v>
      </c>
      <c r="E981" s="38">
        <v>938</v>
      </c>
      <c r="F981" s="39">
        <v>158</v>
      </c>
    </row>
    <row r="982" spans="1:6" x14ac:dyDescent="0.3">
      <c r="A982" s="30" t="s">
        <v>28</v>
      </c>
      <c r="B982" s="31" t="s">
        <v>15</v>
      </c>
      <c r="C982" s="31" t="s">
        <v>59</v>
      </c>
      <c r="D982" s="31" t="s">
        <v>103</v>
      </c>
      <c r="E982" s="33">
        <v>4879</v>
      </c>
      <c r="F982" s="34">
        <v>22</v>
      </c>
    </row>
    <row r="983" spans="1:6" x14ac:dyDescent="0.3">
      <c r="A983" s="35" t="s">
        <v>79</v>
      </c>
      <c r="B983" s="36" t="s">
        <v>10</v>
      </c>
      <c r="C983" s="36" t="s">
        <v>13</v>
      </c>
      <c r="D983" s="36" t="s">
        <v>47</v>
      </c>
      <c r="E983" s="38">
        <v>9107</v>
      </c>
      <c r="F983" s="39">
        <v>73</v>
      </c>
    </row>
    <row r="984" spans="1:6" x14ac:dyDescent="0.3">
      <c r="A984" s="30" t="s">
        <v>58</v>
      </c>
      <c r="B984" s="31" t="s">
        <v>7</v>
      </c>
      <c r="C984" s="31" t="s">
        <v>20</v>
      </c>
      <c r="D984" s="31" t="s">
        <v>52</v>
      </c>
      <c r="E984" s="33">
        <v>12187</v>
      </c>
      <c r="F984" s="34">
        <v>27</v>
      </c>
    </row>
    <row r="985" spans="1:6" x14ac:dyDescent="0.3">
      <c r="A985" s="35" t="s">
        <v>12</v>
      </c>
      <c r="B985" s="36" t="s">
        <v>25</v>
      </c>
      <c r="C985" s="36" t="s">
        <v>26</v>
      </c>
      <c r="D985" s="36" t="s">
        <v>63</v>
      </c>
      <c r="E985" s="38">
        <v>5670</v>
      </c>
      <c r="F985" s="39">
        <v>64</v>
      </c>
    </row>
    <row r="986" spans="1:6" x14ac:dyDescent="0.3">
      <c r="A986" s="30" t="s">
        <v>12</v>
      </c>
      <c r="B986" s="31" t="s">
        <v>32</v>
      </c>
      <c r="C986" s="31" t="s">
        <v>46</v>
      </c>
      <c r="D986" s="31" t="s">
        <v>111</v>
      </c>
      <c r="E986" s="33">
        <v>476</v>
      </c>
      <c r="F986" s="34">
        <v>133</v>
      </c>
    </row>
    <row r="987" spans="1:6" x14ac:dyDescent="0.3">
      <c r="A987" s="35" t="s">
        <v>28</v>
      </c>
      <c r="B987" s="36" t="s">
        <v>7</v>
      </c>
      <c r="C987" s="36" t="s">
        <v>90</v>
      </c>
      <c r="D987" s="37">
        <v>44654</v>
      </c>
      <c r="E987" s="38">
        <v>2681</v>
      </c>
      <c r="F987" s="39">
        <v>149</v>
      </c>
    </row>
    <row r="988" spans="1:6" x14ac:dyDescent="0.3">
      <c r="A988" s="30" t="s">
        <v>48</v>
      </c>
      <c r="B988" s="31" t="s">
        <v>25</v>
      </c>
      <c r="C988" s="31" t="s">
        <v>13</v>
      </c>
      <c r="D988" s="31" t="s">
        <v>131</v>
      </c>
      <c r="E988" s="33">
        <v>1533</v>
      </c>
      <c r="F988" s="34">
        <v>434</v>
      </c>
    </row>
    <row r="989" spans="1:6" x14ac:dyDescent="0.3">
      <c r="A989" s="35" t="s">
        <v>48</v>
      </c>
      <c r="B989" s="36" t="s">
        <v>25</v>
      </c>
      <c r="C989" s="36" t="s">
        <v>26</v>
      </c>
      <c r="D989" s="36" t="s">
        <v>95</v>
      </c>
      <c r="E989" s="38">
        <v>9765</v>
      </c>
      <c r="F989" s="39">
        <v>85</v>
      </c>
    </row>
    <row r="990" spans="1:6" x14ac:dyDescent="0.3">
      <c r="A990" s="30" t="s">
        <v>41</v>
      </c>
      <c r="B990" s="31" t="s">
        <v>35</v>
      </c>
      <c r="C990" s="31" t="s">
        <v>38</v>
      </c>
      <c r="D990" s="32">
        <v>44688</v>
      </c>
      <c r="E990" s="33">
        <v>994</v>
      </c>
      <c r="F990" s="34">
        <v>118</v>
      </c>
    </row>
    <row r="991" spans="1:6" x14ac:dyDescent="0.3">
      <c r="A991" s="35" t="s">
        <v>31</v>
      </c>
      <c r="B991" s="36" t="s">
        <v>32</v>
      </c>
      <c r="C991" s="36" t="s">
        <v>90</v>
      </c>
      <c r="D991" s="36" t="s">
        <v>118</v>
      </c>
      <c r="E991" s="38">
        <v>3318</v>
      </c>
      <c r="F991" s="39">
        <v>299</v>
      </c>
    </row>
    <row r="992" spans="1:6" x14ac:dyDescent="0.3">
      <c r="A992" s="30" t="s">
        <v>34</v>
      </c>
      <c r="B992" s="31" t="s">
        <v>35</v>
      </c>
      <c r="C992" s="31" t="s">
        <v>65</v>
      </c>
      <c r="D992" s="32">
        <v>44900</v>
      </c>
      <c r="E992" s="33">
        <v>4214</v>
      </c>
      <c r="F992" s="34">
        <v>35</v>
      </c>
    </row>
    <row r="993" spans="1:6" x14ac:dyDescent="0.3">
      <c r="A993" s="35" t="s">
        <v>19</v>
      </c>
      <c r="B993" s="36" t="s">
        <v>32</v>
      </c>
      <c r="C993" s="36" t="s">
        <v>38</v>
      </c>
      <c r="D993" s="37">
        <v>44868</v>
      </c>
      <c r="E993" s="38">
        <v>7714</v>
      </c>
      <c r="F993" s="39">
        <v>44</v>
      </c>
    </row>
    <row r="994" spans="1:6" x14ac:dyDescent="0.3">
      <c r="A994" s="30" t="s">
        <v>28</v>
      </c>
      <c r="B994" s="31" t="s">
        <v>25</v>
      </c>
      <c r="C994" s="31" t="s">
        <v>36</v>
      </c>
      <c r="D994" s="32">
        <v>44872</v>
      </c>
      <c r="E994" s="33">
        <v>4690</v>
      </c>
      <c r="F994" s="34">
        <v>299</v>
      </c>
    </row>
    <row r="995" spans="1:6" x14ac:dyDescent="0.3">
      <c r="A995" s="35" t="s">
        <v>22</v>
      </c>
      <c r="B995" s="36" t="s">
        <v>25</v>
      </c>
      <c r="C995" s="36" t="s">
        <v>75</v>
      </c>
      <c r="D995" s="37">
        <v>44569</v>
      </c>
      <c r="E995" s="38">
        <v>13062</v>
      </c>
      <c r="F995" s="39">
        <v>62</v>
      </c>
    </row>
    <row r="996" spans="1:6" x14ac:dyDescent="0.3">
      <c r="A996" s="30" t="s">
        <v>22</v>
      </c>
      <c r="B996" s="31" t="s">
        <v>7</v>
      </c>
      <c r="C996" s="31" t="s">
        <v>50</v>
      </c>
      <c r="D996" s="31" t="s">
        <v>47</v>
      </c>
      <c r="E996" s="33">
        <v>12488</v>
      </c>
      <c r="F996" s="34">
        <v>200</v>
      </c>
    </row>
    <row r="997" spans="1:6" x14ac:dyDescent="0.3">
      <c r="A997" s="35" t="s">
        <v>48</v>
      </c>
      <c r="B997" s="36" t="s">
        <v>32</v>
      </c>
      <c r="C997" s="36" t="s">
        <v>23</v>
      </c>
      <c r="D997" s="36" t="s">
        <v>121</v>
      </c>
      <c r="E997" s="38">
        <v>14147</v>
      </c>
      <c r="F997" s="39">
        <v>235</v>
      </c>
    </row>
    <row r="998" spans="1:6" x14ac:dyDescent="0.3">
      <c r="A998" s="30" t="s">
        <v>48</v>
      </c>
      <c r="B998" s="31" t="s">
        <v>15</v>
      </c>
      <c r="C998" s="31" t="s">
        <v>23</v>
      </c>
      <c r="D998" s="40">
        <v>45604</v>
      </c>
      <c r="E998" s="33">
        <v>71.989999999999995</v>
      </c>
      <c r="F998" s="34">
        <v>101</v>
      </c>
    </row>
    <row r="999" spans="1:6" x14ac:dyDescent="0.3">
      <c r="A999" s="35" t="s">
        <v>83</v>
      </c>
      <c r="B999" s="36" t="s">
        <v>15</v>
      </c>
      <c r="C999" s="36" t="s">
        <v>13</v>
      </c>
      <c r="D999" s="36" t="s">
        <v>54</v>
      </c>
      <c r="E999" s="38">
        <v>10199</v>
      </c>
      <c r="F999" s="39">
        <v>68</v>
      </c>
    </row>
    <row r="1000" spans="1:6" x14ac:dyDescent="0.3">
      <c r="A1000" s="30" t="s">
        <v>19</v>
      </c>
      <c r="B1000" s="31" t="s">
        <v>15</v>
      </c>
      <c r="C1000" s="31" t="s">
        <v>50</v>
      </c>
      <c r="D1000" s="31" t="s">
        <v>151</v>
      </c>
      <c r="E1000" s="33">
        <v>11389</v>
      </c>
      <c r="F1000" s="34">
        <v>26</v>
      </c>
    </row>
    <row r="1001" spans="1:6" x14ac:dyDescent="0.3">
      <c r="A1001" s="35" t="s">
        <v>6</v>
      </c>
      <c r="B1001" s="36" t="s">
        <v>35</v>
      </c>
      <c r="C1001" s="36" t="s">
        <v>60</v>
      </c>
      <c r="D1001" s="37">
        <v>44685</v>
      </c>
      <c r="E1001" s="38">
        <v>3584</v>
      </c>
      <c r="F1001" s="39">
        <v>200</v>
      </c>
    </row>
    <row r="1002" spans="1:6" x14ac:dyDescent="0.3">
      <c r="A1002" s="30" t="s">
        <v>71</v>
      </c>
      <c r="B1002" s="31" t="s">
        <v>35</v>
      </c>
      <c r="C1002" s="31" t="s">
        <v>38</v>
      </c>
      <c r="D1002" s="32">
        <v>44623</v>
      </c>
      <c r="E1002" s="33">
        <v>12481</v>
      </c>
      <c r="F1002" s="34">
        <v>264</v>
      </c>
    </row>
    <row r="1003" spans="1:6" x14ac:dyDescent="0.3">
      <c r="A1003" s="35" t="s">
        <v>55</v>
      </c>
      <c r="B1003" s="36" t="s">
        <v>32</v>
      </c>
      <c r="C1003" s="36" t="s">
        <v>50</v>
      </c>
      <c r="D1003" s="36" t="s">
        <v>128</v>
      </c>
      <c r="E1003" s="38">
        <v>2107</v>
      </c>
      <c r="F1003" s="39">
        <v>175</v>
      </c>
    </row>
    <row r="1004" spans="1:6" x14ac:dyDescent="0.3">
      <c r="A1004" s="30" t="s">
        <v>40</v>
      </c>
      <c r="B1004" s="31" t="s">
        <v>25</v>
      </c>
      <c r="C1004" s="31" t="s">
        <v>100</v>
      </c>
      <c r="D1004" s="31" t="s">
        <v>44</v>
      </c>
      <c r="E1004" s="33">
        <v>8603</v>
      </c>
      <c r="F1004" s="34">
        <v>352</v>
      </c>
    </row>
    <row r="1005" spans="1:6" x14ac:dyDescent="0.3">
      <c r="A1005" s="35" t="s">
        <v>45</v>
      </c>
      <c r="B1005" s="36" t="s">
        <v>25</v>
      </c>
      <c r="C1005" s="36" t="s">
        <v>20</v>
      </c>
      <c r="D1005" s="36" t="s">
        <v>154</v>
      </c>
      <c r="E1005" s="38">
        <v>7483</v>
      </c>
      <c r="F1005" s="39">
        <v>183</v>
      </c>
    </row>
    <row r="1006" spans="1:6" x14ac:dyDescent="0.3">
      <c r="A1006" s="30" t="s">
        <v>19</v>
      </c>
      <c r="B1006" s="31" t="s">
        <v>25</v>
      </c>
      <c r="C1006" s="31" t="s">
        <v>11</v>
      </c>
      <c r="D1006" s="32">
        <v>44563</v>
      </c>
      <c r="E1006" s="33">
        <v>3381</v>
      </c>
      <c r="F1006" s="34">
        <v>417</v>
      </c>
    </row>
    <row r="1007" spans="1:6" x14ac:dyDescent="0.3">
      <c r="A1007" s="35" t="s">
        <v>79</v>
      </c>
      <c r="B1007" s="36" t="s">
        <v>25</v>
      </c>
      <c r="C1007" s="36" t="s">
        <v>33</v>
      </c>
      <c r="D1007" s="37">
        <v>44659</v>
      </c>
      <c r="E1007" s="38">
        <v>2030</v>
      </c>
      <c r="F1007" s="39">
        <v>146</v>
      </c>
    </row>
    <row r="1008" spans="1:6" x14ac:dyDescent="0.3">
      <c r="A1008" s="30" t="s">
        <v>67</v>
      </c>
      <c r="B1008" s="31" t="s">
        <v>25</v>
      </c>
      <c r="C1008" s="31" t="s">
        <v>65</v>
      </c>
      <c r="D1008" s="32">
        <v>44685</v>
      </c>
      <c r="E1008" s="33">
        <v>6559</v>
      </c>
      <c r="F1008" s="34">
        <v>158</v>
      </c>
    </row>
    <row r="1009" spans="1:6" x14ac:dyDescent="0.3">
      <c r="A1009" s="35" t="s">
        <v>37</v>
      </c>
      <c r="B1009" s="36" t="s">
        <v>15</v>
      </c>
      <c r="C1009" s="36" t="s">
        <v>20</v>
      </c>
      <c r="D1009" s="36" t="s">
        <v>43</v>
      </c>
      <c r="E1009" s="38">
        <v>10822</v>
      </c>
      <c r="F1009" s="39">
        <v>168</v>
      </c>
    </row>
    <row r="1010" spans="1:6" x14ac:dyDescent="0.3">
      <c r="A1010" s="30" t="s">
        <v>55</v>
      </c>
      <c r="B1010" s="31" t="s">
        <v>7</v>
      </c>
      <c r="C1010" s="31" t="s">
        <v>23</v>
      </c>
      <c r="D1010" s="31" t="s">
        <v>124</v>
      </c>
      <c r="E1010" s="33">
        <v>18697</v>
      </c>
      <c r="F1010" s="34">
        <v>176</v>
      </c>
    </row>
    <row r="1011" spans="1:6" x14ac:dyDescent="0.3">
      <c r="A1011" s="35" t="s">
        <v>55</v>
      </c>
      <c r="B1011" s="36" t="s">
        <v>35</v>
      </c>
      <c r="C1011" s="36" t="s">
        <v>23</v>
      </c>
      <c r="D1011" s="36" t="s">
        <v>78</v>
      </c>
      <c r="E1011" s="38">
        <v>5845</v>
      </c>
      <c r="F1011" s="39">
        <v>172</v>
      </c>
    </row>
    <row r="1012" spans="1:6" x14ac:dyDescent="0.3">
      <c r="A1012" s="30" t="s">
        <v>55</v>
      </c>
      <c r="B1012" s="31" t="s">
        <v>7</v>
      </c>
      <c r="C1012" s="31" t="s">
        <v>38</v>
      </c>
      <c r="D1012" s="31" t="s">
        <v>95</v>
      </c>
      <c r="E1012" s="33">
        <v>2317</v>
      </c>
      <c r="F1012" s="34">
        <v>224</v>
      </c>
    </row>
    <row r="1013" spans="1:6" x14ac:dyDescent="0.3">
      <c r="A1013" s="35" t="s">
        <v>29</v>
      </c>
      <c r="B1013" s="36" t="s">
        <v>7</v>
      </c>
      <c r="C1013" s="36" t="s">
        <v>26</v>
      </c>
      <c r="D1013" s="36" t="s">
        <v>47</v>
      </c>
      <c r="E1013" s="38">
        <v>10150</v>
      </c>
      <c r="F1013" s="39">
        <v>68</v>
      </c>
    </row>
    <row r="1014" spans="1:6" x14ac:dyDescent="0.3">
      <c r="A1014" s="30" t="s">
        <v>79</v>
      </c>
      <c r="B1014" s="31" t="s">
        <v>32</v>
      </c>
      <c r="C1014" s="31" t="s">
        <v>73</v>
      </c>
      <c r="D1014" s="32">
        <v>44621</v>
      </c>
      <c r="E1014" s="33">
        <v>3437</v>
      </c>
      <c r="F1014" s="34">
        <v>46</v>
      </c>
    </row>
    <row r="1015" spans="1:6" x14ac:dyDescent="0.3">
      <c r="A1015" s="35" t="s">
        <v>37</v>
      </c>
      <c r="B1015" s="36" t="s">
        <v>32</v>
      </c>
      <c r="C1015" s="36" t="s">
        <v>59</v>
      </c>
      <c r="D1015" s="36" t="s">
        <v>69</v>
      </c>
      <c r="E1015" s="38">
        <v>4592</v>
      </c>
      <c r="F1015" s="39">
        <v>2</v>
      </c>
    </row>
    <row r="1016" spans="1:6" x14ac:dyDescent="0.3">
      <c r="A1016" s="30" t="s">
        <v>19</v>
      </c>
      <c r="B1016" s="31" t="s">
        <v>32</v>
      </c>
      <c r="C1016" s="31" t="s">
        <v>50</v>
      </c>
      <c r="D1016" s="32">
        <v>44744</v>
      </c>
      <c r="E1016" s="33">
        <v>5691</v>
      </c>
      <c r="F1016" s="34">
        <v>417</v>
      </c>
    </row>
    <row r="1017" spans="1:6" x14ac:dyDescent="0.3">
      <c r="A1017" s="35" t="s">
        <v>34</v>
      </c>
      <c r="B1017" s="36" t="s">
        <v>15</v>
      </c>
      <c r="C1017" s="36" t="s">
        <v>18</v>
      </c>
      <c r="D1017" s="37">
        <v>44867</v>
      </c>
      <c r="E1017" s="38">
        <v>4158</v>
      </c>
      <c r="F1017" s="39">
        <v>109</v>
      </c>
    </row>
    <row r="1018" spans="1:6" x14ac:dyDescent="0.3">
      <c r="A1018" s="30" t="s">
        <v>55</v>
      </c>
      <c r="B1018" s="31" t="s">
        <v>35</v>
      </c>
      <c r="C1018" s="31" t="s">
        <v>42</v>
      </c>
      <c r="D1018" s="31" t="s">
        <v>118</v>
      </c>
      <c r="E1018" s="33">
        <v>5684</v>
      </c>
      <c r="F1018" s="34">
        <v>81</v>
      </c>
    </row>
    <row r="1019" spans="1:6" x14ac:dyDescent="0.3">
      <c r="A1019" s="35" t="s">
        <v>40</v>
      </c>
      <c r="B1019" s="36" t="s">
        <v>32</v>
      </c>
      <c r="C1019" s="36" t="s">
        <v>13</v>
      </c>
      <c r="D1019" s="36" t="s">
        <v>61</v>
      </c>
      <c r="E1019" s="38">
        <v>693</v>
      </c>
      <c r="F1019" s="39">
        <v>350</v>
      </c>
    </row>
    <row r="1020" spans="1:6" x14ac:dyDescent="0.3">
      <c r="A1020" s="30" t="s">
        <v>58</v>
      </c>
      <c r="B1020" s="31" t="s">
        <v>7</v>
      </c>
      <c r="C1020" s="31" t="s">
        <v>18</v>
      </c>
      <c r="D1020" s="31" t="s">
        <v>151</v>
      </c>
      <c r="E1020" s="33">
        <v>546</v>
      </c>
      <c r="F1020" s="34">
        <v>142</v>
      </c>
    </row>
    <row r="1021" spans="1:6" x14ac:dyDescent="0.3">
      <c r="A1021" s="35" t="s">
        <v>28</v>
      </c>
      <c r="B1021" s="36" t="s">
        <v>15</v>
      </c>
      <c r="C1021" s="36" t="s">
        <v>42</v>
      </c>
      <c r="D1021" s="36" t="s">
        <v>82</v>
      </c>
      <c r="E1021" s="38">
        <v>4263</v>
      </c>
      <c r="F1021" s="39">
        <v>264</v>
      </c>
    </row>
    <row r="1022" spans="1:6" x14ac:dyDescent="0.3">
      <c r="A1022" s="30" t="s">
        <v>41</v>
      </c>
      <c r="B1022" s="31" t="s">
        <v>10</v>
      </c>
      <c r="C1022" s="31" t="s">
        <v>42</v>
      </c>
      <c r="D1022" s="31" t="s">
        <v>142</v>
      </c>
      <c r="E1022" s="33">
        <v>1036</v>
      </c>
      <c r="F1022" s="34">
        <v>20</v>
      </c>
    </row>
    <row r="1023" spans="1:6" x14ac:dyDescent="0.3">
      <c r="A1023" s="35" t="s">
        <v>58</v>
      </c>
      <c r="B1023" s="36" t="s">
        <v>15</v>
      </c>
      <c r="C1023" s="36" t="s">
        <v>87</v>
      </c>
      <c r="D1023" s="37">
        <v>44866</v>
      </c>
      <c r="E1023" s="38">
        <v>13846</v>
      </c>
      <c r="F1023" s="39">
        <v>421</v>
      </c>
    </row>
    <row r="1024" spans="1:6" x14ac:dyDescent="0.3">
      <c r="A1024" s="30" t="s">
        <v>41</v>
      </c>
      <c r="B1024" s="31" t="s">
        <v>7</v>
      </c>
      <c r="C1024" s="31" t="s">
        <v>26</v>
      </c>
      <c r="D1024" s="32">
        <v>44806</v>
      </c>
      <c r="E1024" s="33">
        <v>2499</v>
      </c>
      <c r="F1024" s="34">
        <v>271</v>
      </c>
    </row>
    <row r="1025" spans="1:6" x14ac:dyDescent="0.3">
      <c r="A1025" s="35" t="s">
        <v>9</v>
      </c>
      <c r="B1025" s="36" t="s">
        <v>7</v>
      </c>
      <c r="C1025" s="36" t="s">
        <v>65</v>
      </c>
      <c r="D1025" s="37">
        <v>44718</v>
      </c>
      <c r="E1025" s="38">
        <v>10689</v>
      </c>
      <c r="F1025" s="39">
        <v>204</v>
      </c>
    </row>
    <row r="1026" spans="1:6" x14ac:dyDescent="0.3">
      <c r="A1026" s="30" t="s">
        <v>79</v>
      </c>
      <c r="B1026" s="31" t="s">
        <v>7</v>
      </c>
      <c r="C1026" s="31" t="s">
        <v>90</v>
      </c>
      <c r="D1026" s="32">
        <v>44842</v>
      </c>
      <c r="E1026" s="33">
        <v>5768</v>
      </c>
      <c r="F1026" s="34">
        <v>235</v>
      </c>
    </row>
    <row r="1027" spans="1:6" x14ac:dyDescent="0.3">
      <c r="A1027" s="35" t="s">
        <v>64</v>
      </c>
      <c r="B1027" s="36" t="s">
        <v>15</v>
      </c>
      <c r="C1027" s="36" t="s">
        <v>18</v>
      </c>
      <c r="D1027" s="37">
        <v>44652</v>
      </c>
      <c r="E1027" s="38">
        <v>2226</v>
      </c>
      <c r="F1027" s="39">
        <v>46</v>
      </c>
    </row>
    <row r="1028" spans="1:6" x14ac:dyDescent="0.3">
      <c r="A1028" s="30" t="s">
        <v>67</v>
      </c>
      <c r="B1028" s="31" t="s">
        <v>35</v>
      </c>
      <c r="C1028" s="31" t="s">
        <v>100</v>
      </c>
      <c r="D1028" s="32">
        <v>44777</v>
      </c>
      <c r="E1028" s="33">
        <v>10262</v>
      </c>
      <c r="F1028" s="34">
        <v>15</v>
      </c>
    </row>
    <row r="1029" spans="1:6" x14ac:dyDescent="0.3">
      <c r="A1029" s="35" t="s">
        <v>31</v>
      </c>
      <c r="B1029" s="36" t="s">
        <v>7</v>
      </c>
      <c r="C1029" s="36" t="s">
        <v>46</v>
      </c>
      <c r="D1029" s="37">
        <v>44595</v>
      </c>
      <c r="E1029" s="38">
        <v>3864</v>
      </c>
      <c r="F1029" s="39">
        <v>430</v>
      </c>
    </row>
    <row r="1030" spans="1:6" x14ac:dyDescent="0.3">
      <c r="A1030" s="30" t="s">
        <v>9</v>
      </c>
      <c r="B1030" s="31" t="s">
        <v>35</v>
      </c>
      <c r="C1030" s="31" t="s">
        <v>38</v>
      </c>
      <c r="D1030" s="31" t="s">
        <v>61</v>
      </c>
      <c r="E1030" s="33">
        <v>4900</v>
      </c>
      <c r="F1030" s="34">
        <v>709</v>
      </c>
    </row>
    <row r="1031" spans="1:6" x14ac:dyDescent="0.3">
      <c r="A1031" s="35" t="s">
        <v>6</v>
      </c>
      <c r="B1031" s="36" t="s">
        <v>15</v>
      </c>
      <c r="C1031" s="36" t="s">
        <v>23</v>
      </c>
      <c r="D1031" s="36" t="s">
        <v>44</v>
      </c>
      <c r="E1031" s="38">
        <v>5250</v>
      </c>
      <c r="F1031" s="39">
        <v>47</v>
      </c>
    </row>
    <row r="1032" spans="1:6" x14ac:dyDescent="0.3">
      <c r="A1032" s="30" t="s">
        <v>53</v>
      </c>
      <c r="B1032" s="31" t="s">
        <v>7</v>
      </c>
      <c r="C1032" s="31" t="s">
        <v>23</v>
      </c>
      <c r="D1032" s="32">
        <v>44688</v>
      </c>
      <c r="E1032" s="33">
        <v>3507</v>
      </c>
      <c r="F1032" s="34">
        <v>380</v>
      </c>
    </row>
    <row r="1033" spans="1:6" x14ac:dyDescent="0.3">
      <c r="A1033" s="35" t="s">
        <v>31</v>
      </c>
      <c r="B1033" s="36" t="s">
        <v>10</v>
      </c>
      <c r="C1033" s="36" t="s">
        <v>8</v>
      </c>
      <c r="D1033" s="37">
        <v>44896</v>
      </c>
      <c r="E1033" s="38">
        <v>7413</v>
      </c>
      <c r="F1033" s="39">
        <v>465</v>
      </c>
    </row>
    <row r="1034" spans="1:6" x14ac:dyDescent="0.3">
      <c r="A1034" s="30" t="s">
        <v>48</v>
      </c>
      <c r="B1034" s="31" t="s">
        <v>10</v>
      </c>
      <c r="C1034" s="31" t="s">
        <v>8</v>
      </c>
      <c r="D1034" s="32">
        <v>44623</v>
      </c>
      <c r="E1034" s="33">
        <v>8155</v>
      </c>
      <c r="F1034" s="34">
        <v>96</v>
      </c>
    </row>
    <row r="1035" spans="1:6" x14ac:dyDescent="0.3">
      <c r="A1035" s="35" t="s">
        <v>6</v>
      </c>
      <c r="B1035" s="36" t="s">
        <v>25</v>
      </c>
      <c r="C1035" s="36" t="s">
        <v>46</v>
      </c>
      <c r="D1035" s="36" t="s">
        <v>84</v>
      </c>
      <c r="E1035" s="38">
        <v>2478</v>
      </c>
      <c r="F1035" s="39">
        <v>188</v>
      </c>
    </row>
    <row r="1036" spans="1:6" x14ac:dyDescent="0.3">
      <c r="A1036" s="30" t="s">
        <v>22</v>
      </c>
      <c r="B1036" s="31" t="s">
        <v>10</v>
      </c>
      <c r="C1036" s="31" t="s">
        <v>90</v>
      </c>
      <c r="D1036" s="31" t="s">
        <v>39</v>
      </c>
      <c r="E1036" s="33">
        <v>2471</v>
      </c>
      <c r="F1036" s="34">
        <v>202</v>
      </c>
    </row>
    <row r="1037" spans="1:6" x14ac:dyDescent="0.3">
      <c r="A1037" s="35" t="s">
        <v>48</v>
      </c>
      <c r="B1037" s="36" t="s">
        <v>7</v>
      </c>
      <c r="C1037" s="36" t="s">
        <v>60</v>
      </c>
      <c r="D1037" s="37">
        <v>44744</v>
      </c>
      <c r="E1037" s="38">
        <v>1666</v>
      </c>
      <c r="F1037" s="39">
        <v>106</v>
      </c>
    </row>
    <row r="1038" spans="1:6" x14ac:dyDescent="0.3">
      <c r="A1038" s="30" t="s">
        <v>67</v>
      </c>
      <c r="B1038" s="31" t="s">
        <v>10</v>
      </c>
      <c r="C1038" s="31" t="s">
        <v>33</v>
      </c>
      <c r="D1038" s="31" t="s">
        <v>52</v>
      </c>
      <c r="E1038" s="33">
        <v>301</v>
      </c>
      <c r="F1038" s="34">
        <v>421</v>
      </c>
    </row>
    <row r="1039" spans="1:6" x14ac:dyDescent="0.3">
      <c r="A1039" s="35" t="s">
        <v>34</v>
      </c>
      <c r="B1039" s="36" t="s">
        <v>15</v>
      </c>
      <c r="C1039" s="36" t="s">
        <v>73</v>
      </c>
      <c r="D1039" s="36" t="s">
        <v>114</v>
      </c>
      <c r="E1039" s="38">
        <v>8400</v>
      </c>
      <c r="F1039" s="39">
        <v>27</v>
      </c>
    </row>
    <row r="1040" spans="1:6" x14ac:dyDescent="0.3">
      <c r="A1040" s="30" t="s">
        <v>41</v>
      </c>
      <c r="B1040" s="31" t="s">
        <v>35</v>
      </c>
      <c r="C1040" s="31" t="s">
        <v>11</v>
      </c>
      <c r="D1040" s="31" t="s">
        <v>47</v>
      </c>
      <c r="E1040" s="33">
        <v>6139</v>
      </c>
      <c r="F1040" s="34">
        <v>45</v>
      </c>
    </row>
    <row r="1041" spans="1:6" x14ac:dyDescent="0.3">
      <c r="A1041" s="35" t="s">
        <v>70</v>
      </c>
      <c r="B1041" s="36" t="s">
        <v>15</v>
      </c>
      <c r="C1041" s="36" t="s">
        <v>38</v>
      </c>
      <c r="D1041" s="37">
        <v>44656</v>
      </c>
      <c r="E1041" s="38">
        <v>1288</v>
      </c>
      <c r="F1041" s="39">
        <v>60</v>
      </c>
    </row>
    <row r="1042" spans="1:6" x14ac:dyDescent="0.3">
      <c r="A1042" s="30" t="s">
        <v>9</v>
      </c>
      <c r="B1042" s="31" t="s">
        <v>35</v>
      </c>
      <c r="C1042" s="31" t="s">
        <v>100</v>
      </c>
      <c r="D1042" s="32">
        <v>44598</v>
      </c>
      <c r="E1042" s="33">
        <v>7077</v>
      </c>
      <c r="F1042" s="34">
        <v>77</v>
      </c>
    </row>
    <row r="1043" spans="1:6" x14ac:dyDescent="0.3">
      <c r="A1043" s="35" t="s">
        <v>58</v>
      </c>
      <c r="B1043" s="36" t="s">
        <v>32</v>
      </c>
      <c r="C1043" s="36" t="s">
        <v>90</v>
      </c>
      <c r="D1043" s="37">
        <v>44872</v>
      </c>
      <c r="E1043" s="38">
        <v>2317</v>
      </c>
      <c r="F1043" s="39">
        <v>464</v>
      </c>
    </row>
    <row r="1044" spans="1:6" x14ac:dyDescent="0.3">
      <c r="A1044" s="30" t="s">
        <v>79</v>
      </c>
      <c r="B1044" s="31" t="s">
        <v>15</v>
      </c>
      <c r="C1044" s="31" t="s">
        <v>38</v>
      </c>
      <c r="D1044" s="40" t="s">
        <v>80</v>
      </c>
      <c r="E1044" s="33">
        <v>91</v>
      </c>
      <c r="F1044" s="34">
        <v>135</v>
      </c>
    </row>
    <row r="1045" spans="1:6" x14ac:dyDescent="0.3">
      <c r="A1045" s="35" t="s">
        <v>14</v>
      </c>
      <c r="B1045" s="36" t="s">
        <v>7</v>
      </c>
      <c r="C1045" s="36" t="s">
        <v>65</v>
      </c>
      <c r="D1045" s="37">
        <v>44719</v>
      </c>
      <c r="E1045" s="38">
        <v>9744</v>
      </c>
      <c r="F1045" s="39">
        <v>157</v>
      </c>
    </row>
    <row r="1046" spans="1:6" x14ac:dyDescent="0.3">
      <c r="A1046" s="30" t="s">
        <v>53</v>
      </c>
      <c r="B1046" s="31" t="s">
        <v>10</v>
      </c>
      <c r="C1046" s="31" t="s">
        <v>73</v>
      </c>
      <c r="D1046" s="31" t="s">
        <v>61</v>
      </c>
      <c r="E1046" s="33">
        <v>9954</v>
      </c>
      <c r="F1046" s="34">
        <v>154</v>
      </c>
    </row>
    <row r="1047" spans="1:6" x14ac:dyDescent="0.3">
      <c r="A1047" s="35" t="s">
        <v>79</v>
      </c>
      <c r="B1047" s="36" t="s">
        <v>10</v>
      </c>
      <c r="C1047" s="36" t="s">
        <v>8</v>
      </c>
      <c r="D1047" s="36" t="s">
        <v>91</v>
      </c>
      <c r="E1047" s="38">
        <v>1260</v>
      </c>
      <c r="F1047" s="39">
        <v>239</v>
      </c>
    </row>
    <row r="1048" spans="1:6" x14ac:dyDescent="0.3">
      <c r="A1048" s="30" t="s">
        <v>71</v>
      </c>
      <c r="B1048" s="31" t="s">
        <v>10</v>
      </c>
      <c r="C1048" s="31" t="s">
        <v>38</v>
      </c>
      <c r="D1048" s="32">
        <v>44781</v>
      </c>
      <c r="E1048" s="33">
        <v>469</v>
      </c>
      <c r="F1048" s="34">
        <v>163</v>
      </c>
    </row>
    <row r="1049" spans="1:6" x14ac:dyDescent="0.3">
      <c r="A1049" s="35" t="s">
        <v>40</v>
      </c>
      <c r="B1049" s="36" t="s">
        <v>7</v>
      </c>
      <c r="C1049" s="36" t="s">
        <v>38</v>
      </c>
      <c r="D1049" s="36" t="s">
        <v>118</v>
      </c>
      <c r="E1049" s="38">
        <v>973</v>
      </c>
      <c r="F1049" s="39">
        <v>28</v>
      </c>
    </row>
    <row r="1050" spans="1:6" x14ac:dyDescent="0.3">
      <c r="A1050" s="30" t="s">
        <v>45</v>
      </c>
      <c r="B1050" s="31" t="s">
        <v>15</v>
      </c>
      <c r="C1050" s="31" t="s">
        <v>42</v>
      </c>
      <c r="D1050" s="32">
        <v>44658</v>
      </c>
      <c r="E1050" s="33">
        <v>3647</v>
      </c>
      <c r="F1050" s="34">
        <v>76</v>
      </c>
    </row>
    <row r="1051" spans="1:6" x14ac:dyDescent="0.3">
      <c r="A1051" s="35" t="s">
        <v>83</v>
      </c>
      <c r="B1051" s="36" t="s">
        <v>10</v>
      </c>
      <c r="C1051" s="36" t="s">
        <v>20</v>
      </c>
      <c r="D1051" s="36" t="s">
        <v>47</v>
      </c>
      <c r="E1051" s="38">
        <v>455</v>
      </c>
      <c r="F1051" s="39">
        <v>96</v>
      </c>
    </row>
    <row r="1052" spans="1:6" x14ac:dyDescent="0.3">
      <c r="A1052" s="30" t="s">
        <v>29</v>
      </c>
      <c r="B1052" s="31" t="s">
        <v>35</v>
      </c>
      <c r="C1052" s="31" t="s">
        <v>50</v>
      </c>
      <c r="D1052" s="32">
        <v>44597</v>
      </c>
      <c r="E1052" s="33">
        <v>2520</v>
      </c>
      <c r="F1052" s="34">
        <v>156</v>
      </c>
    </row>
    <row r="1053" spans="1:6" x14ac:dyDescent="0.3">
      <c r="A1053" s="35" t="s">
        <v>9</v>
      </c>
      <c r="B1053" s="36" t="s">
        <v>10</v>
      </c>
      <c r="C1053" s="36" t="s">
        <v>36</v>
      </c>
      <c r="D1053" s="36" t="s">
        <v>141</v>
      </c>
      <c r="E1053" s="38">
        <v>10500</v>
      </c>
      <c r="F1053" s="39">
        <v>106</v>
      </c>
    </row>
    <row r="1054" spans="1:6" x14ac:dyDescent="0.3">
      <c r="A1054" s="30" t="s">
        <v>22</v>
      </c>
      <c r="B1054" s="31" t="s">
        <v>15</v>
      </c>
      <c r="C1054" s="31" t="s">
        <v>20</v>
      </c>
      <c r="D1054" s="31" t="s">
        <v>97</v>
      </c>
      <c r="E1054" s="33">
        <v>7952</v>
      </c>
      <c r="F1054" s="34">
        <v>235</v>
      </c>
    </row>
    <row r="1055" spans="1:6" x14ac:dyDescent="0.3">
      <c r="A1055" s="35" t="s">
        <v>55</v>
      </c>
      <c r="B1055" s="36" t="s">
        <v>32</v>
      </c>
      <c r="C1055" s="36" t="s">
        <v>11</v>
      </c>
      <c r="D1055" s="36" t="s">
        <v>147</v>
      </c>
      <c r="E1055" s="38">
        <v>483</v>
      </c>
      <c r="F1055" s="39">
        <v>259</v>
      </c>
    </row>
    <row r="1056" spans="1:6" x14ac:dyDescent="0.3">
      <c r="A1056" s="30" t="s">
        <v>71</v>
      </c>
      <c r="B1056" s="31" t="s">
        <v>7</v>
      </c>
      <c r="C1056" s="31" t="s">
        <v>13</v>
      </c>
      <c r="D1056" s="31" t="s">
        <v>80</v>
      </c>
      <c r="E1056" s="33">
        <v>4872</v>
      </c>
      <c r="F1056" s="34">
        <v>126</v>
      </c>
    </row>
    <row r="1057" spans="1:6" x14ac:dyDescent="0.3">
      <c r="A1057" s="35" t="s">
        <v>77</v>
      </c>
      <c r="B1057" s="36" t="s">
        <v>7</v>
      </c>
      <c r="C1057" s="36" t="s">
        <v>13</v>
      </c>
      <c r="D1057" s="37">
        <v>44903</v>
      </c>
      <c r="E1057" s="38">
        <v>7756</v>
      </c>
      <c r="F1057" s="39">
        <v>85</v>
      </c>
    </row>
    <row r="1058" spans="1:6" x14ac:dyDescent="0.3">
      <c r="A1058" s="30" t="s">
        <v>77</v>
      </c>
      <c r="B1058" s="31" t="s">
        <v>32</v>
      </c>
      <c r="C1058" s="31" t="s">
        <v>75</v>
      </c>
      <c r="D1058" s="32">
        <v>44748</v>
      </c>
      <c r="E1058" s="33">
        <v>5446</v>
      </c>
      <c r="F1058" s="34">
        <v>132</v>
      </c>
    </row>
    <row r="1059" spans="1:6" x14ac:dyDescent="0.3">
      <c r="A1059" s="35" t="s">
        <v>40</v>
      </c>
      <c r="B1059" s="36" t="s">
        <v>35</v>
      </c>
      <c r="C1059" s="36" t="s">
        <v>13</v>
      </c>
      <c r="D1059" s="37">
        <v>44776</v>
      </c>
      <c r="E1059" s="38">
        <v>6594</v>
      </c>
      <c r="F1059" s="39">
        <v>91</v>
      </c>
    </row>
    <row r="1060" spans="1:6" x14ac:dyDescent="0.3">
      <c r="A1060" s="30" t="s">
        <v>83</v>
      </c>
      <c r="B1060" s="31" t="s">
        <v>15</v>
      </c>
      <c r="C1060" s="31" t="s">
        <v>75</v>
      </c>
      <c r="D1060" s="32">
        <v>44777</v>
      </c>
      <c r="E1060" s="33">
        <v>1470</v>
      </c>
      <c r="F1060" s="34">
        <v>167</v>
      </c>
    </row>
    <row r="1061" spans="1:6" x14ac:dyDescent="0.3">
      <c r="A1061" s="35" t="s">
        <v>48</v>
      </c>
      <c r="B1061" s="36" t="s">
        <v>35</v>
      </c>
      <c r="C1061" s="36" t="s">
        <v>36</v>
      </c>
      <c r="D1061" s="37">
        <v>44717</v>
      </c>
      <c r="E1061" s="38">
        <v>721</v>
      </c>
      <c r="F1061" s="39">
        <v>203</v>
      </c>
    </row>
    <row r="1062" spans="1:6" x14ac:dyDescent="0.3">
      <c r="A1062" s="30" t="s">
        <v>45</v>
      </c>
      <c r="B1062" s="31" t="s">
        <v>10</v>
      </c>
      <c r="C1062" s="31" t="s">
        <v>38</v>
      </c>
      <c r="D1062" s="31" t="s">
        <v>126</v>
      </c>
      <c r="E1062" s="33">
        <v>4494</v>
      </c>
      <c r="F1062" s="34">
        <v>11</v>
      </c>
    </row>
    <row r="1063" spans="1:6" x14ac:dyDescent="0.3">
      <c r="A1063" s="35" t="s">
        <v>9</v>
      </c>
      <c r="B1063" s="36" t="s">
        <v>15</v>
      </c>
      <c r="C1063" s="36" t="s">
        <v>8</v>
      </c>
      <c r="D1063" s="36" t="s">
        <v>30</v>
      </c>
      <c r="E1063" s="38">
        <v>2674</v>
      </c>
      <c r="F1063" s="39">
        <v>295</v>
      </c>
    </row>
    <row r="1064" spans="1:6" x14ac:dyDescent="0.3">
      <c r="A1064" s="30" t="s">
        <v>58</v>
      </c>
      <c r="B1064" s="31" t="s">
        <v>32</v>
      </c>
      <c r="C1064" s="31" t="s">
        <v>100</v>
      </c>
      <c r="D1064" s="31" t="s">
        <v>131</v>
      </c>
      <c r="E1064" s="33">
        <v>658</v>
      </c>
      <c r="F1064" s="34">
        <v>77</v>
      </c>
    </row>
    <row r="1065" spans="1:6" x14ac:dyDescent="0.3">
      <c r="A1065" s="35" t="s">
        <v>67</v>
      </c>
      <c r="B1065" s="36" t="s">
        <v>35</v>
      </c>
      <c r="C1065" s="36" t="s">
        <v>13</v>
      </c>
      <c r="D1065" s="36" t="s">
        <v>47</v>
      </c>
      <c r="E1065" s="38">
        <v>1127</v>
      </c>
      <c r="F1065" s="39">
        <v>319</v>
      </c>
    </row>
    <row r="1066" spans="1:6" x14ac:dyDescent="0.3">
      <c r="A1066" s="30" t="s">
        <v>12</v>
      </c>
      <c r="B1066" s="31" t="s">
        <v>32</v>
      </c>
      <c r="C1066" s="31" t="s">
        <v>100</v>
      </c>
      <c r="D1066" s="31" t="s">
        <v>122</v>
      </c>
      <c r="E1066" s="33">
        <v>7364</v>
      </c>
      <c r="F1066" s="34">
        <v>196</v>
      </c>
    </row>
    <row r="1067" spans="1:6" x14ac:dyDescent="0.3">
      <c r="A1067" s="35" t="s">
        <v>29</v>
      </c>
      <c r="B1067" s="36" t="s">
        <v>15</v>
      </c>
      <c r="C1067" s="36" t="s">
        <v>59</v>
      </c>
      <c r="D1067" s="36" t="s">
        <v>148</v>
      </c>
      <c r="E1067" s="38">
        <v>6818</v>
      </c>
      <c r="F1067" s="39">
        <v>102</v>
      </c>
    </row>
    <row r="1068" spans="1:6" x14ac:dyDescent="0.3">
      <c r="A1068" s="30" t="s">
        <v>45</v>
      </c>
      <c r="B1068" s="31" t="s">
        <v>35</v>
      </c>
      <c r="C1068" s="31" t="s">
        <v>38</v>
      </c>
      <c r="D1068" s="31" t="s">
        <v>144</v>
      </c>
      <c r="E1068" s="33">
        <v>6776</v>
      </c>
      <c r="F1068" s="34">
        <v>312</v>
      </c>
    </row>
    <row r="1069" spans="1:6" x14ac:dyDescent="0.3">
      <c r="A1069" s="35" t="s">
        <v>71</v>
      </c>
      <c r="B1069" s="36" t="s">
        <v>25</v>
      </c>
      <c r="C1069" s="36" t="s">
        <v>11</v>
      </c>
      <c r="D1069" s="37">
        <v>44781</v>
      </c>
      <c r="E1069" s="38">
        <v>15099</v>
      </c>
      <c r="F1069" s="39">
        <v>55</v>
      </c>
    </row>
    <row r="1070" spans="1:6" x14ac:dyDescent="0.3">
      <c r="A1070" s="30" t="s">
        <v>77</v>
      </c>
      <c r="B1070" s="31" t="s">
        <v>35</v>
      </c>
      <c r="C1070" s="31" t="s">
        <v>46</v>
      </c>
      <c r="D1070" s="31" t="s">
        <v>151</v>
      </c>
      <c r="E1070" s="33">
        <v>3612</v>
      </c>
      <c r="F1070" s="34">
        <v>82</v>
      </c>
    </row>
    <row r="1071" spans="1:6" x14ac:dyDescent="0.3">
      <c r="A1071" s="35" t="s">
        <v>77</v>
      </c>
      <c r="B1071" s="36" t="s">
        <v>15</v>
      </c>
      <c r="C1071" s="36" t="s">
        <v>100</v>
      </c>
      <c r="D1071" s="36" t="s">
        <v>74</v>
      </c>
      <c r="E1071" s="38">
        <v>3710</v>
      </c>
      <c r="F1071" s="39">
        <v>260</v>
      </c>
    </row>
    <row r="1072" spans="1:6" x14ac:dyDescent="0.3">
      <c r="A1072" s="30" t="s">
        <v>19</v>
      </c>
      <c r="B1072" s="31" t="s">
        <v>35</v>
      </c>
      <c r="C1072" s="31" t="s">
        <v>36</v>
      </c>
      <c r="D1072" s="31" t="s">
        <v>72</v>
      </c>
      <c r="E1072" s="33">
        <v>6111</v>
      </c>
      <c r="F1072" s="34">
        <v>591</v>
      </c>
    </row>
    <row r="1073" spans="1:6" x14ac:dyDescent="0.3">
      <c r="A1073" s="35" t="s">
        <v>58</v>
      </c>
      <c r="B1073" s="36" t="s">
        <v>35</v>
      </c>
      <c r="C1073" s="36" t="s">
        <v>38</v>
      </c>
      <c r="D1073" s="37">
        <v>44835</v>
      </c>
      <c r="E1073" s="38">
        <v>2702</v>
      </c>
      <c r="F1073" s="39">
        <v>24</v>
      </c>
    </row>
    <row r="1074" spans="1:6" x14ac:dyDescent="0.3">
      <c r="A1074" s="30" t="s">
        <v>34</v>
      </c>
      <c r="B1074" s="31" t="s">
        <v>25</v>
      </c>
      <c r="C1074" s="31" t="s">
        <v>23</v>
      </c>
      <c r="D1074" s="32">
        <v>44656</v>
      </c>
      <c r="E1074" s="33">
        <v>483</v>
      </c>
      <c r="F1074" s="34">
        <v>228</v>
      </c>
    </row>
    <row r="1075" spans="1:6" x14ac:dyDescent="0.3">
      <c r="A1075" s="35" t="s">
        <v>45</v>
      </c>
      <c r="B1075" s="36" t="s">
        <v>35</v>
      </c>
      <c r="C1075" s="36" t="s">
        <v>59</v>
      </c>
      <c r="D1075" s="37">
        <v>44685</v>
      </c>
      <c r="E1075" s="38">
        <v>5887</v>
      </c>
      <c r="F1075" s="39">
        <v>268</v>
      </c>
    </row>
    <row r="1076" spans="1:6" x14ac:dyDescent="0.3">
      <c r="A1076" s="30" t="s">
        <v>67</v>
      </c>
      <c r="B1076" s="31" t="s">
        <v>10</v>
      </c>
      <c r="C1076" s="31" t="s">
        <v>23</v>
      </c>
      <c r="D1076" s="31" t="s">
        <v>152</v>
      </c>
      <c r="E1076" s="33">
        <v>952</v>
      </c>
      <c r="F1076" s="34">
        <v>68</v>
      </c>
    </row>
    <row r="1077" spans="1:6" x14ac:dyDescent="0.3">
      <c r="A1077" s="35" t="s">
        <v>45</v>
      </c>
      <c r="B1077" s="36" t="s">
        <v>10</v>
      </c>
      <c r="C1077" s="36" t="s">
        <v>50</v>
      </c>
      <c r="D1077" s="36" t="s">
        <v>139</v>
      </c>
      <c r="E1077" s="38">
        <v>10647</v>
      </c>
      <c r="F1077" s="39">
        <v>173</v>
      </c>
    </row>
    <row r="1078" spans="1:6" x14ac:dyDescent="0.3">
      <c r="A1078" s="30" t="s">
        <v>79</v>
      </c>
      <c r="B1078" s="31" t="s">
        <v>15</v>
      </c>
      <c r="C1078" s="31" t="s">
        <v>59</v>
      </c>
      <c r="D1078" s="32">
        <v>44688</v>
      </c>
      <c r="E1078" s="33">
        <v>6055</v>
      </c>
      <c r="F1078" s="34">
        <v>93</v>
      </c>
    </row>
    <row r="1079" spans="1:6" x14ac:dyDescent="0.3">
      <c r="A1079" s="35" t="s">
        <v>19</v>
      </c>
      <c r="B1079" s="36" t="s">
        <v>35</v>
      </c>
      <c r="C1079" s="36" t="s">
        <v>33</v>
      </c>
      <c r="D1079" s="36" t="s">
        <v>16</v>
      </c>
      <c r="E1079" s="38">
        <v>8757</v>
      </c>
      <c r="F1079" s="39">
        <v>338</v>
      </c>
    </row>
    <row r="1080" spans="1:6" x14ac:dyDescent="0.3">
      <c r="A1080" s="30" t="s">
        <v>55</v>
      </c>
      <c r="B1080" s="31" t="s">
        <v>35</v>
      </c>
      <c r="C1080" s="31" t="s">
        <v>65</v>
      </c>
      <c r="D1080" s="32">
        <v>44903</v>
      </c>
      <c r="E1080" s="33">
        <v>6055</v>
      </c>
      <c r="F1080" s="34">
        <v>73</v>
      </c>
    </row>
    <row r="1081" spans="1:6" x14ac:dyDescent="0.3">
      <c r="A1081" s="35" t="s">
        <v>14</v>
      </c>
      <c r="B1081" s="36" t="s">
        <v>7</v>
      </c>
      <c r="C1081" s="36" t="s">
        <v>87</v>
      </c>
      <c r="D1081" s="37">
        <v>44868</v>
      </c>
      <c r="E1081" s="38">
        <v>721</v>
      </c>
      <c r="F1081" s="39">
        <v>251</v>
      </c>
    </row>
    <row r="1082" spans="1:6" x14ac:dyDescent="0.3">
      <c r="A1082" s="30" t="s">
        <v>6</v>
      </c>
      <c r="B1082" s="31" t="s">
        <v>7</v>
      </c>
      <c r="C1082" s="31" t="s">
        <v>57</v>
      </c>
      <c r="D1082" s="31" t="s">
        <v>130</v>
      </c>
      <c r="E1082" s="33">
        <v>8589</v>
      </c>
      <c r="F1082" s="34">
        <v>229</v>
      </c>
    </row>
    <row r="1083" spans="1:6" x14ac:dyDescent="0.3">
      <c r="A1083" s="35" t="s">
        <v>58</v>
      </c>
      <c r="B1083" s="36" t="s">
        <v>32</v>
      </c>
      <c r="C1083" s="36" t="s">
        <v>18</v>
      </c>
      <c r="D1083" s="37">
        <v>44900</v>
      </c>
      <c r="E1083" s="38">
        <v>11781</v>
      </c>
      <c r="F1083" s="39">
        <v>91</v>
      </c>
    </row>
    <row r="1084" spans="1:6" x14ac:dyDescent="0.3">
      <c r="A1084" s="30" t="s">
        <v>28</v>
      </c>
      <c r="B1084" s="31" t="s">
        <v>32</v>
      </c>
      <c r="C1084" s="31" t="s">
        <v>73</v>
      </c>
      <c r="D1084" s="32">
        <v>44896</v>
      </c>
      <c r="E1084" s="33">
        <v>672</v>
      </c>
      <c r="F1084" s="34">
        <v>194</v>
      </c>
    </row>
    <row r="1085" spans="1:6" x14ac:dyDescent="0.3">
      <c r="A1085" s="35" t="s">
        <v>77</v>
      </c>
      <c r="B1085" s="36" t="s">
        <v>25</v>
      </c>
      <c r="C1085" s="36" t="s">
        <v>46</v>
      </c>
      <c r="D1085" s="36" t="s">
        <v>118</v>
      </c>
      <c r="E1085" s="38">
        <v>12558</v>
      </c>
      <c r="F1085" s="39">
        <v>403</v>
      </c>
    </row>
    <row r="1086" spans="1:6" x14ac:dyDescent="0.3">
      <c r="A1086" s="30" t="s">
        <v>45</v>
      </c>
      <c r="B1086" s="31" t="s">
        <v>10</v>
      </c>
      <c r="C1086" s="31" t="s">
        <v>26</v>
      </c>
      <c r="D1086" s="31" t="s">
        <v>54</v>
      </c>
      <c r="E1086" s="33">
        <v>8337</v>
      </c>
      <c r="F1086" s="34">
        <v>12</v>
      </c>
    </row>
    <row r="1087" spans="1:6" x14ac:dyDescent="0.3">
      <c r="A1087" s="35" t="s">
        <v>31</v>
      </c>
      <c r="B1087" s="36" t="s">
        <v>25</v>
      </c>
      <c r="C1087" s="36" t="s">
        <v>20</v>
      </c>
      <c r="D1087" s="36" t="s">
        <v>62</v>
      </c>
      <c r="E1087" s="38">
        <v>8134</v>
      </c>
      <c r="F1087" s="39">
        <v>195</v>
      </c>
    </row>
    <row r="1088" spans="1:6" x14ac:dyDescent="0.3">
      <c r="A1088" s="30" t="s">
        <v>58</v>
      </c>
      <c r="B1088" s="31" t="s">
        <v>35</v>
      </c>
      <c r="C1088" s="31" t="s">
        <v>42</v>
      </c>
      <c r="D1088" s="31" t="s">
        <v>107</v>
      </c>
      <c r="E1088" s="33">
        <v>8491</v>
      </c>
      <c r="F1088" s="34">
        <v>75</v>
      </c>
    </row>
    <row r="1089" spans="1:6" x14ac:dyDescent="0.3">
      <c r="A1089" s="35" t="s">
        <v>41</v>
      </c>
      <c r="B1089" s="36" t="s">
        <v>10</v>
      </c>
      <c r="C1089" s="36" t="s">
        <v>65</v>
      </c>
      <c r="D1089" s="36" t="s">
        <v>62</v>
      </c>
      <c r="E1089" s="38">
        <v>3066</v>
      </c>
      <c r="F1089" s="39">
        <v>96</v>
      </c>
    </row>
    <row r="1090" spans="1:6" x14ac:dyDescent="0.3">
      <c r="A1090" s="30" t="s">
        <v>28</v>
      </c>
      <c r="B1090" s="31" t="s">
        <v>15</v>
      </c>
      <c r="C1090" s="31" t="s">
        <v>13</v>
      </c>
      <c r="D1090" s="31" t="s">
        <v>137</v>
      </c>
      <c r="E1090" s="33">
        <v>301</v>
      </c>
      <c r="F1090" s="34">
        <v>205</v>
      </c>
    </row>
    <row r="1091" spans="1:6" x14ac:dyDescent="0.3">
      <c r="A1091" s="35" t="s">
        <v>37</v>
      </c>
      <c r="B1091" s="36" t="s">
        <v>15</v>
      </c>
      <c r="C1091" s="36" t="s">
        <v>50</v>
      </c>
      <c r="D1091" s="36" t="s">
        <v>144</v>
      </c>
      <c r="E1091" s="38">
        <v>4410</v>
      </c>
      <c r="F1091" s="39">
        <v>323</v>
      </c>
    </row>
    <row r="1092" spans="1:6" x14ac:dyDescent="0.3">
      <c r="A1092" s="30" t="s">
        <v>6</v>
      </c>
      <c r="B1092" s="31" t="s">
        <v>32</v>
      </c>
      <c r="C1092" s="31" t="s">
        <v>59</v>
      </c>
      <c r="D1092" s="32">
        <v>44748</v>
      </c>
      <c r="E1092" s="33">
        <v>6559</v>
      </c>
      <c r="F1092" s="34">
        <v>119</v>
      </c>
    </row>
    <row r="1093" spans="1:6" x14ac:dyDescent="0.3">
      <c r="A1093" s="35" t="s">
        <v>83</v>
      </c>
      <c r="B1093" s="36" t="s">
        <v>35</v>
      </c>
      <c r="C1093" s="36" t="s">
        <v>42</v>
      </c>
      <c r="D1093" s="36" t="s">
        <v>101</v>
      </c>
      <c r="E1093" s="38">
        <v>574</v>
      </c>
      <c r="F1093" s="39">
        <v>217</v>
      </c>
    </row>
    <row r="1094" spans="1:6" x14ac:dyDescent="0.3">
      <c r="A1094" s="30" t="s">
        <v>79</v>
      </c>
      <c r="B1094" s="31" t="s">
        <v>10</v>
      </c>
      <c r="C1094" s="31" t="s">
        <v>36</v>
      </c>
      <c r="D1094" s="31" t="s">
        <v>39</v>
      </c>
      <c r="E1094" s="33">
        <v>2086</v>
      </c>
      <c r="F1094" s="34">
        <v>384</v>
      </c>
    </row>
    <row r="1095" spans="1:6" x14ac:dyDescent="0.3">
      <c r="A1095" s="35" t="s">
        <v>37</v>
      </c>
      <c r="B1095" s="36" t="s">
        <v>10</v>
      </c>
      <c r="C1095" s="36" t="s">
        <v>100</v>
      </c>
      <c r="D1095" s="36" t="s">
        <v>136</v>
      </c>
      <c r="E1095" s="38">
        <v>5075</v>
      </c>
      <c r="F1095" s="39">
        <v>344</v>
      </c>
    </row>
    <row r="1096" spans="1:6" x14ac:dyDescent="0.3">
      <c r="A1096" s="30" t="s">
        <v>6</v>
      </c>
      <c r="B1096" s="31" t="s">
        <v>7</v>
      </c>
      <c r="C1096" s="31" t="s">
        <v>8</v>
      </c>
      <c r="D1096" s="32">
        <v>45017</v>
      </c>
      <c r="E1096" s="33">
        <v>5902.13</v>
      </c>
      <c r="F1096" s="34">
        <v>178</v>
      </c>
    </row>
    <row r="1097" spans="1:6" x14ac:dyDescent="0.3">
      <c r="A1097" s="35" t="s">
        <v>9</v>
      </c>
      <c r="B1097" s="36" t="s">
        <v>10</v>
      </c>
      <c r="C1097" s="36" t="s">
        <v>11</v>
      </c>
      <c r="D1097" s="37">
        <v>44934</v>
      </c>
      <c r="E1097" s="38">
        <v>8074.39</v>
      </c>
      <c r="F1097" s="39">
        <v>100</v>
      </c>
    </row>
    <row r="1098" spans="1:6" x14ac:dyDescent="0.3">
      <c r="A1098" s="30" t="s">
        <v>12</v>
      </c>
      <c r="B1098" s="31" t="s">
        <v>10</v>
      </c>
      <c r="C1098" s="31" t="s">
        <v>13</v>
      </c>
      <c r="D1098" s="32">
        <v>45114</v>
      </c>
      <c r="E1098" s="33">
        <v>4666.18</v>
      </c>
      <c r="F1098" s="34">
        <v>100</v>
      </c>
    </row>
    <row r="1099" spans="1:6" x14ac:dyDescent="0.3">
      <c r="A1099" s="35" t="s">
        <v>14</v>
      </c>
      <c r="B1099" s="36" t="s">
        <v>15</v>
      </c>
      <c r="C1099" s="36" t="s">
        <v>13</v>
      </c>
      <c r="D1099" s="36" t="s">
        <v>162</v>
      </c>
      <c r="E1099" s="38">
        <v>14103.4</v>
      </c>
      <c r="F1099" s="39">
        <v>350</v>
      </c>
    </row>
    <row r="1100" spans="1:6" x14ac:dyDescent="0.3">
      <c r="A1100" s="30" t="s">
        <v>6</v>
      </c>
      <c r="B1100" s="31" t="s">
        <v>7</v>
      </c>
      <c r="C1100" s="31" t="s">
        <v>13</v>
      </c>
      <c r="D1100" s="31" t="s">
        <v>163</v>
      </c>
      <c r="E1100" s="33">
        <v>14167.84</v>
      </c>
      <c r="F1100" s="34">
        <v>178</v>
      </c>
    </row>
    <row r="1101" spans="1:6" x14ac:dyDescent="0.3">
      <c r="A1101" s="35" t="s">
        <v>9</v>
      </c>
      <c r="B1101" s="36" t="s">
        <v>10</v>
      </c>
      <c r="C1101" s="36" t="s">
        <v>18</v>
      </c>
      <c r="D1101" s="37">
        <v>45083</v>
      </c>
      <c r="E1101" s="38">
        <v>5768.75</v>
      </c>
      <c r="F1101" s="39">
        <v>37</v>
      </c>
    </row>
    <row r="1102" spans="1:6" x14ac:dyDescent="0.3">
      <c r="A1102" s="30" t="s">
        <v>19</v>
      </c>
      <c r="B1102" s="31" t="s">
        <v>7</v>
      </c>
      <c r="C1102" s="31" t="s">
        <v>20</v>
      </c>
      <c r="D1102" s="31" t="s">
        <v>164</v>
      </c>
      <c r="E1102" s="33">
        <v>14673.2</v>
      </c>
      <c r="F1102" s="34">
        <v>175</v>
      </c>
    </row>
    <row r="1103" spans="1:6" x14ac:dyDescent="0.3">
      <c r="A1103" s="35" t="s">
        <v>22</v>
      </c>
      <c r="B1103" s="36" t="s">
        <v>15</v>
      </c>
      <c r="C1103" s="36" t="s">
        <v>23</v>
      </c>
      <c r="D1103" s="36" t="s">
        <v>165</v>
      </c>
      <c r="E1103" s="38">
        <v>3249.23</v>
      </c>
      <c r="F1103" s="39">
        <v>78</v>
      </c>
    </row>
    <row r="1104" spans="1:6" x14ac:dyDescent="0.3">
      <c r="A1104" s="30" t="s">
        <v>6</v>
      </c>
      <c r="B1104" s="31" t="s">
        <v>25</v>
      </c>
      <c r="C1104" s="31" t="s">
        <v>26</v>
      </c>
      <c r="D1104" s="31" t="s">
        <v>166</v>
      </c>
      <c r="E1104" s="33">
        <v>4526.24</v>
      </c>
      <c r="F1104" s="34">
        <v>64</v>
      </c>
    </row>
    <row r="1105" spans="1:6" x14ac:dyDescent="0.3">
      <c r="A1105" s="35" t="s">
        <v>28</v>
      </c>
      <c r="B1105" s="36" t="s">
        <v>15</v>
      </c>
      <c r="C1105" s="36" t="s">
        <v>20</v>
      </c>
      <c r="D1105" s="37">
        <v>45023</v>
      </c>
      <c r="E1105" s="38">
        <v>3166.56</v>
      </c>
      <c r="F1105" s="39">
        <v>98</v>
      </c>
    </row>
    <row r="1106" spans="1:6" x14ac:dyDescent="0.3">
      <c r="A1106" s="30" t="s">
        <v>29</v>
      </c>
      <c r="B1106" s="31" t="s">
        <v>7</v>
      </c>
      <c r="C1106" s="31" t="s">
        <v>18</v>
      </c>
      <c r="D1106" s="31" t="s">
        <v>167</v>
      </c>
      <c r="E1106" s="33">
        <v>4866.3900000000003</v>
      </c>
      <c r="F1106" s="34">
        <v>65</v>
      </c>
    </row>
    <row r="1107" spans="1:6" x14ac:dyDescent="0.3">
      <c r="A1107" s="35" t="s">
        <v>31</v>
      </c>
      <c r="B1107" s="36" t="s">
        <v>32</v>
      </c>
      <c r="C1107" s="36" t="s">
        <v>33</v>
      </c>
      <c r="D1107" s="37">
        <v>45202</v>
      </c>
      <c r="E1107" s="38">
        <v>4254.37</v>
      </c>
      <c r="F1107" s="39">
        <v>12</v>
      </c>
    </row>
    <row r="1108" spans="1:6" x14ac:dyDescent="0.3">
      <c r="A1108" s="30" t="s">
        <v>34</v>
      </c>
      <c r="B1108" s="31" t="s">
        <v>35</v>
      </c>
      <c r="C1108" s="31" t="s">
        <v>36</v>
      </c>
      <c r="D1108" s="31" t="s">
        <v>167</v>
      </c>
      <c r="E1108" s="33">
        <v>1652.61</v>
      </c>
      <c r="F1108" s="34">
        <v>277</v>
      </c>
    </row>
    <row r="1109" spans="1:6" x14ac:dyDescent="0.3">
      <c r="A1109" s="35" t="s">
        <v>37</v>
      </c>
      <c r="B1109" s="36" t="s">
        <v>25</v>
      </c>
      <c r="C1109" s="36" t="s">
        <v>38</v>
      </c>
      <c r="D1109" s="36" t="s">
        <v>168</v>
      </c>
      <c r="E1109" s="38">
        <v>171.49</v>
      </c>
      <c r="F1109" s="39">
        <v>163</v>
      </c>
    </row>
    <row r="1110" spans="1:6" x14ac:dyDescent="0.3">
      <c r="A1110" s="30" t="s">
        <v>40</v>
      </c>
      <c r="B1110" s="31" t="s">
        <v>25</v>
      </c>
      <c r="C1110" s="31" t="s">
        <v>13</v>
      </c>
      <c r="D1110" s="32">
        <v>44993</v>
      </c>
      <c r="E1110" s="33">
        <v>8549.84</v>
      </c>
      <c r="F1110" s="34">
        <v>169</v>
      </c>
    </row>
    <row r="1111" spans="1:6" x14ac:dyDescent="0.3">
      <c r="A1111" s="35" t="s">
        <v>41</v>
      </c>
      <c r="B1111" s="36" t="s">
        <v>15</v>
      </c>
      <c r="C1111" s="36" t="s">
        <v>42</v>
      </c>
      <c r="D1111" s="36" t="s">
        <v>169</v>
      </c>
      <c r="E1111" s="38">
        <v>7807.74</v>
      </c>
      <c r="F1111" s="39">
        <v>355</v>
      </c>
    </row>
    <row r="1112" spans="1:6" x14ac:dyDescent="0.3">
      <c r="A1112" s="30" t="s">
        <v>9</v>
      </c>
      <c r="B1112" s="31" t="s">
        <v>35</v>
      </c>
      <c r="C1112" s="31" t="s">
        <v>42</v>
      </c>
      <c r="D1112" s="31" t="s">
        <v>170</v>
      </c>
      <c r="E1112" s="33">
        <v>4561.43</v>
      </c>
      <c r="F1112" s="34">
        <v>44</v>
      </c>
    </row>
    <row r="1113" spans="1:6" x14ac:dyDescent="0.3">
      <c r="A1113" s="35" t="s">
        <v>45</v>
      </c>
      <c r="B1113" s="36" t="s">
        <v>32</v>
      </c>
      <c r="C1113" s="36" t="s">
        <v>18</v>
      </c>
      <c r="D1113" s="37">
        <v>45050</v>
      </c>
      <c r="E1113" s="38">
        <v>3041.12</v>
      </c>
      <c r="F1113" s="39">
        <v>148</v>
      </c>
    </row>
    <row r="1114" spans="1:6" x14ac:dyDescent="0.3">
      <c r="A1114" s="30" t="s">
        <v>41</v>
      </c>
      <c r="B1114" s="31" t="s">
        <v>35</v>
      </c>
      <c r="C1114" s="31" t="s">
        <v>46</v>
      </c>
      <c r="D1114" s="31" t="s">
        <v>171</v>
      </c>
      <c r="E1114" s="33">
        <v>9786.09</v>
      </c>
      <c r="F1114" s="34">
        <v>248</v>
      </c>
    </row>
    <row r="1115" spans="1:6" x14ac:dyDescent="0.3">
      <c r="A1115" s="35" t="s">
        <v>48</v>
      </c>
      <c r="B1115" s="36" t="s">
        <v>7</v>
      </c>
      <c r="C1115" s="36" t="s">
        <v>11</v>
      </c>
      <c r="D1115" s="37">
        <v>45144</v>
      </c>
      <c r="E1115" s="38">
        <v>1131.25</v>
      </c>
      <c r="F1115" s="39">
        <v>175</v>
      </c>
    </row>
    <row r="1116" spans="1:6" x14ac:dyDescent="0.3">
      <c r="A1116" s="30" t="s">
        <v>28</v>
      </c>
      <c r="B1116" s="31" t="s">
        <v>15</v>
      </c>
      <c r="C1116" s="31" t="s">
        <v>36</v>
      </c>
      <c r="D1116" s="31" t="s">
        <v>172</v>
      </c>
      <c r="E1116" s="33">
        <v>7484.07</v>
      </c>
      <c r="F1116" s="34">
        <v>94</v>
      </c>
    </row>
    <row r="1117" spans="1:6" x14ac:dyDescent="0.3">
      <c r="A1117" s="35" t="s">
        <v>22</v>
      </c>
      <c r="B1117" s="36" t="s">
        <v>32</v>
      </c>
      <c r="C1117" s="36" t="s">
        <v>50</v>
      </c>
      <c r="D1117" s="36" t="s">
        <v>173</v>
      </c>
      <c r="E1117" s="38">
        <v>1339.61</v>
      </c>
      <c r="F1117" s="39">
        <v>166</v>
      </c>
    </row>
    <row r="1118" spans="1:6" x14ac:dyDescent="0.3">
      <c r="A1118" s="30" t="s">
        <v>40</v>
      </c>
      <c r="B1118" s="31" t="s">
        <v>32</v>
      </c>
      <c r="C1118" s="31" t="s">
        <v>23</v>
      </c>
      <c r="D1118" s="31" t="s">
        <v>174</v>
      </c>
      <c r="E1118" s="33">
        <v>5481.18</v>
      </c>
      <c r="F1118" s="34">
        <v>159</v>
      </c>
    </row>
    <row r="1119" spans="1:6" x14ac:dyDescent="0.3">
      <c r="A1119" s="35" t="s">
        <v>53</v>
      </c>
      <c r="B1119" s="36" t="s">
        <v>7</v>
      </c>
      <c r="C1119" s="36" t="s">
        <v>38</v>
      </c>
      <c r="D1119" s="36" t="s">
        <v>175</v>
      </c>
      <c r="E1119" s="38">
        <v>3275.4</v>
      </c>
      <c r="F1119" s="39">
        <v>120</v>
      </c>
    </row>
    <row r="1120" spans="1:6" x14ac:dyDescent="0.3">
      <c r="A1120" s="30" t="s">
        <v>55</v>
      </c>
      <c r="B1120" s="31" t="s">
        <v>15</v>
      </c>
      <c r="C1120" s="31" t="s">
        <v>36</v>
      </c>
      <c r="D1120" s="31" t="s">
        <v>176</v>
      </c>
      <c r="E1120" s="33">
        <v>7677.78</v>
      </c>
      <c r="F1120" s="34">
        <v>118</v>
      </c>
    </row>
    <row r="1121" spans="1:6" x14ac:dyDescent="0.3">
      <c r="A1121" s="35" t="s">
        <v>37</v>
      </c>
      <c r="B1121" s="36" t="s">
        <v>10</v>
      </c>
      <c r="C1121" s="36" t="s">
        <v>57</v>
      </c>
      <c r="D1121" s="36" t="s">
        <v>169</v>
      </c>
      <c r="E1121" s="38">
        <v>189.37</v>
      </c>
      <c r="F1121" s="39">
        <v>315</v>
      </c>
    </row>
    <row r="1122" spans="1:6" x14ac:dyDescent="0.3">
      <c r="A1122" s="30" t="s">
        <v>45</v>
      </c>
      <c r="B1122" s="31" t="s">
        <v>35</v>
      </c>
      <c r="C1122" s="31" t="s">
        <v>50</v>
      </c>
      <c r="D1122" s="32">
        <v>45171</v>
      </c>
      <c r="E1122" s="33">
        <v>1658.79</v>
      </c>
      <c r="F1122" s="34">
        <v>193</v>
      </c>
    </row>
    <row r="1123" spans="1:6" x14ac:dyDescent="0.3">
      <c r="A1123" s="35" t="s">
        <v>53</v>
      </c>
      <c r="B1123" s="36" t="s">
        <v>32</v>
      </c>
      <c r="C1123" s="36" t="s">
        <v>36</v>
      </c>
      <c r="D1123" s="37">
        <v>45114</v>
      </c>
      <c r="E1123" s="38">
        <v>4168.93</v>
      </c>
      <c r="F1123" s="39">
        <v>122</v>
      </c>
    </row>
    <row r="1124" spans="1:6" x14ac:dyDescent="0.3">
      <c r="A1124" s="30" t="s">
        <v>58</v>
      </c>
      <c r="B1124" s="31" t="s">
        <v>25</v>
      </c>
      <c r="C1124" s="31" t="s">
        <v>59</v>
      </c>
      <c r="D1124" s="32">
        <v>45053</v>
      </c>
      <c r="E1124" s="33">
        <v>10604.89</v>
      </c>
      <c r="F1124" s="34">
        <v>165</v>
      </c>
    </row>
    <row r="1125" spans="1:6" x14ac:dyDescent="0.3">
      <c r="A1125" s="35" t="s">
        <v>58</v>
      </c>
      <c r="B1125" s="36" t="s">
        <v>25</v>
      </c>
      <c r="C1125" s="36" t="s">
        <v>60</v>
      </c>
      <c r="D1125" s="36" t="s">
        <v>177</v>
      </c>
      <c r="E1125" s="38">
        <v>5773.51</v>
      </c>
      <c r="F1125" s="39">
        <v>325</v>
      </c>
    </row>
    <row r="1126" spans="1:6" x14ac:dyDescent="0.3">
      <c r="A1126" s="30" t="s">
        <v>9</v>
      </c>
      <c r="B1126" s="31" t="s">
        <v>25</v>
      </c>
      <c r="C1126" s="31" t="s">
        <v>11</v>
      </c>
      <c r="D1126" s="31" t="s">
        <v>178</v>
      </c>
      <c r="E1126" s="33">
        <v>1838.78</v>
      </c>
      <c r="F1126" s="34">
        <v>121</v>
      </c>
    </row>
    <row r="1127" spans="1:6" x14ac:dyDescent="0.3">
      <c r="A1127" s="35" t="s">
        <v>29</v>
      </c>
      <c r="B1127" s="36" t="s">
        <v>7</v>
      </c>
      <c r="C1127" s="36" t="s">
        <v>20</v>
      </c>
      <c r="D1127" s="36" t="s">
        <v>179</v>
      </c>
      <c r="E1127" s="38">
        <v>12643.1</v>
      </c>
      <c r="F1127" s="39">
        <v>150</v>
      </c>
    </row>
    <row r="1128" spans="1:6" x14ac:dyDescent="0.3">
      <c r="A1128" s="30" t="s">
        <v>64</v>
      </c>
      <c r="B1128" s="31" t="s">
        <v>15</v>
      </c>
      <c r="C1128" s="31" t="s">
        <v>60</v>
      </c>
      <c r="D1128" s="32">
        <v>45235</v>
      </c>
      <c r="E1128" s="33">
        <v>4439.5200000000004</v>
      </c>
      <c r="F1128" s="34">
        <v>95</v>
      </c>
    </row>
    <row r="1129" spans="1:6" x14ac:dyDescent="0.3">
      <c r="A1129" s="35" t="s">
        <v>37</v>
      </c>
      <c r="B1129" s="36" t="s">
        <v>7</v>
      </c>
      <c r="C1129" s="36" t="s">
        <v>65</v>
      </c>
      <c r="D1129" s="36" t="s">
        <v>180</v>
      </c>
      <c r="E1129" s="38">
        <v>7698.6</v>
      </c>
      <c r="F1129" s="39">
        <v>126</v>
      </c>
    </row>
    <row r="1130" spans="1:6" x14ac:dyDescent="0.3">
      <c r="A1130" s="30" t="s">
        <v>67</v>
      </c>
      <c r="B1130" s="31" t="s">
        <v>35</v>
      </c>
      <c r="C1130" s="31" t="s">
        <v>23</v>
      </c>
      <c r="D1130" s="32">
        <v>45235</v>
      </c>
      <c r="E1130" s="33">
        <v>2222.3000000000002</v>
      </c>
      <c r="F1130" s="34">
        <v>77</v>
      </c>
    </row>
    <row r="1131" spans="1:6" x14ac:dyDescent="0.3">
      <c r="A1131" s="35" t="s">
        <v>45</v>
      </c>
      <c r="B1131" s="36" t="s">
        <v>32</v>
      </c>
      <c r="C1131" s="36" t="s">
        <v>60</v>
      </c>
      <c r="D1131" s="36" t="s">
        <v>181</v>
      </c>
      <c r="E1131" s="38">
        <v>10959.02</v>
      </c>
      <c r="F1131" s="39">
        <v>302</v>
      </c>
    </row>
    <row r="1132" spans="1:6" x14ac:dyDescent="0.3">
      <c r="A1132" s="30" t="s">
        <v>67</v>
      </c>
      <c r="B1132" s="31" t="s">
        <v>7</v>
      </c>
      <c r="C1132" s="31" t="s">
        <v>26</v>
      </c>
      <c r="D1132" s="31" t="s">
        <v>182</v>
      </c>
      <c r="E1132" s="33">
        <v>2854.85</v>
      </c>
      <c r="F1132" s="34">
        <v>337</v>
      </c>
    </row>
    <row r="1133" spans="1:6" x14ac:dyDescent="0.3">
      <c r="A1133" s="35" t="s">
        <v>70</v>
      </c>
      <c r="B1133" s="36" t="s">
        <v>25</v>
      </c>
      <c r="C1133" s="36" t="s">
        <v>23</v>
      </c>
      <c r="D1133" s="37">
        <v>45114</v>
      </c>
      <c r="E1133" s="38">
        <v>147.82</v>
      </c>
      <c r="F1133" s="39">
        <v>74</v>
      </c>
    </row>
    <row r="1134" spans="1:6" x14ac:dyDescent="0.3">
      <c r="A1134" s="30" t="s">
        <v>71</v>
      </c>
      <c r="B1134" s="31" t="s">
        <v>15</v>
      </c>
      <c r="C1134" s="31" t="s">
        <v>11</v>
      </c>
      <c r="D1134" s="31" t="s">
        <v>183</v>
      </c>
      <c r="E1134" s="33">
        <v>3790.51</v>
      </c>
      <c r="F1134" s="34">
        <v>14</v>
      </c>
    </row>
    <row r="1135" spans="1:6" x14ac:dyDescent="0.3">
      <c r="A1135" s="35" t="s">
        <v>37</v>
      </c>
      <c r="B1135" s="36" t="s">
        <v>10</v>
      </c>
      <c r="C1135" s="36" t="s">
        <v>60</v>
      </c>
      <c r="D1135" s="37">
        <v>45023</v>
      </c>
      <c r="E1135" s="38">
        <v>2487.19</v>
      </c>
      <c r="F1135" s="39">
        <v>583</v>
      </c>
    </row>
    <row r="1136" spans="1:6" x14ac:dyDescent="0.3">
      <c r="A1136" s="30" t="s">
        <v>70</v>
      </c>
      <c r="B1136" s="31" t="s">
        <v>32</v>
      </c>
      <c r="C1136" s="31" t="s">
        <v>23</v>
      </c>
      <c r="D1136" s="32">
        <v>44963</v>
      </c>
      <c r="E1136" s="33">
        <v>1021.27</v>
      </c>
      <c r="F1136" s="34">
        <v>17</v>
      </c>
    </row>
    <row r="1137" spans="1:6" x14ac:dyDescent="0.3">
      <c r="A1137" s="35" t="s">
        <v>37</v>
      </c>
      <c r="B1137" s="36" t="s">
        <v>32</v>
      </c>
      <c r="C1137" s="36" t="s">
        <v>73</v>
      </c>
      <c r="D1137" s="36" t="s">
        <v>184</v>
      </c>
      <c r="E1137" s="38">
        <v>15370.06</v>
      </c>
      <c r="F1137" s="39">
        <v>353</v>
      </c>
    </row>
    <row r="1138" spans="1:6" x14ac:dyDescent="0.3">
      <c r="A1138" s="30" t="s">
        <v>34</v>
      </c>
      <c r="B1138" s="31" t="s">
        <v>35</v>
      </c>
      <c r="C1138" s="31" t="s">
        <v>75</v>
      </c>
      <c r="D1138" s="32">
        <v>45237</v>
      </c>
      <c r="E1138" s="33">
        <v>5345.58</v>
      </c>
      <c r="F1138" s="34">
        <v>250</v>
      </c>
    </row>
    <row r="1139" spans="1:6" x14ac:dyDescent="0.3">
      <c r="A1139" s="35" t="s">
        <v>67</v>
      </c>
      <c r="B1139" s="36" t="s">
        <v>10</v>
      </c>
      <c r="C1139" s="36" t="s">
        <v>50</v>
      </c>
      <c r="D1139" s="36" t="s">
        <v>185</v>
      </c>
      <c r="E1139" s="38">
        <v>6559.44</v>
      </c>
      <c r="F1139" s="39">
        <v>154</v>
      </c>
    </row>
    <row r="1140" spans="1:6" x14ac:dyDescent="0.3">
      <c r="A1140" s="30" t="s">
        <v>77</v>
      </c>
      <c r="B1140" s="31" t="s">
        <v>35</v>
      </c>
      <c r="C1140" s="31" t="s">
        <v>65</v>
      </c>
      <c r="D1140" s="31" t="s">
        <v>186</v>
      </c>
      <c r="E1140" s="33">
        <v>8282.93</v>
      </c>
      <c r="F1140" s="34">
        <v>107</v>
      </c>
    </row>
    <row r="1141" spans="1:6" x14ac:dyDescent="0.3">
      <c r="A1141" s="35" t="s">
        <v>55</v>
      </c>
      <c r="B1141" s="36" t="s">
        <v>32</v>
      </c>
      <c r="C1141" s="36" t="s">
        <v>13</v>
      </c>
      <c r="D1141" s="36" t="s">
        <v>171</v>
      </c>
      <c r="E1141" s="38">
        <v>6981.4</v>
      </c>
      <c r="F1141" s="39">
        <v>189</v>
      </c>
    </row>
    <row r="1142" spans="1:6" x14ac:dyDescent="0.3">
      <c r="A1142" s="30" t="s">
        <v>9</v>
      </c>
      <c r="B1142" s="31" t="s">
        <v>32</v>
      </c>
      <c r="C1142" s="31" t="s">
        <v>26</v>
      </c>
      <c r="D1142" s="31" t="s">
        <v>167</v>
      </c>
      <c r="E1142" s="33">
        <v>10280.17</v>
      </c>
      <c r="F1142" s="34">
        <v>155</v>
      </c>
    </row>
    <row r="1143" spans="1:6" x14ac:dyDescent="0.3">
      <c r="A1143" s="35" t="s">
        <v>48</v>
      </c>
      <c r="B1143" s="36" t="s">
        <v>15</v>
      </c>
      <c r="C1143" s="36" t="s">
        <v>46</v>
      </c>
      <c r="D1143" s="36" t="s">
        <v>170</v>
      </c>
      <c r="E1143" s="38">
        <v>7703.62</v>
      </c>
      <c r="F1143" s="39">
        <v>20</v>
      </c>
    </row>
    <row r="1144" spans="1:6" x14ac:dyDescent="0.3">
      <c r="A1144" s="30" t="s">
        <v>45</v>
      </c>
      <c r="B1144" s="31" t="s">
        <v>10</v>
      </c>
      <c r="C1144" s="31" t="s">
        <v>36</v>
      </c>
      <c r="D1144" s="32">
        <v>45205</v>
      </c>
      <c r="E1144" s="33">
        <v>4489.8100000000004</v>
      </c>
      <c r="F1144" s="34">
        <v>310</v>
      </c>
    </row>
    <row r="1145" spans="1:6" x14ac:dyDescent="0.3">
      <c r="A1145" s="35" t="s">
        <v>48</v>
      </c>
      <c r="B1145" s="36" t="s">
        <v>10</v>
      </c>
      <c r="C1145" s="36" t="s">
        <v>57</v>
      </c>
      <c r="D1145" s="37">
        <v>45114</v>
      </c>
      <c r="E1145" s="38">
        <v>5806.11</v>
      </c>
      <c r="F1145" s="39">
        <v>190</v>
      </c>
    </row>
    <row r="1146" spans="1:6" x14ac:dyDescent="0.3">
      <c r="A1146" s="30" t="s">
        <v>48</v>
      </c>
      <c r="B1146" s="31" t="s">
        <v>35</v>
      </c>
      <c r="C1146" s="31" t="s">
        <v>65</v>
      </c>
      <c r="D1146" s="31" t="s">
        <v>165</v>
      </c>
      <c r="E1146" s="33">
        <v>5148.7</v>
      </c>
      <c r="F1146" s="34">
        <v>76</v>
      </c>
    </row>
    <row r="1147" spans="1:6" x14ac:dyDescent="0.3">
      <c r="A1147" s="35" t="s">
        <v>28</v>
      </c>
      <c r="B1147" s="36" t="s">
        <v>15</v>
      </c>
      <c r="C1147" s="36" t="s">
        <v>57</v>
      </c>
      <c r="D1147" s="37">
        <v>45083</v>
      </c>
      <c r="E1147" s="38">
        <v>8558.59</v>
      </c>
      <c r="F1147" s="39">
        <v>24</v>
      </c>
    </row>
    <row r="1148" spans="1:6" x14ac:dyDescent="0.3">
      <c r="A1148" s="30" t="s">
        <v>79</v>
      </c>
      <c r="B1148" s="31" t="s">
        <v>15</v>
      </c>
      <c r="C1148" s="31" t="s">
        <v>38</v>
      </c>
      <c r="D1148" s="40" t="s">
        <v>187</v>
      </c>
      <c r="E1148" s="33">
        <v>94.19</v>
      </c>
      <c r="F1148" s="34">
        <v>145</v>
      </c>
    </row>
    <row r="1149" spans="1:6" x14ac:dyDescent="0.3">
      <c r="A1149" s="35" t="s">
        <v>41</v>
      </c>
      <c r="B1149" s="36" t="s">
        <v>32</v>
      </c>
      <c r="C1149" s="36" t="s">
        <v>73</v>
      </c>
      <c r="D1149" s="36" t="s">
        <v>188</v>
      </c>
      <c r="E1149" s="38">
        <v>16223.83</v>
      </c>
      <c r="F1149" s="39">
        <v>87</v>
      </c>
    </row>
    <row r="1150" spans="1:6" x14ac:dyDescent="0.3">
      <c r="A1150" s="30" t="s">
        <v>40</v>
      </c>
      <c r="B1150" s="31" t="s">
        <v>10</v>
      </c>
      <c r="C1150" s="31" t="s">
        <v>11</v>
      </c>
      <c r="D1150" s="31" t="s">
        <v>187</v>
      </c>
      <c r="E1150" s="33">
        <v>2439.06</v>
      </c>
      <c r="F1150" s="34">
        <v>175</v>
      </c>
    </row>
    <row r="1151" spans="1:6" x14ac:dyDescent="0.3">
      <c r="A1151" s="35" t="s">
        <v>6</v>
      </c>
      <c r="B1151" s="36" t="s">
        <v>35</v>
      </c>
      <c r="C1151" s="36" t="s">
        <v>38</v>
      </c>
      <c r="D1151" s="36" t="s">
        <v>189</v>
      </c>
      <c r="E1151" s="38">
        <v>466.65</v>
      </c>
      <c r="F1151" s="39">
        <v>23</v>
      </c>
    </row>
    <row r="1152" spans="1:6" x14ac:dyDescent="0.3">
      <c r="A1152" s="30" t="s">
        <v>83</v>
      </c>
      <c r="B1152" s="31" t="s">
        <v>25</v>
      </c>
      <c r="C1152" s="31" t="s">
        <v>50</v>
      </c>
      <c r="D1152" s="31" t="s">
        <v>170</v>
      </c>
      <c r="E1152" s="33">
        <v>4044.24</v>
      </c>
      <c r="F1152" s="34">
        <v>18</v>
      </c>
    </row>
    <row r="1153" spans="1:6" x14ac:dyDescent="0.3">
      <c r="A1153" s="35" t="s">
        <v>28</v>
      </c>
      <c r="B1153" s="36" t="s">
        <v>35</v>
      </c>
      <c r="C1153" s="36" t="s">
        <v>20</v>
      </c>
      <c r="D1153" s="36" t="s">
        <v>190</v>
      </c>
      <c r="E1153" s="38">
        <v>17675.28</v>
      </c>
      <c r="F1153" s="39">
        <v>446</v>
      </c>
    </row>
    <row r="1154" spans="1:6" x14ac:dyDescent="0.3">
      <c r="A1154" s="30" t="s">
        <v>31</v>
      </c>
      <c r="B1154" s="31" t="s">
        <v>15</v>
      </c>
      <c r="C1154" s="31" t="s">
        <v>57</v>
      </c>
      <c r="D1154" s="31" t="s">
        <v>180</v>
      </c>
      <c r="E1154" s="33">
        <v>17280.98</v>
      </c>
      <c r="F1154" s="34">
        <v>58</v>
      </c>
    </row>
    <row r="1155" spans="1:6" x14ac:dyDescent="0.3">
      <c r="A1155" s="35" t="s">
        <v>67</v>
      </c>
      <c r="B1155" s="36" t="s">
        <v>15</v>
      </c>
      <c r="C1155" s="36" t="s">
        <v>26</v>
      </c>
      <c r="D1155" s="37">
        <v>44963</v>
      </c>
      <c r="E1155" s="38">
        <v>5091.78</v>
      </c>
      <c r="F1155" s="39">
        <v>219</v>
      </c>
    </row>
    <row r="1156" spans="1:6" x14ac:dyDescent="0.3">
      <c r="A1156" s="30" t="s">
        <v>67</v>
      </c>
      <c r="B1156" s="31" t="s">
        <v>15</v>
      </c>
      <c r="C1156" s="31" t="s">
        <v>38</v>
      </c>
      <c r="D1156" s="31" t="s">
        <v>191</v>
      </c>
      <c r="E1156" s="33">
        <v>1657.2</v>
      </c>
      <c r="F1156" s="34">
        <v>49</v>
      </c>
    </row>
    <row r="1157" spans="1:6" x14ac:dyDescent="0.3">
      <c r="A1157" s="35" t="s">
        <v>40</v>
      </c>
      <c r="B1157" s="36" t="s">
        <v>15</v>
      </c>
      <c r="C1157" s="36" t="s">
        <v>42</v>
      </c>
      <c r="D1157" s="36" t="s">
        <v>192</v>
      </c>
      <c r="E1157" s="38">
        <v>305.79000000000002</v>
      </c>
      <c r="F1157" s="39">
        <v>189</v>
      </c>
    </row>
    <row r="1158" spans="1:6" x14ac:dyDescent="0.3">
      <c r="A1158" s="30" t="s">
        <v>70</v>
      </c>
      <c r="B1158" s="31" t="s">
        <v>35</v>
      </c>
      <c r="C1158" s="31" t="s">
        <v>87</v>
      </c>
      <c r="D1158" s="31" t="s">
        <v>193</v>
      </c>
      <c r="E1158" s="33">
        <v>3377.41</v>
      </c>
      <c r="F1158" s="34">
        <v>325</v>
      </c>
    </row>
    <row r="1159" spans="1:6" x14ac:dyDescent="0.3">
      <c r="A1159" s="35" t="s">
        <v>37</v>
      </c>
      <c r="B1159" s="36" t="s">
        <v>10</v>
      </c>
      <c r="C1159" s="36" t="s">
        <v>65</v>
      </c>
      <c r="D1159" s="37">
        <v>45084</v>
      </c>
      <c r="E1159" s="38">
        <v>6188.62</v>
      </c>
      <c r="F1159" s="39">
        <v>157</v>
      </c>
    </row>
    <row r="1160" spans="1:6" x14ac:dyDescent="0.3">
      <c r="A1160" s="30" t="s">
        <v>19</v>
      </c>
      <c r="B1160" s="31" t="s">
        <v>10</v>
      </c>
      <c r="C1160" s="31" t="s">
        <v>20</v>
      </c>
      <c r="D1160" s="31" t="s">
        <v>194</v>
      </c>
      <c r="E1160" s="33">
        <v>10914.36</v>
      </c>
      <c r="F1160" s="34">
        <v>11</v>
      </c>
    </row>
    <row r="1161" spans="1:6" x14ac:dyDescent="0.3">
      <c r="A1161" s="35" t="s">
        <v>64</v>
      </c>
      <c r="B1161" s="36" t="s">
        <v>15</v>
      </c>
      <c r="C1161" s="36" t="s">
        <v>90</v>
      </c>
      <c r="D1161" s="36" t="s">
        <v>195</v>
      </c>
      <c r="E1161" s="38">
        <v>2342.0700000000002</v>
      </c>
      <c r="F1161" s="39">
        <v>12</v>
      </c>
    </row>
    <row r="1162" spans="1:6" x14ac:dyDescent="0.3">
      <c r="A1162" s="30" t="s">
        <v>9</v>
      </c>
      <c r="B1162" s="31" t="s">
        <v>15</v>
      </c>
      <c r="C1162" s="31" t="s">
        <v>42</v>
      </c>
      <c r="D1162" s="32">
        <v>45207</v>
      </c>
      <c r="E1162" s="33">
        <v>21762.799999999999</v>
      </c>
      <c r="F1162" s="34">
        <v>15</v>
      </c>
    </row>
    <row r="1163" spans="1:6" x14ac:dyDescent="0.3">
      <c r="A1163" s="35" t="s">
        <v>71</v>
      </c>
      <c r="B1163" s="36" t="s">
        <v>10</v>
      </c>
      <c r="C1163" s="36" t="s">
        <v>26</v>
      </c>
      <c r="D1163" s="37">
        <v>45023</v>
      </c>
      <c r="E1163" s="38">
        <v>10539.54</v>
      </c>
      <c r="F1163" s="39">
        <v>398</v>
      </c>
    </row>
    <row r="1164" spans="1:6" x14ac:dyDescent="0.3">
      <c r="A1164" s="30" t="s">
        <v>19</v>
      </c>
      <c r="B1164" s="31" t="s">
        <v>10</v>
      </c>
      <c r="C1164" s="31" t="s">
        <v>42</v>
      </c>
      <c r="D1164" s="32">
        <v>45145</v>
      </c>
      <c r="E1164" s="33">
        <v>6665.87</v>
      </c>
      <c r="F1164" s="34">
        <v>60</v>
      </c>
    </row>
    <row r="1165" spans="1:6" x14ac:dyDescent="0.3">
      <c r="A1165" s="35" t="s">
        <v>14</v>
      </c>
      <c r="B1165" s="36" t="s">
        <v>32</v>
      </c>
      <c r="C1165" s="36" t="s">
        <v>13</v>
      </c>
      <c r="D1165" s="36" t="s">
        <v>181</v>
      </c>
      <c r="E1165" s="38">
        <v>9605.11</v>
      </c>
      <c r="F1165" s="39">
        <v>98</v>
      </c>
    </row>
    <row r="1166" spans="1:6" x14ac:dyDescent="0.3">
      <c r="A1166" s="30" t="s">
        <v>12</v>
      </c>
      <c r="B1166" s="31" t="s">
        <v>32</v>
      </c>
      <c r="C1166" s="31" t="s">
        <v>75</v>
      </c>
      <c r="D1166" s="32">
        <v>44960</v>
      </c>
      <c r="E1166" s="33">
        <v>13018</v>
      </c>
      <c r="F1166" s="34">
        <v>103</v>
      </c>
    </row>
    <row r="1167" spans="1:6" x14ac:dyDescent="0.3">
      <c r="A1167" s="35" t="s">
        <v>12</v>
      </c>
      <c r="B1167" s="36" t="s">
        <v>7</v>
      </c>
      <c r="C1167" s="36" t="s">
        <v>65</v>
      </c>
      <c r="D1167" s="37">
        <v>45200</v>
      </c>
      <c r="E1167" s="38">
        <v>6046.4</v>
      </c>
      <c r="F1167" s="39">
        <v>10</v>
      </c>
    </row>
    <row r="1168" spans="1:6" x14ac:dyDescent="0.3">
      <c r="A1168" s="30" t="s">
        <v>6</v>
      </c>
      <c r="B1168" s="31" t="s">
        <v>25</v>
      </c>
      <c r="C1168" s="31" t="s">
        <v>59</v>
      </c>
      <c r="D1168" s="32">
        <v>45233</v>
      </c>
      <c r="E1168" s="33">
        <v>3078.33</v>
      </c>
      <c r="F1168" s="34">
        <v>231</v>
      </c>
    </row>
    <row r="1169" spans="1:6" x14ac:dyDescent="0.3">
      <c r="A1169" s="35" t="s">
        <v>67</v>
      </c>
      <c r="B1169" s="36" t="s">
        <v>25</v>
      </c>
      <c r="C1169" s="36" t="s">
        <v>13</v>
      </c>
      <c r="D1169" s="36" t="s">
        <v>196</v>
      </c>
      <c r="E1169" s="38">
        <v>970.96</v>
      </c>
      <c r="F1169" s="39">
        <v>291</v>
      </c>
    </row>
    <row r="1170" spans="1:6" x14ac:dyDescent="0.3">
      <c r="A1170" s="30" t="s">
        <v>9</v>
      </c>
      <c r="B1170" s="31" t="s">
        <v>7</v>
      </c>
      <c r="C1170" s="31" t="s">
        <v>42</v>
      </c>
      <c r="D1170" s="31" t="s">
        <v>197</v>
      </c>
      <c r="E1170" s="33">
        <v>2064.71</v>
      </c>
      <c r="F1170" s="34">
        <v>208</v>
      </c>
    </row>
    <row r="1171" spans="1:6" x14ac:dyDescent="0.3">
      <c r="A1171" s="35" t="s">
        <v>45</v>
      </c>
      <c r="B1171" s="36" t="s">
        <v>35</v>
      </c>
      <c r="C1171" s="36" t="s">
        <v>46</v>
      </c>
      <c r="D1171" s="36" t="s">
        <v>198</v>
      </c>
      <c r="E1171" s="38">
        <v>679.94</v>
      </c>
      <c r="F1171" s="39">
        <v>34</v>
      </c>
    </row>
    <row r="1172" spans="1:6" x14ac:dyDescent="0.3">
      <c r="A1172" s="30" t="s">
        <v>71</v>
      </c>
      <c r="B1172" s="31" t="s">
        <v>32</v>
      </c>
      <c r="C1172" s="31" t="s">
        <v>50</v>
      </c>
      <c r="D1172" s="32">
        <v>45232</v>
      </c>
      <c r="E1172" s="33">
        <v>1311.25</v>
      </c>
      <c r="F1172" s="34">
        <v>251</v>
      </c>
    </row>
    <row r="1173" spans="1:6" x14ac:dyDescent="0.3">
      <c r="A1173" s="35" t="s">
        <v>40</v>
      </c>
      <c r="B1173" s="36" t="s">
        <v>32</v>
      </c>
      <c r="C1173" s="36" t="s">
        <v>33</v>
      </c>
      <c r="D1173" s="36" t="s">
        <v>199</v>
      </c>
      <c r="E1173" s="38">
        <v>8692.64</v>
      </c>
      <c r="F1173" s="39">
        <v>184</v>
      </c>
    </row>
    <row r="1174" spans="1:6" x14ac:dyDescent="0.3">
      <c r="A1174" s="30" t="s">
        <v>9</v>
      </c>
      <c r="B1174" s="31" t="s">
        <v>7</v>
      </c>
      <c r="C1174" s="31" t="s">
        <v>20</v>
      </c>
      <c r="D1174" s="31" t="s">
        <v>200</v>
      </c>
      <c r="E1174" s="33">
        <v>4993.21</v>
      </c>
      <c r="F1174" s="34">
        <v>145</v>
      </c>
    </row>
    <row r="1175" spans="1:6" x14ac:dyDescent="0.3">
      <c r="A1175" s="35" t="s">
        <v>71</v>
      </c>
      <c r="B1175" s="36" t="s">
        <v>32</v>
      </c>
      <c r="C1175" s="36" t="s">
        <v>59</v>
      </c>
      <c r="D1175" s="36" t="s">
        <v>201</v>
      </c>
      <c r="E1175" s="38">
        <v>10898.19</v>
      </c>
      <c r="F1175" s="39">
        <v>24</v>
      </c>
    </row>
    <row r="1176" spans="1:6" x14ac:dyDescent="0.3">
      <c r="A1176" s="30" t="s">
        <v>67</v>
      </c>
      <c r="B1176" s="31" t="s">
        <v>32</v>
      </c>
      <c r="C1176" s="31" t="s">
        <v>73</v>
      </c>
      <c r="D1176" s="31" t="s">
        <v>180</v>
      </c>
      <c r="E1176" s="33">
        <v>15565.91</v>
      </c>
      <c r="F1176" s="34">
        <v>21</v>
      </c>
    </row>
    <row r="1177" spans="1:6" x14ac:dyDescent="0.3">
      <c r="A1177" s="35" t="s">
        <v>79</v>
      </c>
      <c r="B1177" s="36" t="s">
        <v>15</v>
      </c>
      <c r="C1177" s="36" t="s">
        <v>57</v>
      </c>
      <c r="D1177" s="36" t="s">
        <v>202</v>
      </c>
      <c r="E1177" s="38">
        <v>280.58999999999997</v>
      </c>
      <c r="F1177" s="39">
        <v>328</v>
      </c>
    </row>
    <row r="1178" spans="1:6" x14ac:dyDescent="0.3">
      <c r="A1178" s="30" t="s">
        <v>22</v>
      </c>
      <c r="B1178" s="31" t="s">
        <v>7</v>
      </c>
      <c r="C1178" s="31" t="s">
        <v>20</v>
      </c>
      <c r="D1178" s="40">
        <v>44745</v>
      </c>
      <c r="E1178" s="33">
        <v>7</v>
      </c>
      <c r="F1178" s="34">
        <v>84</v>
      </c>
    </row>
    <row r="1179" spans="1:6" x14ac:dyDescent="0.3">
      <c r="A1179" s="35" t="s">
        <v>45</v>
      </c>
      <c r="B1179" s="36" t="s">
        <v>25</v>
      </c>
      <c r="C1179" s="36" t="s">
        <v>23</v>
      </c>
      <c r="D1179" s="36" t="s">
        <v>203</v>
      </c>
      <c r="E1179" s="38">
        <v>8766.4500000000007</v>
      </c>
      <c r="F1179" s="39">
        <v>10</v>
      </c>
    </row>
    <row r="1180" spans="1:6" x14ac:dyDescent="0.3">
      <c r="A1180" s="30" t="s">
        <v>45</v>
      </c>
      <c r="B1180" s="31" t="s">
        <v>35</v>
      </c>
      <c r="C1180" s="31" t="s">
        <v>42</v>
      </c>
      <c r="D1180" s="32">
        <v>45200</v>
      </c>
      <c r="E1180" s="33">
        <v>4265.4799999999996</v>
      </c>
      <c r="F1180" s="34">
        <v>85</v>
      </c>
    </row>
    <row r="1181" spans="1:6" x14ac:dyDescent="0.3">
      <c r="A1181" s="35" t="s">
        <v>58</v>
      </c>
      <c r="B1181" s="36" t="s">
        <v>15</v>
      </c>
      <c r="C1181" s="36" t="s">
        <v>100</v>
      </c>
      <c r="D1181" s="37">
        <v>45109</v>
      </c>
      <c r="E1181" s="38">
        <v>6087.53</v>
      </c>
      <c r="F1181" s="39">
        <v>113</v>
      </c>
    </row>
    <row r="1182" spans="1:6" x14ac:dyDescent="0.3">
      <c r="A1182" s="30" t="s">
        <v>37</v>
      </c>
      <c r="B1182" s="31" t="s">
        <v>32</v>
      </c>
      <c r="C1182" s="31" t="s">
        <v>33</v>
      </c>
      <c r="D1182" s="32">
        <v>45265</v>
      </c>
      <c r="E1182" s="33">
        <v>11694.48</v>
      </c>
      <c r="F1182" s="34">
        <v>425</v>
      </c>
    </row>
    <row r="1183" spans="1:6" x14ac:dyDescent="0.3">
      <c r="A1183" s="35" t="s">
        <v>77</v>
      </c>
      <c r="B1183" s="36" t="s">
        <v>15</v>
      </c>
      <c r="C1183" s="36" t="s">
        <v>50</v>
      </c>
      <c r="D1183" s="37">
        <v>45110</v>
      </c>
      <c r="E1183" s="38">
        <v>7616.38</v>
      </c>
      <c r="F1183" s="39">
        <v>392</v>
      </c>
    </row>
    <row r="1184" spans="1:6" x14ac:dyDescent="0.3">
      <c r="A1184" s="30" t="s">
        <v>58</v>
      </c>
      <c r="B1184" s="31" t="s">
        <v>15</v>
      </c>
      <c r="C1184" s="31" t="s">
        <v>11</v>
      </c>
      <c r="D1184" s="32">
        <v>45050</v>
      </c>
      <c r="E1184" s="33">
        <v>7807.02</v>
      </c>
      <c r="F1184" s="34">
        <v>419</v>
      </c>
    </row>
    <row r="1185" spans="1:6" x14ac:dyDescent="0.3">
      <c r="A1185" s="35" t="s">
        <v>67</v>
      </c>
      <c r="B1185" s="36" t="s">
        <v>35</v>
      </c>
      <c r="C1185" s="36" t="s">
        <v>90</v>
      </c>
      <c r="D1185" s="37">
        <v>44986</v>
      </c>
      <c r="E1185" s="38">
        <v>7990.91</v>
      </c>
      <c r="F1185" s="39">
        <v>343</v>
      </c>
    </row>
    <row r="1186" spans="1:6" x14ac:dyDescent="0.3">
      <c r="A1186" s="30" t="s">
        <v>58</v>
      </c>
      <c r="B1186" s="31" t="s">
        <v>7</v>
      </c>
      <c r="C1186" s="31" t="s">
        <v>36</v>
      </c>
      <c r="D1186" s="31" t="s">
        <v>165</v>
      </c>
      <c r="E1186" s="33">
        <v>6757.17</v>
      </c>
      <c r="F1186" s="34">
        <v>276</v>
      </c>
    </row>
    <row r="1187" spans="1:6" x14ac:dyDescent="0.3">
      <c r="A1187" s="35" t="s">
        <v>77</v>
      </c>
      <c r="B1187" s="36" t="s">
        <v>10</v>
      </c>
      <c r="C1187" s="36" t="s">
        <v>73</v>
      </c>
      <c r="D1187" s="37">
        <v>45114</v>
      </c>
      <c r="E1187" s="38">
        <v>4409.21</v>
      </c>
      <c r="F1187" s="39">
        <v>10</v>
      </c>
    </row>
    <row r="1188" spans="1:6" x14ac:dyDescent="0.3">
      <c r="A1188" s="30" t="s">
        <v>9</v>
      </c>
      <c r="B1188" s="31" t="s">
        <v>32</v>
      </c>
      <c r="C1188" s="31" t="s">
        <v>23</v>
      </c>
      <c r="D1188" s="31" t="s">
        <v>204</v>
      </c>
      <c r="E1188" s="33">
        <v>722.25</v>
      </c>
      <c r="F1188" s="34">
        <v>255</v>
      </c>
    </row>
    <row r="1189" spans="1:6" x14ac:dyDescent="0.3">
      <c r="A1189" s="35" t="s">
        <v>64</v>
      </c>
      <c r="B1189" s="36" t="s">
        <v>15</v>
      </c>
      <c r="C1189" s="36" t="s">
        <v>42</v>
      </c>
      <c r="D1189" s="37">
        <v>45114</v>
      </c>
      <c r="E1189" s="38">
        <v>1896.24</v>
      </c>
      <c r="F1189" s="39">
        <v>115</v>
      </c>
    </row>
    <row r="1190" spans="1:6" x14ac:dyDescent="0.3">
      <c r="A1190" s="30" t="s">
        <v>37</v>
      </c>
      <c r="B1190" s="31" t="s">
        <v>35</v>
      </c>
      <c r="C1190" s="31" t="s">
        <v>26</v>
      </c>
      <c r="D1190" s="31" t="s">
        <v>189</v>
      </c>
      <c r="E1190" s="33">
        <v>2966.83</v>
      </c>
      <c r="F1190" s="34">
        <v>65</v>
      </c>
    </row>
    <row r="1191" spans="1:6" x14ac:dyDescent="0.3">
      <c r="A1191" s="35" t="s">
        <v>22</v>
      </c>
      <c r="B1191" s="36" t="s">
        <v>7</v>
      </c>
      <c r="C1191" s="36" t="s">
        <v>20</v>
      </c>
      <c r="D1191" s="41">
        <v>45110</v>
      </c>
      <c r="E1191" s="38">
        <v>8.0399999999999991</v>
      </c>
      <c r="F1191" s="39">
        <v>85</v>
      </c>
    </row>
    <row r="1192" spans="1:6" x14ac:dyDescent="0.3">
      <c r="A1192" s="30" t="s">
        <v>41</v>
      </c>
      <c r="B1192" s="31" t="s">
        <v>15</v>
      </c>
      <c r="C1192" s="31" t="s">
        <v>36</v>
      </c>
      <c r="D1192" s="31" t="s">
        <v>196</v>
      </c>
      <c r="E1192" s="33">
        <v>1835.42</v>
      </c>
      <c r="F1192" s="34">
        <v>6</v>
      </c>
    </row>
    <row r="1193" spans="1:6" x14ac:dyDescent="0.3">
      <c r="A1193" s="35" t="s">
        <v>70</v>
      </c>
      <c r="B1193" s="36" t="s">
        <v>7</v>
      </c>
      <c r="C1193" s="36" t="s">
        <v>57</v>
      </c>
      <c r="D1193" s="36" t="s">
        <v>179</v>
      </c>
      <c r="E1193" s="38">
        <v>14592.11</v>
      </c>
      <c r="F1193" s="39">
        <v>509</v>
      </c>
    </row>
    <row r="1194" spans="1:6" x14ac:dyDescent="0.3">
      <c r="A1194" s="30" t="s">
        <v>40</v>
      </c>
      <c r="B1194" s="31" t="s">
        <v>32</v>
      </c>
      <c r="C1194" s="31" t="s">
        <v>26</v>
      </c>
      <c r="D1194" s="31" t="s">
        <v>177</v>
      </c>
      <c r="E1194" s="33">
        <v>1114.1300000000001</v>
      </c>
      <c r="F1194" s="34">
        <v>106</v>
      </c>
    </row>
    <row r="1195" spans="1:6" x14ac:dyDescent="0.3">
      <c r="A1195" s="35" t="s">
        <v>53</v>
      </c>
      <c r="B1195" s="36" t="s">
        <v>32</v>
      </c>
      <c r="C1195" s="36" t="s">
        <v>23</v>
      </c>
      <c r="D1195" s="37">
        <v>45142</v>
      </c>
      <c r="E1195" s="38">
        <v>13051.75</v>
      </c>
      <c r="F1195" s="39">
        <v>193</v>
      </c>
    </row>
    <row r="1196" spans="1:6" x14ac:dyDescent="0.3">
      <c r="A1196" s="30" t="s">
        <v>58</v>
      </c>
      <c r="B1196" s="31" t="s">
        <v>15</v>
      </c>
      <c r="C1196" s="31" t="s">
        <v>73</v>
      </c>
      <c r="D1196" s="31" t="s">
        <v>175</v>
      </c>
      <c r="E1196" s="33">
        <v>5997.71</v>
      </c>
      <c r="F1196" s="34">
        <v>31</v>
      </c>
    </row>
    <row r="1197" spans="1:6" x14ac:dyDescent="0.3">
      <c r="A1197" s="35" t="s">
        <v>67</v>
      </c>
      <c r="B1197" s="36" t="s">
        <v>32</v>
      </c>
      <c r="C1197" s="36" t="s">
        <v>57</v>
      </c>
      <c r="D1197" s="36" t="s">
        <v>189</v>
      </c>
      <c r="E1197" s="38">
        <v>1588.28</v>
      </c>
      <c r="F1197" s="39">
        <v>352</v>
      </c>
    </row>
    <row r="1198" spans="1:6" x14ac:dyDescent="0.3">
      <c r="A1198" s="30" t="s">
        <v>70</v>
      </c>
      <c r="B1198" s="31" t="s">
        <v>10</v>
      </c>
      <c r="C1198" s="31" t="s">
        <v>36</v>
      </c>
      <c r="D1198" s="31" t="s">
        <v>188</v>
      </c>
      <c r="E1198" s="33">
        <v>5344.21</v>
      </c>
      <c r="F1198" s="34">
        <v>80</v>
      </c>
    </row>
    <row r="1199" spans="1:6" x14ac:dyDescent="0.3">
      <c r="A1199" s="35" t="s">
        <v>40</v>
      </c>
      <c r="B1199" s="36" t="s">
        <v>32</v>
      </c>
      <c r="C1199" s="36" t="s">
        <v>20</v>
      </c>
      <c r="D1199" s="36" t="s">
        <v>205</v>
      </c>
      <c r="E1199" s="38">
        <v>4646.91</v>
      </c>
      <c r="F1199" s="39">
        <v>317</v>
      </c>
    </row>
    <row r="1200" spans="1:6" x14ac:dyDescent="0.3">
      <c r="A1200" s="30" t="s">
        <v>28</v>
      </c>
      <c r="B1200" s="31" t="s">
        <v>35</v>
      </c>
      <c r="C1200" s="31" t="s">
        <v>50</v>
      </c>
      <c r="D1200" s="32">
        <v>45019</v>
      </c>
      <c r="E1200" s="33">
        <v>8929.8799999999992</v>
      </c>
      <c r="F1200" s="34">
        <v>100</v>
      </c>
    </row>
    <row r="1201" spans="1:6" x14ac:dyDescent="0.3">
      <c r="A1201" s="35" t="s">
        <v>37</v>
      </c>
      <c r="B1201" s="36" t="s">
        <v>25</v>
      </c>
      <c r="C1201" s="36" t="s">
        <v>100</v>
      </c>
      <c r="D1201" s="37">
        <v>44965</v>
      </c>
      <c r="E1201" s="38">
        <v>141.22999999999999</v>
      </c>
      <c r="F1201" s="39">
        <v>38</v>
      </c>
    </row>
    <row r="1202" spans="1:6" x14ac:dyDescent="0.3">
      <c r="A1202" s="30" t="s">
        <v>53</v>
      </c>
      <c r="B1202" s="31" t="s">
        <v>7</v>
      </c>
      <c r="C1202" s="31" t="s">
        <v>50</v>
      </c>
      <c r="D1202" s="31" t="s">
        <v>206</v>
      </c>
      <c r="E1202" s="33">
        <v>5068.99</v>
      </c>
      <c r="F1202" s="34">
        <v>45</v>
      </c>
    </row>
    <row r="1203" spans="1:6" x14ac:dyDescent="0.3">
      <c r="A1203" s="35" t="s">
        <v>40</v>
      </c>
      <c r="B1203" s="36" t="s">
        <v>32</v>
      </c>
      <c r="C1203" s="36" t="s">
        <v>65</v>
      </c>
      <c r="D1203" s="36" t="s">
        <v>207</v>
      </c>
      <c r="E1203" s="38">
        <v>8012.72</v>
      </c>
      <c r="F1203" s="39">
        <v>163</v>
      </c>
    </row>
    <row r="1204" spans="1:6" x14ac:dyDescent="0.3">
      <c r="A1204" s="30" t="s">
        <v>70</v>
      </c>
      <c r="B1204" s="31" t="s">
        <v>10</v>
      </c>
      <c r="C1204" s="31" t="s">
        <v>33</v>
      </c>
      <c r="D1204" s="32">
        <v>45113</v>
      </c>
      <c r="E1204" s="33">
        <v>10587.71</v>
      </c>
      <c r="F1204" s="34">
        <v>134</v>
      </c>
    </row>
    <row r="1205" spans="1:6" x14ac:dyDescent="0.3">
      <c r="A1205" s="35" t="s">
        <v>14</v>
      </c>
      <c r="B1205" s="36" t="s">
        <v>10</v>
      </c>
      <c r="C1205" s="36" t="s">
        <v>50</v>
      </c>
      <c r="D1205" s="37">
        <v>45264</v>
      </c>
      <c r="E1205" s="38">
        <v>2155.62</v>
      </c>
      <c r="F1205" s="39">
        <v>495</v>
      </c>
    </row>
    <row r="1206" spans="1:6" x14ac:dyDescent="0.3">
      <c r="A1206" s="30" t="s">
        <v>83</v>
      </c>
      <c r="B1206" s="31" t="s">
        <v>10</v>
      </c>
      <c r="C1206" s="31" t="s">
        <v>50</v>
      </c>
      <c r="D1206" s="32">
        <v>45084</v>
      </c>
      <c r="E1206" s="33">
        <v>11010.43</v>
      </c>
      <c r="F1206" s="34">
        <v>103</v>
      </c>
    </row>
    <row r="1207" spans="1:6" x14ac:dyDescent="0.3">
      <c r="A1207" s="35" t="s">
        <v>70</v>
      </c>
      <c r="B1207" s="36" t="s">
        <v>7</v>
      </c>
      <c r="C1207" s="36" t="s">
        <v>18</v>
      </c>
      <c r="D1207" s="36" t="s">
        <v>208</v>
      </c>
      <c r="E1207" s="38">
        <v>6787.72</v>
      </c>
      <c r="F1207" s="39">
        <v>192</v>
      </c>
    </row>
    <row r="1208" spans="1:6" x14ac:dyDescent="0.3">
      <c r="A1208" s="30" t="s">
        <v>77</v>
      </c>
      <c r="B1208" s="31" t="s">
        <v>15</v>
      </c>
      <c r="C1208" s="31" t="s">
        <v>57</v>
      </c>
      <c r="D1208" s="32">
        <v>45047</v>
      </c>
      <c r="E1208" s="33">
        <v>5715.07</v>
      </c>
      <c r="F1208" s="34">
        <v>90</v>
      </c>
    </row>
    <row r="1209" spans="1:6" x14ac:dyDescent="0.3">
      <c r="A1209" s="35" t="s">
        <v>77</v>
      </c>
      <c r="B1209" s="36" t="s">
        <v>35</v>
      </c>
      <c r="C1209" s="36" t="s">
        <v>100</v>
      </c>
      <c r="D1209" s="36" t="s">
        <v>209</v>
      </c>
      <c r="E1209" s="38">
        <v>12100.65</v>
      </c>
      <c r="F1209" s="39">
        <v>142</v>
      </c>
    </row>
    <row r="1210" spans="1:6" x14ac:dyDescent="0.3">
      <c r="A1210" s="30" t="s">
        <v>64</v>
      </c>
      <c r="B1210" s="31" t="s">
        <v>15</v>
      </c>
      <c r="C1210" s="31" t="s">
        <v>38</v>
      </c>
      <c r="D1210" s="32">
        <v>45081</v>
      </c>
      <c r="E1210" s="33">
        <v>623.75</v>
      </c>
      <c r="F1210" s="34">
        <v>285</v>
      </c>
    </row>
    <row r="1211" spans="1:6" x14ac:dyDescent="0.3">
      <c r="A1211" s="35" t="s">
        <v>22</v>
      </c>
      <c r="B1211" s="36" t="s">
        <v>15</v>
      </c>
      <c r="C1211" s="36" t="s">
        <v>57</v>
      </c>
      <c r="D1211" s="36" t="s">
        <v>177</v>
      </c>
      <c r="E1211" s="38">
        <v>6528.42</v>
      </c>
      <c r="F1211" s="39">
        <v>22</v>
      </c>
    </row>
    <row r="1212" spans="1:6" x14ac:dyDescent="0.3">
      <c r="A1212" s="30" t="s">
        <v>12</v>
      </c>
      <c r="B1212" s="31" t="s">
        <v>35</v>
      </c>
      <c r="C1212" s="31" t="s">
        <v>87</v>
      </c>
      <c r="D1212" s="31" t="s">
        <v>210</v>
      </c>
      <c r="E1212" s="33">
        <v>1540.55</v>
      </c>
      <c r="F1212" s="34">
        <v>47</v>
      </c>
    </row>
    <row r="1213" spans="1:6" x14ac:dyDescent="0.3">
      <c r="A1213" s="35" t="s">
        <v>70</v>
      </c>
      <c r="B1213" s="36" t="s">
        <v>10</v>
      </c>
      <c r="C1213" s="36" t="s">
        <v>90</v>
      </c>
      <c r="D1213" s="36" t="s">
        <v>211</v>
      </c>
      <c r="E1213" s="38">
        <v>487.06</v>
      </c>
      <c r="F1213" s="39">
        <v>123</v>
      </c>
    </row>
    <row r="1214" spans="1:6" x14ac:dyDescent="0.3">
      <c r="A1214" s="30" t="s">
        <v>29</v>
      </c>
      <c r="B1214" s="31" t="s">
        <v>15</v>
      </c>
      <c r="C1214" s="31" t="s">
        <v>38</v>
      </c>
      <c r="D1214" s="31" t="s">
        <v>212</v>
      </c>
      <c r="E1214" s="33">
        <v>11630.38</v>
      </c>
      <c r="F1214" s="34">
        <v>431</v>
      </c>
    </row>
    <row r="1215" spans="1:6" x14ac:dyDescent="0.3">
      <c r="A1215" s="35" t="s">
        <v>70</v>
      </c>
      <c r="B1215" s="36" t="s">
        <v>32</v>
      </c>
      <c r="C1215" s="36" t="s">
        <v>60</v>
      </c>
      <c r="D1215" s="36" t="s">
        <v>171</v>
      </c>
      <c r="E1215" s="38">
        <v>17297.66</v>
      </c>
      <c r="F1215" s="39">
        <v>96</v>
      </c>
    </row>
    <row r="1216" spans="1:6" x14ac:dyDescent="0.3">
      <c r="A1216" s="30" t="s">
        <v>6</v>
      </c>
      <c r="B1216" s="31" t="s">
        <v>35</v>
      </c>
      <c r="C1216" s="31" t="s">
        <v>50</v>
      </c>
      <c r="D1216" s="31" t="s">
        <v>167</v>
      </c>
      <c r="E1216" s="33">
        <v>2043.55</v>
      </c>
      <c r="F1216" s="34">
        <v>28</v>
      </c>
    </row>
    <row r="1217" spans="1:6" x14ac:dyDescent="0.3">
      <c r="A1217" s="35" t="s">
        <v>70</v>
      </c>
      <c r="B1217" s="36" t="s">
        <v>15</v>
      </c>
      <c r="C1217" s="36" t="s">
        <v>36</v>
      </c>
      <c r="D1217" s="36" t="s">
        <v>213</v>
      </c>
      <c r="E1217" s="38">
        <v>8168.86</v>
      </c>
      <c r="F1217" s="39">
        <v>570</v>
      </c>
    </row>
    <row r="1218" spans="1:6" x14ac:dyDescent="0.3">
      <c r="A1218" s="30" t="s">
        <v>48</v>
      </c>
      <c r="B1218" s="31" t="s">
        <v>35</v>
      </c>
      <c r="C1218" s="31" t="s">
        <v>50</v>
      </c>
      <c r="D1218" s="31" t="s">
        <v>214</v>
      </c>
      <c r="E1218" s="33">
        <v>933.45</v>
      </c>
      <c r="F1218" s="34">
        <v>122</v>
      </c>
    </row>
    <row r="1219" spans="1:6" x14ac:dyDescent="0.3">
      <c r="A1219" s="35" t="s">
        <v>19</v>
      </c>
      <c r="B1219" s="36" t="s">
        <v>10</v>
      </c>
      <c r="C1219" s="36" t="s">
        <v>73</v>
      </c>
      <c r="D1219" s="36" t="s">
        <v>195</v>
      </c>
      <c r="E1219" s="38">
        <v>6826.32</v>
      </c>
      <c r="F1219" s="39">
        <v>44</v>
      </c>
    </row>
    <row r="1220" spans="1:6" x14ac:dyDescent="0.3">
      <c r="A1220" s="30" t="s">
        <v>70</v>
      </c>
      <c r="B1220" s="31" t="s">
        <v>7</v>
      </c>
      <c r="C1220" s="31" t="s">
        <v>36</v>
      </c>
      <c r="D1220" s="31" t="s">
        <v>164</v>
      </c>
      <c r="E1220" s="33">
        <v>5029.3500000000004</v>
      </c>
      <c r="F1220" s="34">
        <v>61</v>
      </c>
    </row>
    <row r="1221" spans="1:6" x14ac:dyDescent="0.3">
      <c r="A1221" s="35" t="s">
        <v>14</v>
      </c>
      <c r="B1221" s="36" t="s">
        <v>10</v>
      </c>
      <c r="C1221" s="36" t="s">
        <v>65</v>
      </c>
      <c r="D1221" s="37">
        <v>45233</v>
      </c>
      <c r="E1221" s="38">
        <v>5143.49</v>
      </c>
      <c r="F1221" s="39">
        <v>21</v>
      </c>
    </row>
    <row r="1222" spans="1:6" x14ac:dyDescent="0.3">
      <c r="A1222" s="30" t="s">
        <v>79</v>
      </c>
      <c r="B1222" s="31" t="s">
        <v>7</v>
      </c>
      <c r="C1222" s="31" t="s">
        <v>65</v>
      </c>
      <c r="D1222" s="31" t="s">
        <v>168</v>
      </c>
      <c r="E1222" s="33">
        <v>16707.88</v>
      </c>
      <c r="F1222" s="34">
        <v>102</v>
      </c>
    </row>
    <row r="1223" spans="1:6" x14ac:dyDescent="0.3">
      <c r="A1223" s="35" t="s">
        <v>40</v>
      </c>
      <c r="B1223" s="36" t="s">
        <v>25</v>
      </c>
      <c r="C1223" s="36" t="s">
        <v>23</v>
      </c>
      <c r="D1223" s="37">
        <v>45172</v>
      </c>
      <c r="E1223" s="38">
        <v>1558.87</v>
      </c>
      <c r="F1223" s="39">
        <v>46</v>
      </c>
    </row>
    <row r="1224" spans="1:6" x14ac:dyDescent="0.3">
      <c r="A1224" s="30" t="s">
        <v>53</v>
      </c>
      <c r="B1224" s="31" t="s">
        <v>15</v>
      </c>
      <c r="C1224" s="31" t="s">
        <v>33</v>
      </c>
      <c r="D1224" s="31" t="s">
        <v>191</v>
      </c>
      <c r="E1224" s="33">
        <v>9332.76</v>
      </c>
      <c r="F1224" s="34">
        <v>196</v>
      </c>
    </row>
    <row r="1225" spans="1:6" x14ac:dyDescent="0.3">
      <c r="A1225" s="35" t="s">
        <v>40</v>
      </c>
      <c r="B1225" s="36" t="s">
        <v>15</v>
      </c>
      <c r="C1225" s="36" t="s">
        <v>46</v>
      </c>
      <c r="D1225" s="36" t="s">
        <v>168</v>
      </c>
      <c r="E1225" s="38">
        <v>2673.47</v>
      </c>
      <c r="F1225" s="39">
        <v>375</v>
      </c>
    </row>
    <row r="1226" spans="1:6" x14ac:dyDescent="0.3">
      <c r="A1226" s="30" t="s">
        <v>70</v>
      </c>
      <c r="B1226" s="31" t="s">
        <v>35</v>
      </c>
      <c r="C1226" s="31" t="s">
        <v>20</v>
      </c>
      <c r="D1226" s="31" t="s">
        <v>215</v>
      </c>
      <c r="E1226" s="33">
        <v>4950.21</v>
      </c>
      <c r="F1226" s="34">
        <v>54</v>
      </c>
    </row>
    <row r="1227" spans="1:6" x14ac:dyDescent="0.3">
      <c r="A1227" s="35" t="s">
        <v>55</v>
      </c>
      <c r="B1227" s="36" t="s">
        <v>15</v>
      </c>
      <c r="C1227" s="36" t="s">
        <v>60</v>
      </c>
      <c r="D1227" s="37">
        <v>45261</v>
      </c>
      <c r="E1227" s="38">
        <v>2919.11</v>
      </c>
      <c r="F1227" s="39">
        <v>271</v>
      </c>
    </row>
    <row r="1228" spans="1:6" x14ac:dyDescent="0.3">
      <c r="A1228" s="30" t="s">
        <v>41</v>
      </c>
      <c r="B1228" s="31" t="s">
        <v>25</v>
      </c>
      <c r="C1228" s="31" t="s">
        <v>59</v>
      </c>
      <c r="D1228" s="31" t="s">
        <v>165</v>
      </c>
      <c r="E1228" s="33">
        <v>8003.23</v>
      </c>
      <c r="F1228" s="34">
        <v>7</v>
      </c>
    </row>
    <row r="1229" spans="1:6" x14ac:dyDescent="0.3">
      <c r="A1229" s="35" t="s">
        <v>9</v>
      </c>
      <c r="B1229" s="36" t="s">
        <v>7</v>
      </c>
      <c r="C1229" s="36" t="s">
        <v>46</v>
      </c>
      <c r="D1229" s="36" t="s">
        <v>216</v>
      </c>
      <c r="E1229" s="38">
        <v>4902.78</v>
      </c>
      <c r="F1229" s="39">
        <v>91</v>
      </c>
    </row>
    <row r="1230" spans="1:6" x14ac:dyDescent="0.3">
      <c r="A1230" s="30" t="s">
        <v>19</v>
      </c>
      <c r="B1230" s="31" t="s">
        <v>35</v>
      </c>
      <c r="C1230" s="31" t="s">
        <v>20</v>
      </c>
      <c r="D1230" s="32">
        <v>44934</v>
      </c>
      <c r="E1230" s="33">
        <v>4033.53</v>
      </c>
      <c r="F1230" s="34">
        <v>430</v>
      </c>
    </row>
    <row r="1231" spans="1:6" x14ac:dyDescent="0.3">
      <c r="A1231" s="35" t="s">
        <v>9</v>
      </c>
      <c r="B1231" s="36" t="s">
        <v>10</v>
      </c>
      <c r="C1231" s="36" t="s">
        <v>42</v>
      </c>
      <c r="D1231" s="36" t="s">
        <v>192</v>
      </c>
      <c r="E1231" s="38">
        <v>22751.18</v>
      </c>
      <c r="F1231" s="39">
        <v>182</v>
      </c>
    </row>
    <row r="1232" spans="1:6" x14ac:dyDescent="0.3">
      <c r="A1232" s="30" t="s">
        <v>45</v>
      </c>
      <c r="B1232" s="31" t="s">
        <v>10</v>
      </c>
      <c r="C1232" s="31" t="s">
        <v>18</v>
      </c>
      <c r="D1232" s="32">
        <v>45207</v>
      </c>
      <c r="E1232" s="33">
        <v>5118.1099999999997</v>
      </c>
      <c r="F1232" s="34">
        <v>137</v>
      </c>
    </row>
    <row r="1233" spans="1:6" x14ac:dyDescent="0.3">
      <c r="A1233" s="35" t="s">
        <v>14</v>
      </c>
      <c r="B1233" s="36" t="s">
        <v>10</v>
      </c>
      <c r="C1233" s="36" t="s">
        <v>36</v>
      </c>
      <c r="D1233" s="37">
        <v>45047</v>
      </c>
      <c r="E1233" s="38">
        <v>2835.9</v>
      </c>
      <c r="F1233" s="39">
        <v>26</v>
      </c>
    </row>
    <row r="1234" spans="1:6" x14ac:dyDescent="0.3">
      <c r="A1234" s="30" t="s">
        <v>83</v>
      </c>
      <c r="B1234" s="31" t="s">
        <v>7</v>
      </c>
      <c r="C1234" s="31" t="s">
        <v>18</v>
      </c>
      <c r="D1234" s="32">
        <v>45237</v>
      </c>
      <c r="E1234" s="33">
        <v>5828.22</v>
      </c>
      <c r="F1234" s="34">
        <v>121</v>
      </c>
    </row>
    <row r="1235" spans="1:6" x14ac:dyDescent="0.3">
      <c r="A1235" s="35" t="s">
        <v>64</v>
      </c>
      <c r="B1235" s="36" t="s">
        <v>32</v>
      </c>
      <c r="C1235" s="36" t="s">
        <v>23</v>
      </c>
      <c r="D1235" s="36" t="s">
        <v>217</v>
      </c>
      <c r="E1235" s="38">
        <v>396.19</v>
      </c>
      <c r="F1235" s="39">
        <v>32</v>
      </c>
    </row>
    <row r="1236" spans="1:6" x14ac:dyDescent="0.3">
      <c r="A1236" s="30" t="s">
        <v>12</v>
      </c>
      <c r="B1236" s="31" t="s">
        <v>25</v>
      </c>
      <c r="C1236" s="31" t="s">
        <v>57</v>
      </c>
      <c r="D1236" s="32">
        <v>45020</v>
      </c>
      <c r="E1236" s="33">
        <v>11226.5</v>
      </c>
      <c r="F1236" s="34">
        <v>118</v>
      </c>
    </row>
    <row r="1237" spans="1:6" x14ac:dyDescent="0.3">
      <c r="A1237" s="35" t="s">
        <v>31</v>
      </c>
      <c r="B1237" s="36" t="s">
        <v>32</v>
      </c>
      <c r="C1237" s="36" t="s">
        <v>73</v>
      </c>
      <c r="D1237" s="37">
        <v>45264</v>
      </c>
      <c r="E1237" s="38">
        <v>10102.86</v>
      </c>
      <c r="F1237" s="39">
        <v>107</v>
      </c>
    </row>
    <row r="1238" spans="1:6" x14ac:dyDescent="0.3">
      <c r="A1238" s="30" t="s">
        <v>64</v>
      </c>
      <c r="B1238" s="31" t="s">
        <v>25</v>
      </c>
      <c r="C1238" s="31" t="s">
        <v>11</v>
      </c>
      <c r="D1238" s="32">
        <v>44965</v>
      </c>
      <c r="E1238" s="33">
        <v>2084.86</v>
      </c>
      <c r="F1238" s="34">
        <v>119</v>
      </c>
    </row>
    <row r="1239" spans="1:6" x14ac:dyDescent="0.3">
      <c r="A1239" s="35" t="s">
        <v>12</v>
      </c>
      <c r="B1239" s="36" t="s">
        <v>25</v>
      </c>
      <c r="C1239" s="36" t="s">
        <v>60</v>
      </c>
      <c r="D1239" s="36" t="s">
        <v>191</v>
      </c>
      <c r="E1239" s="38">
        <v>8495.7900000000009</v>
      </c>
      <c r="F1239" s="39">
        <v>268</v>
      </c>
    </row>
    <row r="1240" spans="1:6" x14ac:dyDescent="0.3">
      <c r="A1240" s="30" t="s">
        <v>83</v>
      </c>
      <c r="B1240" s="31" t="s">
        <v>15</v>
      </c>
      <c r="C1240" s="31" t="s">
        <v>36</v>
      </c>
      <c r="D1240" s="32">
        <v>45053</v>
      </c>
      <c r="E1240" s="33">
        <v>4248.34</v>
      </c>
      <c r="F1240" s="34">
        <v>130</v>
      </c>
    </row>
    <row r="1241" spans="1:6" x14ac:dyDescent="0.3">
      <c r="A1241" s="35" t="s">
        <v>29</v>
      </c>
      <c r="B1241" s="36" t="s">
        <v>25</v>
      </c>
      <c r="C1241" s="36" t="s">
        <v>75</v>
      </c>
      <c r="D1241" s="37">
        <v>45113</v>
      </c>
      <c r="E1241" s="38">
        <v>2236.11</v>
      </c>
      <c r="F1241" s="39">
        <v>46</v>
      </c>
    </row>
    <row r="1242" spans="1:6" x14ac:dyDescent="0.3">
      <c r="A1242" s="30" t="s">
        <v>28</v>
      </c>
      <c r="B1242" s="31" t="s">
        <v>25</v>
      </c>
      <c r="C1242" s="31" t="s">
        <v>18</v>
      </c>
      <c r="D1242" s="31" t="s">
        <v>218</v>
      </c>
      <c r="E1242" s="33">
        <v>1124.27</v>
      </c>
      <c r="F1242" s="34">
        <v>26</v>
      </c>
    </row>
    <row r="1243" spans="1:6" x14ac:dyDescent="0.3">
      <c r="A1243" s="35" t="s">
        <v>28</v>
      </c>
      <c r="B1243" s="36" t="s">
        <v>15</v>
      </c>
      <c r="C1243" s="36" t="s">
        <v>87</v>
      </c>
      <c r="D1243" s="37">
        <v>45017</v>
      </c>
      <c r="E1243" s="38">
        <v>12870.47</v>
      </c>
      <c r="F1243" s="39">
        <v>227</v>
      </c>
    </row>
    <row r="1244" spans="1:6" x14ac:dyDescent="0.3">
      <c r="A1244" s="30" t="s">
        <v>58</v>
      </c>
      <c r="B1244" s="31" t="s">
        <v>15</v>
      </c>
      <c r="C1244" s="31" t="s">
        <v>20</v>
      </c>
      <c r="D1244" s="31" t="s">
        <v>200</v>
      </c>
      <c r="E1244" s="33">
        <v>3017.66</v>
      </c>
      <c r="F1244" s="34">
        <v>19</v>
      </c>
    </row>
    <row r="1245" spans="1:6" x14ac:dyDescent="0.3">
      <c r="A1245" s="35" t="s">
        <v>70</v>
      </c>
      <c r="B1245" s="36" t="s">
        <v>10</v>
      </c>
      <c r="C1245" s="36" t="s">
        <v>65</v>
      </c>
      <c r="D1245" s="36" t="s">
        <v>175</v>
      </c>
      <c r="E1245" s="38">
        <v>3574.12</v>
      </c>
      <c r="F1245" s="39">
        <v>149</v>
      </c>
    </row>
    <row r="1246" spans="1:6" x14ac:dyDescent="0.3">
      <c r="A1246" s="30" t="s">
        <v>71</v>
      </c>
      <c r="B1246" s="31" t="s">
        <v>15</v>
      </c>
      <c r="C1246" s="31" t="s">
        <v>100</v>
      </c>
      <c r="D1246" s="31" t="s">
        <v>219</v>
      </c>
      <c r="E1246" s="33">
        <v>6249.31</v>
      </c>
      <c r="F1246" s="34">
        <v>509</v>
      </c>
    </row>
    <row r="1247" spans="1:6" x14ac:dyDescent="0.3">
      <c r="A1247" s="35" t="s">
        <v>19</v>
      </c>
      <c r="B1247" s="36" t="s">
        <v>10</v>
      </c>
      <c r="C1247" s="36" t="s">
        <v>18</v>
      </c>
      <c r="D1247" s="37">
        <v>45109</v>
      </c>
      <c r="E1247" s="38">
        <v>10759.61</v>
      </c>
      <c r="F1247" s="39">
        <v>107</v>
      </c>
    </row>
    <row r="1248" spans="1:6" x14ac:dyDescent="0.3">
      <c r="A1248" s="30" t="s">
        <v>55</v>
      </c>
      <c r="B1248" s="31" t="s">
        <v>7</v>
      </c>
      <c r="C1248" s="31" t="s">
        <v>42</v>
      </c>
      <c r="D1248" s="31" t="s">
        <v>220</v>
      </c>
      <c r="E1248" s="33">
        <v>2508.0300000000002</v>
      </c>
      <c r="F1248" s="34">
        <v>175</v>
      </c>
    </row>
    <row r="1249" spans="1:6" x14ac:dyDescent="0.3">
      <c r="A1249" s="35" t="s">
        <v>40</v>
      </c>
      <c r="B1249" s="36" t="s">
        <v>10</v>
      </c>
      <c r="C1249" s="36" t="s">
        <v>90</v>
      </c>
      <c r="D1249" s="36" t="s">
        <v>211</v>
      </c>
      <c r="E1249" s="38">
        <v>4997.82</v>
      </c>
      <c r="F1249" s="39">
        <v>83</v>
      </c>
    </row>
    <row r="1250" spans="1:6" x14ac:dyDescent="0.3">
      <c r="A1250" s="30" t="s">
        <v>37</v>
      </c>
      <c r="B1250" s="31" t="s">
        <v>7</v>
      </c>
      <c r="C1250" s="31" t="s">
        <v>36</v>
      </c>
      <c r="D1250" s="31" t="s">
        <v>164</v>
      </c>
      <c r="E1250" s="33">
        <v>7901.09</v>
      </c>
      <c r="F1250" s="34">
        <v>200</v>
      </c>
    </row>
    <row r="1251" spans="1:6" x14ac:dyDescent="0.3">
      <c r="A1251" s="35" t="s">
        <v>9</v>
      </c>
      <c r="B1251" s="36" t="s">
        <v>10</v>
      </c>
      <c r="C1251" s="36" t="s">
        <v>87</v>
      </c>
      <c r="D1251" s="36" t="s">
        <v>196</v>
      </c>
      <c r="E1251" s="38">
        <v>3133.42</v>
      </c>
      <c r="F1251" s="39">
        <v>479</v>
      </c>
    </row>
    <row r="1252" spans="1:6" x14ac:dyDescent="0.3">
      <c r="A1252" s="30" t="s">
        <v>12</v>
      </c>
      <c r="B1252" s="31" t="s">
        <v>7</v>
      </c>
      <c r="C1252" s="31" t="s">
        <v>23</v>
      </c>
      <c r="D1252" s="31" t="s">
        <v>221</v>
      </c>
      <c r="E1252" s="33">
        <v>8320.2900000000009</v>
      </c>
      <c r="F1252" s="34">
        <v>171</v>
      </c>
    </row>
    <row r="1253" spans="1:6" x14ac:dyDescent="0.3">
      <c r="A1253" s="35" t="s">
        <v>48</v>
      </c>
      <c r="B1253" s="36" t="s">
        <v>15</v>
      </c>
      <c r="C1253" s="36" t="s">
        <v>33</v>
      </c>
      <c r="D1253" s="37">
        <v>45267</v>
      </c>
      <c r="E1253" s="38">
        <v>909.93</v>
      </c>
      <c r="F1253" s="39">
        <v>132</v>
      </c>
    </row>
    <row r="1254" spans="1:6" x14ac:dyDescent="0.3">
      <c r="A1254" s="30" t="s">
        <v>6</v>
      </c>
      <c r="B1254" s="31" t="s">
        <v>35</v>
      </c>
      <c r="C1254" s="31" t="s">
        <v>18</v>
      </c>
      <c r="D1254" s="32">
        <v>45237</v>
      </c>
      <c r="E1254" s="33">
        <v>5631.26</v>
      </c>
      <c r="F1254" s="34">
        <v>142</v>
      </c>
    </row>
    <row r="1255" spans="1:6" x14ac:dyDescent="0.3">
      <c r="A1255" s="35" t="s">
        <v>37</v>
      </c>
      <c r="B1255" s="36" t="s">
        <v>35</v>
      </c>
      <c r="C1255" s="36" t="s">
        <v>18</v>
      </c>
      <c r="D1255" s="36" t="s">
        <v>208</v>
      </c>
      <c r="E1255" s="38">
        <v>3283.44</v>
      </c>
      <c r="F1255" s="39">
        <v>186</v>
      </c>
    </row>
    <row r="1256" spans="1:6" x14ac:dyDescent="0.3">
      <c r="A1256" s="30" t="s">
        <v>67</v>
      </c>
      <c r="B1256" s="31" t="s">
        <v>32</v>
      </c>
      <c r="C1256" s="31" t="s">
        <v>11</v>
      </c>
      <c r="D1256" s="32">
        <v>45050</v>
      </c>
      <c r="E1256" s="33">
        <v>9458.0300000000007</v>
      </c>
      <c r="F1256" s="34">
        <v>87</v>
      </c>
    </row>
    <row r="1257" spans="1:6" x14ac:dyDescent="0.3">
      <c r="A1257" s="35" t="s">
        <v>6</v>
      </c>
      <c r="B1257" s="36" t="s">
        <v>35</v>
      </c>
      <c r="C1257" s="36" t="s">
        <v>46</v>
      </c>
      <c r="D1257" s="36" t="s">
        <v>212</v>
      </c>
      <c r="E1257" s="38">
        <v>7726.25</v>
      </c>
      <c r="F1257" s="39">
        <v>12</v>
      </c>
    </row>
    <row r="1258" spans="1:6" x14ac:dyDescent="0.3">
      <c r="A1258" s="30" t="s">
        <v>29</v>
      </c>
      <c r="B1258" s="31" t="s">
        <v>25</v>
      </c>
      <c r="C1258" s="31" t="s">
        <v>90</v>
      </c>
      <c r="D1258" s="31" t="s">
        <v>222</v>
      </c>
      <c r="E1258" s="33">
        <v>14369.4</v>
      </c>
      <c r="F1258" s="34">
        <v>15</v>
      </c>
    </row>
    <row r="1259" spans="1:6" x14ac:dyDescent="0.3">
      <c r="A1259" s="35" t="s">
        <v>34</v>
      </c>
      <c r="B1259" s="36" t="s">
        <v>15</v>
      </c>
      <c r="C1259" s="36" t="s">
        <v>46</v>
      </c>
      <c r="D1259" s="36" t="s">
        <v>223</v>
      </c>
      <c r="E1259" s="38">
        <v>2829.57</v>
      </c>
      <c r="F1259" s="39">
        <v>106</v>
      </c>
    </row>
    <row r="1260" spans="1:6" x14ac:dyDescent="0.3">
      <c r="A1260" s="30" t="s">
        <v>31</v>
      </c>
      <c r="B1260" s="31" t="s">
        <v>32</v>
      </c>
      <c r="C1260" s="31" t="s">
        <v>57</v>
      </c>
      <c r="D1260" s="31" t="s">
        <v>210</v>
      </c>
      <c r="E1260" s="33">
        <v>9370.61</v>
      </c>
      <c r="F1260" s="34">
        <v>45</v>
      </c>
    </row>
    <row r="1261" spans="1:6" x14ac:dyDescent="0.3">
      <c r="A1261" s="35" t="s">
        <v>40</v>
      </c>
      <c r="B1261" s="36" t="s">
        <v>7</v>
      </c>
      <c r="C1261" s="36" t="s">
        <v>90</v>
      </c>
      <c r="D1261" s="36" t="s">
        <v>187</v>
      </c>
      <c r="E1261" s="38">
        <v>3651.49</v>
      </c>
      <c r="F1261" s="39">
        <v>112</v>
      </c>
    </row>
    <row r="1262" spans="1:6" x14ac:dyDescent="0.3">
      <c r="A1262" s="30" t="s">
        <v>34</v>
      </c>
      <c r="B1262" s="31" t="s">
        <v>25</v>
      </c>
      <c r="C1262" s="31" t="s">
        <v>60</v>
      </c>
      <c r="D1262" s="31" t="s">
        <v>224</v>
      </c>
      <c r="E1262" s="33">
        <v>10229.99</v>
      </c>
      <c r="F1262" s="34">
        <v>12</v>
      </c>
    </row>
    <row r="1263" spans="1:6" x14ac:dyDescent="0.3">
      <c r="A1263" s="35" t="s">
        <v>45</v>
      </c>
      <c r="B1263" s="36" t="s">
        <v>10</v>
      </c>
      <c r="C1263" s="36" t="s">
        <v>13</v>
      </c>
      <c r="D1263" s="37">
        <v>45232</v>
      </c>
      <c r="E1263" s="38">
        <v>11596.89</v>
      </c>
      <c r="F1263" s="39">
        <v>22</v>
      </c>
    </row>
    <row r="1264" spans="1:6" x14ac:dyDescent="0.3">
      <c r="A1264" s="30" t="s">
        <v>45</v>
      </c>
      <c r="B1264" s="31" t="s">
        <v>25</v>
      </c>
      <c r="C1264" s="31" t="s">
        <v>46</v>
      </c>
      <c r="D1264" s="32">
        <v>44960</v>
      </c>
      <c r="E1264" s="33">
        <v>5857.9</v>
      </c>
      <c r="F1264" s="34">
        <v>111</v>
      </c>
    </row>
    <row r="1265" spans="1:6" x14ac:dyDescent="0.3">
      <c r="A1265" s="35" t="s">
        <v>83</v>
      </c>
      <c r="B1265" s="36" t="s">
        <v>15</v>
      </c>
      <c r="C1265" s="36" t="s">
        <v>59</v>
      </c>
      <c r="D1265" s="37">
        <v>44960</v>
      </c>
      <c r="E1265" s="38">
        <v>1177.6400000000001</v>
      </c>
      <c r="F1265" s="39">
        <v>206</v>
      </c>
    </row>
    <row r="1266" spans="1:6" x14ac:dyDescent="0.3">
      <c r="A1266" s="30" t="s">
        <v>9</v>
      </c>
      <c r="B1266" s="31" t="s">
        <v>32</v>
      </c>
      <c r="C1266" s="31" t="s">
        <v>20</v>
      </c>
      <c r="D1266" s="31" t="s">
        <v>168</v>
      </c>
      <c r="E1266" s="33">
        <v>12930.11</v>
      </c>
      <c r="F1266" s="34">
        <v>6</v>
      </c>
    </row>
    <row r="1267" spans="1:6" x14ac:dyDescent="0.3">
      <c r="A1267" s="35" t="s">
        <v>70</v>
      </c>
      <c r="B1267" s="36" t="s">
        <v>10</v>
      </c>
      <c r="C1267" s="36" t="s">
        <v>23</v>
      </c>
      <c r="D1267" s="37">
        <v>45108</v>
      </c>
      <c r="E1267" s="38">
        <v>1732.04</v>
      </c>
      <c r="F1267" s="39">
        <v>531</v>
      </c>
    </row>
    <row r="1268" spans="1:6" x14ac:dyDescent="0.3">
      <c r="A1268" s="30" t="s">
        <v>28</v>
      </c>
      <c r="B1268" s="31" t="s">
        <v>7</v>
      </c>
      <c r="C1268" s="31" t="s">
        <v>59</v>
      </c>
      <c r="D1268" s="32">
        <v>45264</v>
      </c>
      <c r="E1268" s="33">
        <v>5837.17</v>
      </c>
      <c r="F1268" s="34">
        <v>173</v>
      </c>
    </row>
    <row r="1269" spans="1:6" x14ac:dyDescent="0.3">
      <c r="A1269" s="35" t="s">
        <v>9</v>
      </c>
      <c r="B1269" s="36" t="s">
        <v>35</v>
      </c>
      <c r="C1269" s="36" t="s">
        <v>65</v>
      </c>
      <c r="D1269" s="36" t="s">
        <v>172</v>
      </c>
      <c r="E1269" s="38">
        <v>3424.66</v>
      </c>
      <c r="F1269" s="39">
        <v>70</v>
      </c>
    </row>
    <row r="1270" spans="1:6" x14ac:dyDescent="0.3">
      <c r="A1270" s="30" t="s">
        <v>6</v>
      </c>
      <c r="B1270" s="31" t="s">
        <v>15</v>
      </c>
      <c r="C1270" s="31" t="s">
        <v>26</v>
      </c>
      <c r="D1270" s="31" t="s">
        <v>225</v>
      </c>
      <c r="E1270" s="33">
        <v>5700.28</v>
      </c>
      <c r="F1270" s="34">
        <v>422</v>
      </c>
    </row>
    <row r="1271" spans="1:6" x14ac:dyDescent="0.3">
      <c r="A1271" s="35" t="s">
        <v>37</v>
      </c>
      <c r="B1271" s="36" t="s">
        <v>7</v>
      </c>
      <c r="C1271" s="36" t="s">
        <v>87</v>
      </c>
      <c r="D1271" s="37">
        <v>45109</v>
      </c>
      <c r="E1271" s="38">
        <v>5094.4799999999996</v>
      </c>
      <c r="F1271" s="39">
        <v>373</v>
      </c>
    </row>
    <row r="1272" spans="1:6" x14ac:dyDescent="0.3">
      <c r="A1272" s="30" t="s">
        <v>6</v>
      </c>
      <c r="B1272" s="31" t="s">
        <v>15</v>
      </c>
      <c r="C1272" s="31" t="s">
        <v>33</v>
      </c>
      <c r="D1272" s="31" t="s">
        <v>213</v>
      </c>
      <c r="E1272" s="33">
        <v>14529.2</v>
      </c>
      <c r="F1272" s="34">
        <v>26</v>
      </c>
    </row>
    <row r="1273" spans="1:6" x14ac:dyDescent="0.3">
      <c r="A1273" s="35" t="s">
        <v>40</v>
      </c>
      <c r="B1273" s="36" t="s">
        <v>10</v>
      </c>
      <c r="C1273" s="36" t="s">
        <v>13</v>
      </c>
      <c r="D1273" s="37">
        <v>45200</v>
      </c>
      <c r="E1273" s="38">
        <v>6761.28</v>
      </c>
      <c r="F1273" s="39">
        <v>145</v>
      </c>
    </row>
    <row r="1274" spans="1:6" x14ac:dyDescent="0.3">
      <c r="A1274" s="30" t="s">
        <v>19</v>
      </c>
      <c r="B1274" s="31" t="s">
        <v>7</v>
      </c>
      <c r="C1274" s="31" t="s">
        <v>75</v>
      </c>
      <c r="D1274" s="31" t="s">
        <v>226</v>
      </c>
      <c r="E1274" s="33">
        <v>10370.44</v>
      </c>
      <c r="F1274" s="34">
        <v>44</v>
      </c>
    </row>
    <row r="1275" spans="1:6" x14ac:dyDescent="0.3">
      <c r="A1275" s="35" t="s">
        <v>12</v>
      </c>
      <c r="B1275" s="36" t="s">
        <v>32</v>
      </c>
      <c r="C1275" s="36" t="s">
        <v>50</v>
      </c>
      <c r="D1275" s="36" t="s">
        <v>227</v>
      </c>
      <c r="E1275" s="38">
        <v>12450.24</v>
      </c>
      <c r="F1275" s="39">
        <v>57</v>
      </c>
    </row>
    <row r="1276" spans="1:6" x14ac:dyDescent="0.3">
      <c r="A1276" s="30" t="s">
        <v>31</v>
      </c>
      <c r="B1276" s="31" t="s">
        <v>15</v>
      </c>
      <c r="C1276" s="31" t="s">
        <v>59</v>
      </c>
      <c r="D1276" s="32">
        <v>45023</v>
      </c>
      <c r="E1276" s="33">
        <v>8927.6299999999992</v>
      </c>
      <c r="F1276" s="34">
        <v>386</v>
      </c>
    </row>
    <row r="1277" spans="1:6" x14ac:dyDescent="0.3">
      <c r="A1277" s="35" t="s">
        <v>55</v>
      </c>
      <c r="B1277" s="36" t="s">
        <v>35</v>
      </c>
      <c r="C1277" s="36" t="s">
        <v>13</v>
      </c>
      <c r="D1277" s="37">
        <v>45023</v>
      </c>
      <c r="E1277" s="38">
        <v>3438.7</v>
      </c>
      <c r="F1277" s="39">
        <v>191</v>
      </c>
    </row>
    <row r="1278" spans="1:6" x14ac:dyDescent="0.3">
      <c r="A1278" s="30" t="s">
        <v>79</v>
      </c>
      <c r="B1278" s="31" t="s">
        <v>32</v>
      </c>
      <c r="C1278" s="31" t="s">
        <v>60</v>
      </c>
      <c r="D1278" s="32">
        <v>45207</v>
      </c>
      <c r="E1278" s="33">
        <v>299.70999999999998</v>
      </c>
      <c r="F1278" s="34">
        <v>207</v>
      </c>
    </row>
    <row r="1279" spans="1:6" x14ac:dyDescent="0.3">
      <c r="A1279" s="35" t="s">
        <v>58</v>
      </c>
      <c r="B1279" s="36" t="s">
        <v>15</v>
      </c>
      <c r="C1279" s="36" t="s">
        <v>26</v>
      </c>
      <c r="D1279" s="37">
        <v>44930</v>
      </c>
      <c r="E1279" s="38">
        <v>7374.26</v>
      </c>
      <c r="F1279" s="39">
        <v>12</v>
      </c>
    </row>
    <row r="1280" spans="1:6" x14ac:dyDescent="0.3">
      <c r="A1280" s="30" t="s">
        <v>12</v>
      </c>
      <c r="B1280" s="31" t="s">
        <v>10</v>
      </c>
      <c r="C1280" s="31" t="s">
        <v>73</v>
      </c>
      <c r="D1280" s="31" t="s">
        <v>228</v>
      </c>
      <c r="E1280" s="33">
        <v>2775.87</v>
      </c>
      <c r="F1280" s="34">
        <v>174</v>
      </c>
    </row>
    <row r="1281" spans="1:6" x14ac:dyDescent="0.3">
      <c r="A1281" s="35" t="s">
        <v>71</v>
      </c>
      <c r="B1281" s="36" t="s">
        <v>7</v>
      </c>
      <c r="C1281" s="36" t="s">
        <v>59</v>
      </c>
      <c r="D1281" s="37">
        <v>44986</v>
      </c>
      <c r="E1281" s="38">
        <v>9957.66</v>
      </c>
      <c r="F1281" s="39">
        <v>194</v>
      </c>
    </row>
    <row r="1282" spans="1:6" x14ac:dyDescent="0.3">
      <c r="A1282" s="30" t="s">
        <v>37</v>
      </c>
      <c r="B1282" s="31" t="s">
        <v>10</v>
      </c>
      <c r="C1282" s="31" t="s">
        <v>38</v>
      </c>
      <c r="D1282" s="31" t="s">
        <v>229</v>
      </c>
      <c r="E1282" s="33">
        <v>5064.88</v>
      </c>
      <c r="F1282" s="34">
        <v>251</v>
      </c>
    </row>
    <row r="1283" spans="1:6" x14ac:dyDescent="0.3">
      <c r="A1283" s="35" t="s">
        <v>79</v>
      </c>
      <c r="B1283" s="36" t="s">
        <v>7</v>
      </c>
      <c r="C1283" s="36" t="s">
        <v>20</v>
      </c>
      <c r="D1283" s="37">
        <v>44986</v>
      </c>
      <c r="E1283" s="38">
        <v>9865.0499999999993</v>
      </c>
      <c r="F1283" s="39">
        <v>273</v>
      </c>
    </row>
    <row r="1284" spans="1:6" x14ac:dyDescent="0.3">
      <c r="A1284" s="30" t="s">
        <v>53</v>
      </c>
      <c r="B1284" s="31" t="s">
        <v>25</v>
      </c>
      <c r="C1284" s="31" t="s">
        <v>90</v>
      </c>
      <c r="D1284" s="31" t="s">
        <v>199</v>
      </c>
      <c r="E1284" s="33">
        <v>571.52</v>
      </c>
      <c r="F1284" s="34">
        <v>489</v>
      </c>
    </row>
    <row r="1285" spans="1:6" x14ac:dyDescent="0.3">
      <c r="A1285" s="35" t="s">
        <v>31</v>
      </c>
      <c r="B1285" s="36" t="s">
        <v>7</v>
      </c>
      <c r="C1285" s="36" t="s">
        <v>26</v>
      </c>
      <c r="D1285" s="36" t="s">
        <v>210</v>
      </c>
      <c r="E1285" s="38">
        <v>656.44</v>
      </c>
      <c r="F1285" s="39">
        <v>67</v>
      </c>
    </row>
    <row r="1286" spans="1:6" x14ac:dyDescent="0.3">
      <c r="A1286" s="30" t="s">
        <v>48</v>
      </c>
      <c r="B1286" s="31" t="s">
        <v>15</v>
      </c>
      <c r="C1286" s="31" t="s">
        <v>42</v>
      </c>
      <c r="D1286" s="31" t="s">
        <v>191</v>
      </c>
      <c r="E1286" s="33">
        <v>4008.93</v>
      </c>
      <c r="F1286" s="34">
        <v>301</v>
      </c>
    </row>
    <row r="1287" spans="1:6" x14ac:dyDescent="0.3">
      <c r="A1287" s="35" t="s">
        <v>53</v>
      </c>
      <c r="B1287" s="36" t="s">
        <v>7</v>
      </c>
      <c r="C1287" s="36" t="s">
        <v>75</v>
      </c>
      <c r="D1287" s="37">
        <v>44960</v>
      </c>
      <c r="E1287" s="38">
        <v>4679.0600000000004</v>
      </c>
      <c r="F1287" s="39">
        <v>43</v>
      </c>
    </row>
    <row r="1288" spans="1:6" x14ac:dyDescent="0.3">
      <c r="A1288" s="30" t="s">
        <v>64</v>
      </c>
      <c r="B1288" s="31" t="s">
        <v>15</v>
      </c>
      <c r="C1288" s="31" t="s">
        <v>23</v>
      </c>
      <c r="D1288" s="31" t="s">
        <v>194</v>
      </c>
      <c r="E1288" s="33">
        <v>3446.84</v>
      </c>
      <c r="F1288" s="34">
        <v>28</v>
      </c>
    </row>
    <row r="1289" spans="1:6" x14ac:dyDescent="0.3">
      <c r="A1289" s="35" t="s">
        <v>58</v>
      </c>
      <c r="B1289" s="36" t="s">
        <v>32</v>
      </c>
      <c r="C1289" s="36" t="s">
        <v>65</v>
      </c>
      <c r="D1289" s="36" t="s">
        <v>180</v>
      </c>
      <c r="E1289" s="38">
        <v>11884.52</v>
      </c>
      <c r="F1289" s="39">
        <v>82</v>
      </c>
    </row>
    <row r="1290" spans="1:6" x14ac:dyDescent="0.3">
      <c r="A1290" s="30" t="s">
        <v>31</v>
      </c>
      <c r="B1290" s="31" t="s">
        <v>35</v>
      </c>
      <c r="C1290" s="31" t="s">
        <v>13</v>
      </c>
      <c r="D1290" s="32">
        <v>45113</v>
      </c>
      <c r="E1290" s="33">
        <v>2167.19</v>
      </c>
      <c r="F1290" s="34">
        <v>85</v>
      </c>
    </row>
    <row r="1291" spans="1:6" x14ac:dyDescent="0.3">
      <c r="A1291" s="35" t="s">
        <v>55</v>
      </c>
      <c r="B1291" s="36" t="s">
        <v>32</v>
      </c>
      <c r="C1291" s="36" t="s">
        <v>100</v>
      </c>
      <c r="D1291" s="37">
        <v>45265</v>
      </c>
      <c r="E1291" s="38">
        <v>4199.84</v>
      </c>
      <c r="F1291" s="39">
        <v>107</v>
      </c>
    </row>
    <row r="1292" spans="1:6" x14ac:dyDescent="0.3">
      <c r="A1292" s="30" t="s">
        <v>31</v>
      </c>
      <c r="B1292" s="31" t="s">
        <v>25</v>
      </c>
      <c r="C1292" s="31" t="s">
        <v>73</v>
      </c>
      <c r="D1292" s="31" t="s">
        <v>223</v>
      </c>
      <c r="E1292" s="33">
        <v>7358.7</v>
      </c>
      <c r="F1292" s="34">
        <v>68</v>
      </c>
    </row>
    <row r="1293" spans="1:6" x14ac:dyDescent="0.3">
      <c r="A1293" s="35" t="s">
        <v>58</v>
      </c>
      <c r="B1293" s="36" t="s">
        <v>7</v>
      </c>
      <c r="C1293" s="36" t="s">
        <v>59</v>
      </c>
      <c r="D1293" s="37">
        <v>44993</v>
      </c>
      <c r="E1293" s="38">
        <v>7870.09</v>
      </c>
      <c r="F1293" s="39">
        <v>274</v>
      </c>
    </row>
    <row r="1294" spans="1:6" x14ac:dyDescent="0.3">
      <c r="A1294" s="30" t="s">
        <v>31</v>
      </c>
      <c r="B1294" s="31" t="s">
        <v>10</v>
      </c>
      <c r="C1294" s="31" t="s">
        <v>87</v>
      </c>
      <c r="D1294" s="31" t="s">
        <v>201</v>
      </c>
      <c r="E1294" s="33">
        <v>7454.25</v>
      </c>
      <c r="F1294" s="34">
        <v>148</v>
      </c>
    </row>
    <row r="1295" spans="1:6" x14ac:dyDescent="0.3">
      <c r="A1295" s="35" t="s">
        <v>9</v>
      </c>
      <c r="B1295" s="36" t="s">
        <v>25</v>
      </c>
      <c r="C1295" s="36" t="s">
        <v>18</v>
      </c>
      <c r="D1295" s="36" t="s">
        <v>230</v>
      </c>
      <c r="E1295" s="38">
        <v>3112.3</v>
      </c>
      <c r="F1295" s="39">
        <v>41</v>
      </c>
    </row>
    <row r="1296" spans="1:6" x14ac:dyDescent="0.3">
      <c r="A1296" s="30" t="s">
        <v>41</v>
      </c>
      <c r="B1296" s="31" t="s">
        <v>7</v>
      </c>
      <c r="C1296" s="31" t="s">
        <v>59</v>
      </c>
      <c r="D1296" s="31" t="s">
        <v>180</v>
      </c>
      <c r="E1296" s="33">
        <v>6901.22</v>
      </c>
      <c r="F1296" s="34">
        <v>80</v>
      </c>
    </row>
    <row r="1297" spans="1:6" x14ac:dyDescent="0.3">
      <c r="A1297" s="35" t="s">
        <v>71</v>
      </c>
      <c r="B1297" s="36" t="s">
        <v>25</v>
      </c>
      <c r="C1297" s="36" t="s">
        <v>8</v>
      </c>
      <c r="D1297" s="36" t="s">
        <v>231</v>
      </c>
      <c r="E1297" s="38">
        <v>1178</v>
      </c>
      <c r="F1297" s="39">
        <v>199</v>
      </c>
    </row>
    <row r="1298" spans="1:6" x14ac:dyDescent="0.3">
      <c r="A1298" s="30" t="s">
        <v>83</v>
      </c>
      <c r="B1298" s="31" t="s">
        <v>7</v>
      </c>
      <c r="C1298" s="31" t="s">
        <v>33</v>
      </c>
      <c r="D1298" s="31" t="s">
        <v>162</v>
      </c>
      <c r="E1298" s="33">
        <v>14953.83</v>
      </c>
      <c r="F1298" s="34">
        <v>53</v>
      </c>
    </row>
    <row r="1299" spans="1:6" x14ac:dyDescent="0.3">
      <c r="A1299" s="35" t="s">
        <v>14</v>
      </c>
      <c r="B1299" s="36" t="s">
        <v>15</v>
      </c>
      <c r="C1299" s="36" t="s">
        <v>59</v>
      </c>
      <c r="D1299" s="36" t="s">
        <v>232</v>
      </c>
      <c r="E1299" s="38">
        <v>3958.57</v>
      </c>
      <c r="F1299" s="39">
        <v>33</v>
      </c>
    </row>
    <row r="1300" spans="1:6" x14ac:dyDescent="0.3">
      <c r="A1300" s="30" t="s">
        <v>34</v>
      </c>
      <c r="B1300" s="31" t="s">
        <v>35</v>
      </c>
      <c r="C1300" s="31" t="s">
        <v>11</v>
      </c>
      <c r="D1300" s="31" t="s">
        <v>166</v>
      </c>
      <c r="E1300" s="33">
        <v>1639.01</v>
      </c>
      <c r="F1300" s="34">
        <v>430</v>
      </c>
    </row>
    <row r="1301" spans="1:6" x14ac:dyDescent="0.3">
      <c r="A1301" s="35" t="s">
        <v>29</v>
      </c>
      <c r="B1301" s="36" t="s">
        <v>10</v>
      </c>
      <c r="C1301" s="36" t="s">
        <v>50</v>
      </c>
      <c r="D1301" s="37">
        <v>45017</v>
      </c>
      <c r="E1301" s="38">
        <v>8586.0400000000009</v>
      </c>
      <c r="F1301" s="39">
        <v>144</v>
      </c>
    </row>
    <row r="1302" spans="1:6" x14ac:dyDescent="0.3">
      <c r="A1302" s="30" t="s">
        <v>83</v>
      </c>
      <c r="B1302" s="31" t="s">
        <v>15</v>
      </c>
      <c r="C1302" s="31" t="s">
        <v>8</v>
      </c>
      <c r="D1302" s="31" t="s">
        <v>212</v>
      </c>
      <c r="E1302" s="33">
        <v>10000.219999999999</v>
      </c>
      <c r="F1302" s="34">
        <v>98</v>
      </c>
    </row>
    <row r="1303" spans="1:6" x14ac:dyDescent="0.3">
      <c r="A1303" s="35" t="s">
        <v>37</v>
      </c>
      <c r="B1303" s="36" t="s">
        <v>15</v>
      </c>
      <c r="C1303" s="36" t="s">
        <v>59</v>
      </c>
      <c r="D1303" s="37">
        <v>45047</v>
      </c>
      <c r="E1303" s="38">
        <v>8448.39</v>
      </c>
      <c r="F1303" s="39">
        <v>52</v>
      </c>
    </row>
    <row r="1304" spans="1:6" x14ac:dyDescent="0.3">
      <c r="A1304" s="30" t="s">
        <v>41</v>
      </c>
      <c r="B1304" s="31" t="s">
        <v>10</v>
      </c>
      <c r="C1304" s="31" t="s">
        <v>38</v>
      </c>
      <c r="D1304" s="31" t="s">
        <v>189</v>
      </c>
      <c r="E1304" s="33">
        <v>6984.74</v>
      </c>
      <c r="F1304" s="34">
        <v>51</v>
      </c>
    </row>
    <row r="1305" spans="1:6" x14ac:dyDescent="0.3">
      <c r="A1305" s="35" t="s">
        <v>28</v>
      </c>
      <c r="B1305" s="36" t="s">
        <v>15</v>
      </c>
      <c r="C1305" s="36" t="s">
        <v>75</v>
      </c>
      <c r="D1305" s="36" t="s">
        <v>203</v>
      </c>
      <c r="E1305" s="38">
        <v>5641.54</v>
      </c>
      <c r="F1305" s="39">
        <v>61</v>
      </c>
    </row>
    <row r="1306" spans="1:6" x14ac:dyDescent="0.3">
      <c r="A1306" s="30" t="s">
        <v>37</v>
      </c>
      <c r="B1306" s="31" t="s">
        <v>35</v>
      </c>
      <c r="C1306" s="31" t="s">
        <v>36</v>
      </c>
      <c r="D1306" s="31" t="s">
        <v>166</v>
      </c>
      <c r="E1306" s="33">
        <v>3850.87</v>
      </c>
      <c r="F1306" s="34">
        <v>372</v>
      </c>
    </row>
    <row r="1307" spans="1:6" x14ac:dyDescent="0.3">
      <c r="A1307" s="35" t="s">
        <v>12</v>
      </c>
      <c r="B1307" s="36" t="s">
        <v>32</v>
      </c>
      <c r="C1307" s="36" t="s">
        <v>20</v>
      </c>
      <c r="D1307" s="37">
        <v>44963</v>
      </c>
      <c r="E1307" s="38">
        <v>885.68</v>
      </c>
      <c r="F1307" s="39">
        <v>240</v>
      </c>
    </row>
    <row r="1308" spans="1:6" x14ac:dyDescent="0.3">
      <c r="A1308" s="30" t="s">
        <v>40</v>
      </c>
      <c r="B1308" s="31" t="s">
        <v>7</v>
      </c>
      <c r="C1308" s="31" t="s">
        <v>18</v>
      </c>
      <c r="D1308" s="31" t="s">
        <v>233</v>
      </c>
      <c r="E1308" s="33">
        <v>21251.67</v>
      </c>
      <c r="F1308" s="34">
        <v>91</v>
      </c>
    </row>
    <row r="1309" spans="1:6" x14ac:dyDescent="0.3">
      <c r="A1309" s="35" t="s">
        <v>41</v>
      </c>
      <c r="B1309" s="36" t="s">
        <v>25</v>
      </c>
      <c r="C1309" s="36" t="s">
        <v>87</v>
      </c>
      <c r="D1309" s="37">
        <v>44993</v>
      </c>
      <c r="E1309" s="38">
        <v>1452.61</v>
      </c>
      <c r="F1309" s="39">
        <v>142</v>
      </c>
    </row>
    <row r="1310" spans="1:6" x14ac:dyDescent="0.3">
      <c r="A1310" s="30" t="s">
        <v>41</v>
      </c>
      <c r="B1310" s="31" t="s">
        <v>15</v>
      </c>
      <c r="C1310" s="31" t="s">
        <v>46</v>
      </c>
      <c r="D1310" s="31" t="s">
        <v>203</v>
      </c>
      <c r="E1310" s="33">
        <v>793.17</v>
      </c>
      <c r="F1310" s="34">
        <v>400</v>
      </c>
    </row>
    <row r="1311" spans="1:6" x14ac:dyDescent="0.3">
      <c r="A1311" s="35" t="s">
        <v>9</v>
      </c>
      <c r="B1311" s="36" t="s">
        <v>7</v>
      </c>
      <c r="C1311" s="36" t="s">
        <v>73</v>
      </c>
      <c r="D1311" s="36" t="s">
        <v>211</v>
      </c>
      <c r="E1311" s="38">
        <v>7152.22</v>
      </c>
      <c r="F1311" s="39">
        <v>83</v>
      </c>
    </row>
    <row r="1312" spans="1:6" x14ac:dyDescent="0.3">
      <c r="A1312" s="30" t="s">
        <v>14</v>
      </c>
      <c r="B1312" s="31" t="s">
        <v>15</v>
      </c>
      <c r="C1312" s="31" t="s">
        <v>33</v>
      </c>
      <c r="D1312" s="32">
        <v>45023</v>
      </c>
      <c r="E1312" s="33">
        <v>3364.44</v>
      </c>
      <c r="F1312" s="34">
        <v>126</v>
      </c>
    </row>
    <row r="1313" spans="1:6" x14ac:dyDescent="0.3">
      <c r="A1313" s="35" t="s">
        <v>6</v>
      </c>
      <c r="B1313" s="36" t="s">
        <v>10</v>
      </c>
      <c r="C1313" s="36" t="s">
        <v>26</v>
      </c>
      <c r="D1313" s="37">
        <v>45053</v>
      </c>
      <c r="E1313" s="38">
        <v>3470.6</v>
      </c>
      <c r="F1313" s="39">
        <v>129</v>
      </c>
    </row>
    <row r="1314" spans="1:6" x14ac:dyDescent="0.3">
      <c r="A1314" s="30" t="s">
        <v>77</v>
      </c>
      <c r="B1314" s="31" t="s">
        <v>32</v>
      </c>
      <c r="C1314" s="31" t="s">
        <v>23</v>
      </c>
      <c r="D1314" s="31" t="s">
        <v>234</v>
      </c>
      <c r="E1314" s="33">
        <v>4676.32</v>
      </c>
      <c r="F1314" s="34">
        <v>440</v>
      </c>
    </row>
    <row r="1315" spans="1:6" x14ac:dyDescent="0.3">
      <c r="A1315" s="35" t="s">
        <v>31</v>
      </c>
      <c r="B1315" s="36" t="s">
        <v>7</v>
      </c>
      <c r="C1315" s="36" t="s">
        <v>73</v>
      </c>
      <c r="D1315" s="36" t="s">
        <v>186</v>
      </c>
      <c r="E1315" s="38">
        <v>6323.45</v>
      </c>
      <c r="F1315" s="39">
        <v>70</v>
      </c>
    </row>
    <row r="1316" spans="1:6" x14ac:dyDescent="0.3">
      <c r="A1316" s="30" t="s">
        <v>83</v>
      </c>
      <c r="B1316" s="31" t="s">
        <v>15</v>
      </c>
      <c r="C1316" s="31" t="s">
        <v>100</v>
      </c>
      <c r="D1316" s="32">
        <v>45261</v>
      </c>
      <c r="E1316" s="33">
        <v>3252.7</v>
      </c>
      <c r="F1316" s="34">
        <v>119</v>
      </c>
    </row>
    <row r="1317" spans="1:6" x14ac:dyDescent="0.3">
      <c r="A1317" s="35" t="s">
        <v>40</v>
      </c>
      <c r="B1317" s="36" t="s">
        <v>7</v>
      </c>
      <c r="C1317" s="36" t="s">
        <v>87</v>
      </c>
      <c r="D1317" s="37">
        <v>45205</v>
      </c>
      <c r="E1317" s="38">
        <v>254.16</v>
      </c>
      <c r="F1317" s="39">
        <v>161</v>
      </c>
    </row>
    <row r="1318" spans="1:6" x14ac:dyDescent="0.3">
      <c r="A1318" s="30" t="s">
        <v>55</v>
      </c>
      <c r="B1318" s="31" t="s">
        <v>15</v>
      </c>
      <c r="C1318" s="31" t="s">
        <v>13</v>
      </c>
      <c r="D1318" s="31" t="s">
        <v>235</v>
      </c>
      <c r="E1318" s="33">
        <v>6127.37</v>
      </c>
      <c r="F1318" s="34">
        <v>299</v>
      </c>
    </row>
    <row r="1319" spans="1:6" x14ac:dyDescent="0.3">
      <c r="A1319" s="35" t="s">
        <v>29</v>
      </c>
      <c r="B1319" s="36" t="s">
        <v>10</v>
      </c>
      <c r="C1319" s="36" t="s">
        <v>65</v>
      </c>
      <c r="D1319" s="36" t="s">
        <v>232</v>
      </c>
      <c r="E1319" s="38">
        <v>3791.66</v>
      </c>
      <c r="F1319" s="39">
        <v>100</v>
      </c>
    </row>
    <row r="1320" spans="1:6" x14ac:dyDescent="0.3">
      <c r="A1320" s="30" t="s">
        <v>53</v>
      </c>
      <c r="B1320" s="31" t="s">
        <v>7</v>
      </c>
      <c r="C1320" s="31" t="s">
        <v>90</v>
      </c>
      <c r="D1320" s="31" t="s">
        <v>184</v>
      </c>
      <c r="E1320" s="33">
        <v>17059.689999999999</v>
      </c>
      <c r="F1320" s="34">
        <v>456</v>
      </c>
    </row>
    <row r="1321" spans="1:6" x14ac:dyDescent="0.3">
      <c r="A1321" s="35" t="s">
        <v>45</v>
      </c>
      <c r="B1321" s="36" t="s">
        <v>10</v>
      </c>
      <c r="C1321" s="36" t="s">
        <v>33</v>
      </c>
      <c r="D1321" s="36" t="s">
        <v>172</v>
      </c>
      <c r="E1321" s="38">
        <v>4154.4399999999996</v>
      </c>
      <c r="F1321" s="39">
        <v>18</v>
      </c>
    </row>
    <row r="1322" spans="1:6" x14ac:dyDescent="0.3">
      <c r="A1322" s="30" t="s">
        <v>6</v>
      </c>
      <c r="B1322" s="31" t="s">
        <v>7</v>
      </c>
      <c r="C1322" s="31" t="s">
        <v>100</v>
      </c>
      <c r="D1322" s="31" t="s">
        <v>195</v>
      </c>
      <c r="E1322" s="33">
        <v>6168.51</v>
      </c>
      <c r="F1322" s="34">
        <v>280</v>
      </c>
    </row>
    <row r="1323" spans="1:6" x14ac:dyDescent="0.3">
      <c r="A1323" s="35" t="s">
        <v>53</v>
      </c>
      <c r="B1323" s="36" t="s">
        <v>15</v>
      </c>
      <c r="C1323" s="36" t="s">
        <v>60</v>
      </c>
      <c r="D1323" s="36" t="s">
        <v>234</v>
      </c>
      <c r="E1323" s="38">
        <v>7984.45</v>
      </c>
      <c r="F1323" s="39">
        <v>95</v>
      </c>
    </row>
    <row r="1324" spans="1:6" x14ac:dyDescent="0.3">
      <c r="A1324" s="30" t="s">
        <v>77</v>
      </c>
      <c r="B1324" s="31" t="s">
        <v>32</v>
      </c>
      <c r="C1324" s="31" t="s">
        <v>36</v>
      </c>
      <c r="D1324" s="31" t="s">
        <v>236</v>
      </c>
      <c r="E1324" s="33">
        <v>9108.33</v>
      </c>
      <c r="F1324" s="34">
        <v>213</v>
      </c>
    </row>
    <row r="1325" spans="1:6" x14ac:dyDescent="0.3">
      <c r="A1325" s="35" t="s">
        <v>28</v>
      </c>
      <c r="B1325" s="36" t="s">
        <v>10</v>
      </c>
      <c r="C1325" s="36" t="s">
        <v>36</v>
      </c>
      <c r="D1325" s="36" t="s">
        <v>219</v>
      </c>
      <c r="E1325" s="38">
        <v>1511.51</v>
      </c>
      <c r="F1325" s="39">
        <v>58</v>
      </c>
    </row>
    <row r="1326" spans="1:6" x14ac:dyDescent="0.3">
      <c r="A1326" s="30" t="s">
        <v>34</v>
      </c>
      <c r="B1326" s="31" t="s">
        <v>25</v>
      </c>
      <c r="C1326" s="31" t="s">
        <v>59</v>
      </c>
      <c r="D1326" s="31" t="s">
        <v>207</v>
      </c>
      <c r="E1326" s="33">
        <v>3364.28</v>
      </c>
      <c r="F1326" s="34">
        <v>265</v>
      </c>
    </row>
    <row r="1327" spans="1:6" x14ac:dyDescent="0.3">
      <c r="A1327" s="35" t="s">
        <v>53</v>
      </c>
      <c r="B1327" s="36" t="s">
        <v>32</v>
      </c>
      <c r="C1327" s="36" t="s">
        <v>46</v>
      </c>
      <c r="D1327" s="37">
        <v>44960</v>
      </c>
      <c r="E1327" s="38">
        <v>934.49</v>
      </c>
      <c r="F1327" s="39">
        <v>54</v>
      </c>
    </row>
    <row r="1328" spans="1:6" x14ac:dyDescent="0.3">
      <c r="A1328" s="30" t="s">
        <v>9</v>
      </c>
      <c r="B1328" s="31" t="s">
        <v>15</v>
      </c>
      <c r="C1328" s="31" t="s">
        <v>46</v>
      </c>
      <c r="D1328" s="31" t="s">
        <v>196</v>
      </c>
      <c r="E1328" s="33">
        <v>8895.7000000000007</v>
      </c>
      <c r="F1328" s="34">
        <v>91</v>
      </c>
    </row>
    <row r="1329" spans="1:6" x14ac:dyDescent="0.3">
      <c r="A1329" s="35" t="s">
        <v>41</v>
      </c>
      <c r="B1329" s="36" t="s">
        <v>35</v>
      </c>
      <c r="C1329" s="36" t="s">
        <v>59</v>
      </c>
      <c r="D1329" s="36" t="s">
        <v>189</v>
      </c>
      <c r="E1329" s="38">
        <v>9957.2000000000007</v>
      </c>
      <c r="F1329" s="39">
        <v>185</v>
      </c>
    </row>
    <row r="1330" spans="1:6" x14ac:dyDescent="0.3">
      <c r="A1330" s="30" t="s">
        <v>79</v>
      </c>
      <c r="B1330" s="31" t="s">
        <v>15</v>
      </c>
      <c r="C1330" s="31" t="s">
        <v>26</v>
      </c>
      <c r="D1330" s="32">
        <v>45265</v>
      </c>
      <c r="E1330" s="33">
        <v>3359.18</v>
      </c>
      <c r="F1330" s="34">
        <v>256</v>
      </c>
    </row>
    <row r="1331" spans="1:6" x14ac:dyDescent="0.3">
      <c r="A1331" s="35" t="s">
        <v>34</v>
      </c>
      <c r="B1331" s="36" t="s">
        <v>25</v>
      </c>
      <c r="C1331" s="36" t="s">
        <v>42</v>
      </c>
      <c r="D1331" s="37">
        <v>44933</v>
      </c>
      <c r="E1331" s="38">
        <v>5098.29</v>
      </c>
      <c r="F1331" s="39">
        <v>276</v>
      </c>
    </row>
    <row r="1332" spans="1:6" x14ac:dyDescent="0.3">
      <c r="A1332" s="30" t="s">
        <v>53</v>
      </c>
      <c r="B1332" s="31" t="s">
        <v>32</v>
      </c>
      <c r="C1332" s="31" t="s">
        <v>11</v>
      </c>
      <c r="D1332" s="32">
        <v>45146</v>
      </c>
      <c r="E1332" s="33">
        <v>398.28</v>
      </c>
      <c r="F1332" s="34">
        <v>52</v>
      </c>
    </row>
    <row r="1333" spans="1:6" x14ac:dyDescent="0.3">
      <c r="A1333" s="35" t="s">
        <v>77</v>
      </c>
      <c r="B1333" s="36" t="s">
        <v>15</v>
      </c>
      <c r="C1333" s="36" t="s">
        <v>26</v>
      </c>
      <c r="D1333" s="36" t="s">
        <v>216</v>
      </c>
      <c r="E1333" s="38">
        <v>7473.14</v>
      </c>
      <c r="F1333" s="39">
        <v>6</v>
      </c>
    </row>
    <row r="1334" spans="1:6" x14ac:dyDescent="0.3">
      <c r="A1334" s="30" t="s">
        <v>64</v>
      </c>
      <c r="B1334" s="31" t="s">
        <v>7</v>
      </c>
      <c r="C1334" s="31" t="s">
        <v>38</v>
      </c>
      <c r="D1334" s="31" t="s">
        <v>190</v>
      </c>
      <c r="E1334" s="33">
        <v>3638.66</v>
      </c>
      <c r="F1334" s="34">
        <v>59</v>
      </c>
    </row>
    <row r="1335" spans="1:6" x14ac:dyDescent="0.3">
      <c r="A1335" s="35" t="s">
        <v>71</v>
      </c>
      <c r="B1335" s="36" t="s">
        <v>10</v>
      </c>
      <c r="C1335" s="36" t="s">
        <v>13</v>
      </c>
      <c r="D1335" s="36" t="s">
        <v>189</v>
      </c>
      <c r="E1335" s="38">
        <v>12507.08</v>
      </c>
      <c r="F1335" s="39">
        <v>284</v>
      </c>
    </row>
    <row r="1336" spans="1:6" x14ac:dyDescent="0.3">
      <c r="A1336" s="30" t="s">
        <v>48</v>
      </c>
      <c r="B1336" s="31" t="s">
        <v>10</v>
      </c>
      <c r="C1336" s="31" t="s">
        <v>100</v>
      </c>
      <c r="D1336" s="32">
        <v>45053</v>
      </c>
      <c r="E1336" s="33">
        <v>2393.79</v>
      </c>
      <c r="F1336" s="34">
        <v>48</v>
      </c>
    </row>
    <row r="1337" spans="1:6" x14ac:dyDescent="0.3">
      <c r="A1337" s="35" t="s">
        <v>34</v>
      </c>
      <c r="B1337" s="36" t="s">
        <v>32</v>
      </c>
      <c r="C1337" s="36" t="s">
        <v>60</v>
      </c>
      <c r="D1337" s="37">
        <v>45023</v>
      </c>
      <c r="E1337" s="38">
        <v>6136.99</v>
      </c>
      <c r="F1337" s="39">
        <v>94</v>
      </c>
    </row>
    <row r="1338" spans="1:6" x14ac:dyDescent="0.3">
      <c r="A1338" s="30" t="s">
        <v>79</v>
      </c>
      <c r="B1338" s="31" t="s">
        <v>7</v>
      </c>
      <c r="C1338" s="31" t="s">
        <v>100</v>
      </c>
      <c r="D1338" s="31" t="s">
        <v>196</v>
      </c>
      <c r="E1338" s="33">
        <v>1264.43</v>
      </c>
      <c r="F1338" s="34">
        <v>232</v>
      </c>
    </row>
    <row r="1339" spans="1:6" x14ac:dyDescent="0.3">
      <c r="A1339" s="35" t="s">
        <v>22</v>
      </c>
      <c r="B1339" s="36" t="s">
        <v>15</v>
      </c>
      <c r="C1339" s="36" t="s">
        <v>65</v>
      </c>
      <c r="D1339" s="36" t="s">
        <v>164</v>
      </c>
      <c r="E1339" s="38">
        <v>4101.26</v>
      </c>
      <c r="F1339" s="39">
        <v>425</v>
      </c>
    </row>
    <row r="1340" spans="1:6" x14ac:dyDescent="0.3">
      <c r="A1340" s="30" t="s">
        <v>55</v>
      </c>
      <c r="B1340" s="31" t="s">
        <v>25</v>
      </c>
      <c r="C1340" s="31" t="s">
        <v>50</v>
      </c>
      <c r="D1340" s="32">
        <v>44933</v>
      </c>
      <c r="E1340" s="33">
        <v>8106.88</v>
      </c>
      <c r="F1340" s="34">
        <v>40</v>
      </c>
    </row>
    <row r="1341" spans="1:6" x14ac:dyDescent="0.3">
      <c r="A1341" s="35" t="s">
        <v>12</v>
      </c>
      <c r="B1341" s="36" t="s">
        <v>32</v>
      </c>
      <c r="C1341" s="36" t="s">
        <v>26</v>
      </c>
      <c r="D1341" s="36" t="s">
        <v>224</v>
      </c>
      <c r="E1341" s="38">
        <v>2456.1</v>
      </c>
      <c r="F1341" s="39">
        <v>58</v>
      </c>
    </row>
    <row r="1342" spans="1:6" x14ac:dyDescent="0.3">
      <c r="A1342" s="30" t="s">
        <v>41</v>
      </c>
      <c r="B1342" s="31" t="s">
        <v>7</v>
      </c>
      <c r="C1342" s="31" t="s">
        <v>18</v>
      </c>
      <c r="D1342" s="32">
        <v>45021</v>
      </c>
      <c r="E1342" s="33">
        <v>4726.6000000000004</v>
      </c>
      <c r="F1342" s="34">
        <v>75</v>
      </c>
    </row>
    <row r="1343" spans="1:6" x14ac:dyDescent="0.3">
      <c r="A1343" s="35" t="s">
        <v>41</v>
      </c>
      <c r="B1343" s="36" t="s">
        <v>15</v>
      </c>
      <c r="C1343" s="36" t="s">
        <v>87</v>
      </c>
      <c r="D1343" s="37">
        <v>45024</v>
      </c>
      <c r="E1343" s="38">
        <v>3482.73</v>
      </c>
      <c r="F1343" s="39">
        <v>108</v>
      </c>
    </row>
    <row r="1344" spans="1:6" x14ac:dyDescent="0.3">
      <c r="A1344" s="30" t="s">
        <v>41</v>
      </c>
      <c r="B1344" s="31" t="s">
        <v>10</v>
      </c>
      <c r="C1344" s="31" t="s">
        <v>100</v>
      </c>
      <c r="D1344" s="32">
        <v>44932</v>
      </c>
      <c r="E1344" s="33">
        <v>467.19</v>
      </c>
      <c r="F1344" s="34">
        <v>159</v>
      </c>
    </row>
    <row r="1345" spans="1:6" x14ac:dyDescent="0.3">
      <c r="A1345" s="35" t="s">
        <v>6</v>
      </c>
      <c r="B1345" s="36" t="s">
        <v>7</v>
      </c>
      <c r="C1345" s="36" t="s">
        <v>75</v>
      </c>
      <c r="D1345" s="36" t="s">
        <v>237</v>
      </c>
      <c r="E1345" s="38">
        <v>4875.38</v>
      </c>
      <c r="F1345" s="39">
        <v>185</v>
      </c>
    </row>
    <row r="1346" spans="1:6" x14ac:dyDescent="0.3">
      <c r="A1346" s="30" t="s">
        <v>22</v>
      </c>
      <c r="B1346" s="31" t="s">
        <v>7</v>
      </c>
      <c r="C1346" s="31" t="s">
        <v>20</v>
      </c>
      <c r="D1346" s="40">
        <v>45476</v>
      </c>
      <c r="E1346" s="33">
        <v>8.16</v>
      </c>
      <c r="F1346" s="34">
        <v>84</v>
      </c>
    </row>
    <row r="1347" spans="1:6" x14ac:dyDescent="0.3">
      <c r="A1347" s="35" t="s">
        <v>83</v>
      </c>
      <c r="B1347" s="36" t="s">
        <v>32</v>
      </c>
      <c r="C1347" s="36" t="s">
        <v>33</v>
      </c>
      <c r="D1347" s="37">
        <v>45205</v>
      </c>
      <c r="E1347" s="38">
        <v>1835.22</v>
      </c>
      <c r="F1347" s="39">
        <v>73</v>
      </c>
    </row>
    <row r="1348" spans="1:6" x14ac:dyDescent="0.3">
      <c r="A1348" s="30" t="s">
        <v>22</v>
      </c>
      <c r="B1348" s="31" t="s">
        <v>7</v>
      </c>
      <c r="C1348" s="31" t="s">
        <v>60</v>
      </c>
      <c r="D1348" s="31" t="s">
        <v>172</v>
      </c>
      <c r="E1348" s="33">
        <v>7304.74</v>
      </c>
      <c r="F1348" s="34">
        <v>49</v>
      </c>
    </row>
    <row r="1349" spans="1:6" x14ac:dyDescent="0.3">
      <c r="A1349" s="35" t="s">
        <v>40</v>
      </c>
      <c r="B1349" s="36" t="s">
        <v>15</v>
      </c>
      <c r="C1349" s="36" t="s">
        <v>18</v>
      </c>
      <c r="D1349" s="37">
        <v>44986</v>
      </c>
      <c r="E1349" s="38">
        <v>3967.85</v>
      </c>
      <c r="F1349" s="39">
        <v>163</v>
      </c>
    </row>
    <row r="1350" spans="1:6" x14ac:dyDescent="0.3">
      <c r="A1350" s="30" t="s">
        <v>40</v>
      </c>
      <c r="B1350" s="31" t="s">
        <v>10</v>
      </c>
      <c r="C1350" s="31" t="s">
        <v>23</v>
      </c>
      <c r="D1350" s="32">
        <v>45237</v>
      </c>
      <c r="E1350" s="33">
        <v>2800.67</v>
      </c>
      <c r="F1350" s="34">
        <v>190</v>
      </c>
    </row>
    <row r="1351" spans="1:6" x14ac:dyDescent="0.3">
      <c r="A1351" s="35" t="s">
        <v>83</v>
      </c>
      <c r="B1351" s="36" t="s">
        <v>25</v>
      </c>
      <c r="C1351" s="36" t="s">
        <v>46</v>
      </c>
      <c r="D1351" s="36" t="s">
        <v>238</v>
      </c>
      <c r="E1351" s="38">
        <v>4474.5200000000004</v>
      </c>
      <c r="F1351" s="39">
        <v>120</v>
      </c>
    </row>
    <row r="1352" spans="1:6" x14ac:dyDescent="0.3">
      <c r="A1352" s="30" t="s">
        <v>29</v>
      </c>
      <c r="B1352" s="31" t="s">
        <v>32</v>
      </c>
      <c r="C1352" s="31" t="s">
        <v>57</v>
      </c>
      <c r="D1352" s="31" t="s">
        <v>218</v>
      </c>
      <c r="E1352" s="33">
        <v>2737.03</v>
      </c>
      <c r="F1352" s="34">
        <v>63</v>
      </c>
    </row>
    <row r="1353" spans="1:6" x14ac:dyDescent="0.3">
      <c r="A1353" s="35" t="s">
        <v>83</v>
      </c>
      <c r="B1353" s="36" t="s">
        <v>10</v>
      </c>
      <c r="C1353" s="36" t="s">
        <v>42</v>
      </c>
      <c r="D1353" s="37">
        <v>45141</v>
      </c>
      <c r="E1353" s="38">
        <v>16717.259999999998</v>
      </c>
      <c r="F1353" s="39">
        <v>102</v>
      </c>
    </row>
    <row r="1354" spans="1:6" x14ac:dyDescent="0.3">
      <c r="A1354" s="30" t="s">
        <v>34</v>
      </c>
      <c r="B1354" s="31" t="s">
        <v>15</v>
      </c>
      <c r="C1354" s="31" t="s">
        <v>33</v>
      </c>
      <c r="D1354" s="32">
        <v>45110</v>
      </c>
      <c r="E1354" s="33">
        <v>16112.73</v>
      </c>
      <c r="F1354" s="34">
        <v>282</v>
      </c>
    </row>
    <row r="1355" spans="1:6" x14ac:dyDescent="0.3">
      <c r="A1355" s="35" t="s">
        <v>53</v>
      </c>
      <c r="B1355" s="36" t="s">
        <v>10</v>
      </c>
      <c r="C1355" s="36" t="s">
        <v>100</v>
      </c>
      <c r="D1355" s="37">
        <v>45174</v>
      </c>
      <c r="E1355" s="38">
        <v>6898</v>
      </c>
      <c r="F1355" s="39">
        <v>163</v>
      </c>
    </row>
    <row r="1356" spans="1:6" x14ac:dyDescent="0.3">
      <c r="A1356" s="30" t="s">
        <v>31</v>
      </c>
      <c r="B1356" s="31" t="s">
        <v>25</v>
      </c>
      <c r="C1356" s="31" t="s">
        <v>11</v>
      </c>
      <c r="D1356" s="31" t="s">
        <v>239</v>
      </c>
      <c r="E1356" s="33">
        <v>2151.04</v>
      </c>
      <c r="F1356" s="34">
        <v>170</v>
      </c>
    </row>
    <row r="1357" spans="1:6" x14ac:dyDescent="0.3">
      <c r="A1357" s="35" t="s">
        <v>77</v>
      </c>
      <c r="B1357" s="36" t="s">
        <v>7</v>
      </c>
      <c r="C1357" s="36" t="s">
        <v>90</v>
      </c>
      <c r="D1357" s="36" t="s">
        <v>184</v>
      </c>
      <c r="E1357" s="38">
        <v>172.51</v>
      </c>
      <c r="F1357" s="39">
        <v>152</v>
      </c>
    </row>
    <row r="1358" spans="1:6" x14ac:dyDescent="0.3">
      <c r="A1358" s="30" t="s">
        <v>12</v>
      </c>
      <c r="B1358" s="31" t="s">
        <v>15</v>
      </c>
      <c r="C1358" s="31" t="s">
        <v>38</v>
      </c>
      <c r="D1358" s="31" t="s">
        <v>232</v>
      </c>
      <c r="E1358" s="33">
        <v>2949.02</v>
      </c>
      <c r="F1358" s="34">
        <v>153</v>
      </c>
    </row>
    <row r="1359" spans="1:6" x14ac:dyDescent="0.3">
      <c r="A1359" s="35" t="s">
        <v>40</v>
      </c>
      <c r="B1359" s="36" t="s">
        <v>35</v>
      </c>
      <c r="C1359" s="36" t="s">
        <v>75</v>
      </c>
      <c r="D1359" s="36" t="s">
        <v>186</v>
      </c>
      <c r="E1359" s="38">
        <v>2790.72</v>
      </c>
      <c r="F1359" s="39">
        <v>435</v>
      </c>
    </row>
    <row r="1360" spans="1:6" x14ac:dyDescent="0.3">
      <c r="A1360" s="30" t="s">
        <v>83</v>
      </c>
      <c r="B1360" s="31" t="s">
        <v>32</v>
      </c>
      <c r="C1360" s="31" t="s">
        <v>100</v>
      </c>
      <c r="D1360" s="32">
        <v>45235</v>
      </c>
      <c r="E1360" s="33">
        <v>5054.42</v>
      </c>
      <c r="F1360" s="34">
        <v>127</v>
      </c>
    </row>
    <row r="1361" spans="1:6" x14ac:dyDescent="0.3">
      <c r="A1361" s="35" t="s">
        <v>77</v>
      </c>
      <c r="B1361" s="36" t="s">
        <v>10</v>
      </c>
      <c r="C1361" s="36" t="s">
        <v>42</v>
      </c>
      <c r="D1361" s="36" t="s">
        <v>169</v>
      </c>
      <c r="E1361" s="38">
        <v>5418.75</v>
      </c>
      <c r="F1361" s="39">
        <v>37</v>
      </c>
    </row>
    <row r="1362" spans="1:6" x14ac:dyDescent="0.3">
      <c r="A1362" s="30" t="s">
        <v>31</v>
      </c>
      <c r="B1362" s="31" t="s">
        <v>32</v>
      </c>
      <c r="C1362" s="31" t="s">
        <v>26</v>
      </c>
      <c r="D1362" s="31" t="s">
        <v>195</v>
      </c>
      <c r="E1362" s="33">
        <v>14604.67</v>
      </c>
      <c r="F1362" s="34">
        <v>128</v>
      </c>
    </row>
    <row r="1363" spans="1:6" x14ac:dyDescent="0.3">
      <c r="A1363" s="35" t="s">
        <v>58</v>
      </c>
      <c r="B1363" s="36" t="s">
        <v>25</v>
      </c>
      <c r="C1363" s="36" t="s">
        <v>8</v>
      </c>
      <c r="D1363" s="37">
        <v>45050</v>
      </c>
      <c r="E1363" s="38">
        <v>6668.93</v>
      </c>
      <c r="F1363" s="39">
        <v>419</v>
      </c>
    </row>
    <row r="1364" spans="1:6" x14ac:dyDescent="0.3">
      <c r="A1364" s="30" t="s">
        <v>40</v>
      </c>
      <c r="B1364" s="31" t="s">
        <v>25</v>
      </c>
      <c r="C1364" s="31" t="s">
        <v>18</v>
      </c>
      <c r="D1364" s="31" t="s">
        <v>230</v>
      </c>
      <c r="E1364" s="33">
        <v>9689.7000000000007</v>
      </c>
      <c r="F1364" s="34">
        <v>58</v>
      </c>
    </row>
    <row r="1365" spans="1:6" x14ac:dyDescent="0.3">
      <c r="A1365" s="35" t="s">
        <v>28</v>
      </c>
      <c r="B1365" s="36" t="s">
        <v>35</v>
      </c>
      <c r="C1365" s="36" t="s">
        <v>65</v>
      </c>
      <c r="D1365" s="36" t="s">
        <v>224</v>
      </c>
      <c r="E1365" s="38">
        <v>5026.8100000000004</v>
      </c>
      <c r="F1365" s="39">
        <v>123</v>
      </c>
    </row>
    <row r="1366" spans="1:6" x14ac:dyDescent="0.3">
      <c r="A1366" s="30" t="s">
        <v>41</v>
      </c>
      <c r="B1366" s="31" t="s">
        <v>15</v>
      </c>
      <c r="C1366" s="31" t="s">
        <v>59</v>
      </c>
      <c r="D1366" s="31" t="s">
        <v>172</v>
      </c>
      <c r="E1366" s="33">
        <v>2379.0100000000002</v>
      </c>
      <c r="F1366" s="34">
        <v>178</v>
      </c>
    </row>
    <row r="1367" spans="1:6" x14ac:dyDescent="0.3">
      <c r="A1367" s="35" t="s">
        <v>79</v>
      </c>
      <c r="B1367" s="36" t="s">
        <v>15</v>
      </c>
      <c r="C1367" s="36" t="s">
        <v>36</v>
      </c>
      <c r="D1367" s="36" t="s">
        <v>169</v>
      </c>
      <c r="E1367" s="38">
        <v>7770.55</v>
      </c>
      <c r="F1367" s="39">
        <v>3</v>
      </c>
    </row>
    <row r="1368" spans="1:6" x14ac:dyDescent="0.3">
      <c r="A1368" s="30" t="s">
        <v>31</v>
      </c>
      <c r="B1368" s="31" t="s">
        <v>7</v>
      </c>
      <c r="C1368" s="31" t="s">
        <v>59</v>
      </c>
      <c r="D1368" s="32">
        <v>45053</v>
      </c>
      <c r="E1368" s="33">
        <v>1837.47</v>
      </c>
      <c r="F1368" s="34">
        <v>77</v>
      </c>
    </row>
    <row r="1369" spans="1:6" x14ac:dyDescent="0.3">
      <c r="A1369" s="35" t="s">
        <v>41</v>
      </c>
      <c r="B1369" s="36" t="s">
        <v>35</v>
      </c>
      <c r="C1369" s="36" t="s">
        <v>87</v>
      </c>
      <c r="D1369" s="37">
        <v>45231</v>
      </c>
      <c r="E1369" s="38">
        <v>14625.75</v>
      </c>
      <c r="F1369" s="39">
        <v>90</v>
      </c>
    </row>
    <row r="1370" spans="1:6" x14ac:dyDescent="0.3">
      <c r="A1370" s="30" t="s">
        <v>70</v>
      </c>
      <c r="B1370" s="31" t="s">
        <v>32</v>
      </c>
      <c r="C1370" s="31" t="s">
        <v>59</v>
      </c>
      <c r="D1370" s="32">
        <v>45110</v>
      </c>
      <c r="E1370" s="33">
        <v>10305.4</v>
      </c>
      <c r="F1370" s="34">
        <v>22</v>
      </c>
    </row>
    <row r="1371" spans="1:6" x14ac:dyDescent="0.3">
      <c r="A1371" s="35" t="s">
        <v>55</v>
      </c>
      <c r="B1371" s="36" t="s">
        <v>35</v>
      </c>
      <c r="C1371" s="36" t="s">
        <v>26</v>
      </c>
      <c r="D1371" s="37">
        <v>45019</v>
      </c>
      <c r="E1371" s="38">
        <v>8798.99</v>
      </c>
      <c r="F1371" s="39">
        <v>99</v>
      </c>
    </row>
    <row r="1372" spans="1:6" x14ac:dyDescent="0.3">
      <c r="A1372" s="30" t="s">
        <v>37</v>
      </c>
      <c r="B1372" s="31" t="s">
        <v>35</v>
      </c>
      <c r="C1372" s="31" t="s">
        <v>42</v>
      </c>
      <c r="D1372" s="31" t="s">
        <v>189</v>
      </c>
      <c r="E1372" s="33">
        <v>2466.59</v>
      </c>
      <c r="F1372" s="34">
        <v>309</v>
      </c>
    </row>
    <row r="1373" spans="1:6" x14ac:dyDescent="0.3">
      <c r="A1373" s="35" t="s">
        <v>55</v>
      </c>
      <c r="B1373" s="36" t="s">
        <v>7</v>
      </c>
      <c r="C1373" s="36" t="s">
        <v>13</v>
      </c>
      <c r="D1373" s="37">
        <v>45235</v>
      </c>
      <c r="E1373" s="38">
        <v>6564.2</v>
      </c>
      <c r="F1373" s="39">
        <v>92</v>
      </c>
    </row>
    <row r="1374" spans="1:6" x14ac:dyDescent="0.3">
      <c r="A1374" s="30" t="s">
        <v>37</v>
      </c>
      <c r="B1374" s="31" t="s">
        <v>32</v>
      </c>
      <c r="C1374" s="31" t="s">
        <v>46</v>
      </c>
      <c r="D1374" s="31" t="s">
        <v>199</v>
      </c>
      <c r="E1374" s="33">
        <v>4764.5600000000004</v>
      </c>
      <c r="F1374" s="34">
        <v>7</v>
      </c>
    </row>
    <row r="1375" spans="1:6" x14ac:dyDescent="0.3">
      <c r="A1375" s="35" t="s">
        <v>37</v>
      </c>
      <c r="B1375" s="36" t="s">
        <v>10</v>
      </c>
      <c r="C1375" s="36" t="s">
        <v>33</v>
      </c>
      <c r="D1375" s="36" t="s">
        <v>172</v>
      </c>
      <c r="E1375" s="38">
        <v>3172.08</v>
      </c>
      <c r="F1375" s="39">
        <v>153</v>
      </c>
    </row>
    <row r="1376" spans="1:6" x14ac:dyDescent="0.3">
      <c r="A1376" s="30" t="s">
        <v>83</v>
      </c>
      <c r="B1376" s="31" t="s">
        <v>10</v>
      </c>
      <c r="C1376" s="31" t="s">
        <v>18</v>
      </c>
      <c r="D1376" s="32">
        <v>44993</v>
      </c>
      <c r="E1376" s="33">
        <v>8062</v>
      </c>
      <c r="F1376" s="34">
        <v>20</v>
      </c>
    </row>
    <row r="1377" spans="1:6" x14ac:dyDescent="0.3">
      <c r="A1377" s="35" t="s">
        <v>64</v>
      </c>
      <c r="B1377" s="36" t="s">
        <v>25</v>
      </c>
      <c r="C1377" s="36" t="s">
        <v>8</v>
      </c>
      <c r="D1377" s="36" t="s">
        <v>240</v>
      </c>
      <c r="E1377" s="38">
        <v>12382.41</v>
      </c>
      <c r="F1377" s="39">
        <v>245</v>
      </c>
    </row>
    <row r="1378" spans="1:6" x14ac:dyDescent="0.3">
      <c r="A1378" s="30" t="s">
        <v>64</v>
      </c>
      <c r="B1378" s="31" t="s">
        <v>15</v>
      </c>
      <c r="C1378" s="31" t="s">
        <v>57</v>
      </c>
      <c r="D1378" s="31" t="s">
        <v>177</v>
      </c>
      <c r="E1378" s="33">
        <v>413.6</v>
      </c>
      <c r="F1378" s="34">
        <v>111</v>
      </c>
    </row>
    <row r="1379" spans="1:6" x14ac:dyDescent="0.3">
      <c r="A1379" s="35" t="s">
        <v>58</v>
      </c>
      <c r="B1379" s="36" t="s">
        <v>7</v>
      </c>
      <c r="C1379" s="36" t="s">
        <v>13</v>
      </c>
      <c r="D1379" s="37">
        <v>45109</v>
      </c>
      <c r="E1379" s="38">
        <v>10186.18</v>
      </c>
      <c r="F1379" s="39">
        <v>154</v>
      </c>
    </row>
    <row r="1380" spans="1:6" x14ac:dyDescent="0.3">
      <c r="A1380" s="30" t="s">
        <v>37</v>
      </c>
      <c r="B1380" s="31" t="s">
        <v>15</v>
      </c>
      <c r="C1380" s="31" t="s">
        <v>65</v>
      </c>
      <c r="D1380" s="32">
        <v>45145</v>
      </c>
      <c r="E1380" s="33">
        <v>7936.84</v>
      </c>
      <c r="F1380" s="34">
        <v>138</v>
      </c>
    </row>
    <row r="1381" spans="1:6" x14ac:dyDescent="0.3">
      <c r="A1381" s="35" t="s">
        <v>58</v>
      </c>
      <c r="B1381" s="36" t="s">
        <v>10</v>
      </c>
      <c r="C1381" s="36" t="s">
        <v>46</v>
      </c>
      <c r="D1381" s="36" t="s">
        <v>241</v>
      </c>
      <c r="E1381" s="38">
        <v>1712.72</v>
      </c>
      <c r="F1381" s="39">
        <v>93</v>
      </c>
    </row>
    <row r="1382" spans="1:6" x14ac:dyDescent="0.3">
      <c r="A1382" s="30" t="s">
        <v>83</v>
      </c>
      <c r="B1382" s="31" t="s">
        <v>7</v>
      </c>
      <c r="C1382" s="31" t="s">
        <v>8</v>
      </c>
      <c r="D1382" s="32">
        <v>45142</v>
      </c>
      <c r="E1382" s="33">
        <v>3088.98</v>
      </c>
      <c r="F1382" s="34">
        <v>226</v>
      </c>
    </row>
    <row r="1383" spans="1:6" x14ac:dyDescent="0.3">
      <c r="A1383" s="35" t="s">
        <v>53</v>
      </c>
      <c r="B1383" s="36" t="s">
        <v>15</v>
      </c>
      <c r="C1383" s="36" t="s">
        <v>26</v>
      </c>
      <c r="D1383" s="36" t="s">
        <v>240</v>
      </c>
      <c r="E1383" s="38">
        <v>14953.43</v>
      </c>
      <c r="F1383" s="39">
        <v>51</v>
      </c>
    </row>
    <row r="1384" spans="1:6" x14ac:dyDescent="0.3">
      <c r="A1384" s="30" t="s">
        <v>14</v>
      </c>
      <c r="B1384" s="31" t="s">
        <v>10</v>
      </c>
      <c r="C1384" s="31" t="s">
        <v>57</v>
      </c>
      <c r="D1384" s="32">
        <v>45021</v>
      </c>
      <c r="E1384" s="33">
        <v>3219.13</v>
      </c>
      <c r="F1384" s="34">
        <v>54</v>
      </c>
    </row>
    <row r="1385" spans="1:6" x14ac:dyDescent="0.3">
      <c r="A1385" s="35" t="s">
        <v>34</v>
      </c>
      <c r="B1385" s="36" t="s">
        <v>32</v>
      </c>
      <c r="C1385" s="36" t="s">
        <v>11</v>
      </c>
      <c r="D1385" s="37">
        <v>45235</v>
      </c>
      <c r="E1385" s="38">
        <v>2700.61</v>
      </c>
      <c r="F1385" s="39">
        <v>112</v>
      </c>
    </row>
    <row r="1386" spans="1:6" x14ac:dyDescent="0.3">
      <c r="A1386" s="30" t="s">
        <v>34</v>
      </c>
      <c r="B1386" s="31" t="s">
        <v>32</v>
      </c>
      <c r="C1386" s="31" t="s">
        <v>36</v>
      </c>
      <c r="D1386" s="31" t="s">
        <v>242</v>
      </c>
      <c r="E1386" s="33">
        <v>7219.96</v>
      </c>
      <c r="F1386" s="34">
        <v>53</v>
      </c>
    </row>
    <row r="1387" spans="1:6" x14ac:dyDescent="0.3">
      <c r="A1387" s="35" t="s">
        <v>58</v>
      </c>
      <c r="B1387" s="36" t="s">
        <v>35</v>
      </c>
      <c r="C1387" s="36" t="s">
        <v>50</v>
      </c>
      <c r="D1387" s="37">
        <v>45207</v>
      </c>
      <c r="E1387" s="38">
        <v>2634.13</v>
      </c>
      <c r="F1387" s="39">
        <v>234</v>
      </c>
    </row>
    <row r="1388" spans="1:6" x14ac:dyDescent="0.3">
      <c r="A1388" s="30" t="s">
        <v>58</v>
      </c>
      <c r="B1388" s="31" t="s">
        <v>32</v>
      </c>
      <c r="C1388" s="31" t="s">
        <v>57</v>
      </c>
      <c r="D1388" s="32">
        <v>45021</v>
      </c>
      <c r="E1388" s="33">
        <v>1630.95</v>
      </c>
      <c r="F1388" s="34">
        <v>321</v>
      </c>
    </row>
    <row r="1389" spans="1:6" x14ac:dyDescent="0.3">
      <c r="A1389" s="35" t="s">
        <v>70</v>
      </c>
      <c r="B1389" s="36" t="s">
        <v>32</v>
      </c>
      <c r="C1389" s="36" t="s">
        <v>20</v>
      </c>
      <c r="D1389" s="36" t="s">
        <v>201</v>
      </c>
      <c r="E1389" s="38">
        <v>8250.66</v>
      </c>
      <c r="F1389" s="39">
        <v>258</v>
      </c>
    </row>
    <row r="1390" spans="1:6" x14ac:dyDescent="0.3">
      <c r="A1390" s="30" t="s">
        <v>79</v>
      </c>
      <c r="B1390" s="31" t="s">
        <v>35</v>
      </c>
      <c r="C1390" s="31" t="s">
        <v>73</v>
      </c>
      <c r="D1390" s="32">
        <v>44993</v>
      </c>
      <c r="E1390" s="33">
        <v>4849.3</v>
      </c>
      <c r="F1390" s="34">
        <v>248</v>
      </c>
    </row>
    <row r="1391" spans="1:6" x14ac:dyDescent="0.3">
      <c r="A1391" s="35" t="s">
        <v>40</v>
      </c>
      <c r="B1391" s="36" t="s">
        <v>25</v>
      </c>
      <c r="C1391" s="36" t="s">
        <v>46</v>
      </c>
      <c r="D1391" s="36" t="s">
        <v>225</v>
      </c>
      <c r="E1391" s="38">
        <v>7940.49</v>
      </c>
      <c r="F1391" s="39">
        <v>328</v>
      </c>
    </row>
    <row r="1392" spans="1:6" x14ac:dyDescent="0.3">
      <c r="A1392" s="30" t="s">
        <v>77</v>
      </c>
      <c r="B1392" s="31" t="s">
        <v>15</v>
      </c>
      <c r="C1392" s="31" t="s">
        <v>75</v>
      </c>
      <c r="D1392" s="32">
        <v>45142</v>
      </c>
      <c r="E1392" s="33">
        <v>2106.9299999999998</v>
      </c>
      <c r="F1392" s="34">
        <v>69</v>
      </c>
    </row>
    <row r="1393" spans="1:6" x14ac:dyDescent="0.3">
      <c r="A1393" s="35" t="s">
        <v>70</v>
      </c>
      <c r="B1393" s="36" t="s">
        <v>7</v>
      </c>
      <c r="C1393" s="36" t="s">
        <v>33</v>
      </c>
      <c r="D1393" s="37">
        <v>44934</v>
      </c>
      <c r="E1393" s="38">
        <v>3911.85</v>
      </c>
      <c r="F1393" s="39">
        <v>3</v>
      </c>
    </row>
    <row r="1394" spans="1:6" x14ac:dyDescent="0.3">
      <c r="A1394" s="30" t="s">
        <v>58</v>
      </c>
      <c r="B1394" s="31" t="s">
        <v>35</v>
      </c>
      <c r="C1394" s="31" t="s">
        <v>36</v>
      </c>
      <c r="D1394" s="31" t="s">
        <v>234</v>
      </c>
      <c r="E1394" s="33">
        <v>483.04</v>
      </c>
      <c r="F1394" s="34">
        <v>45</v>
      </c>
    </row>
    <row r="1395" spans="1:6" x14ac:dyDescent="0.3">
      <c r="A1395" s="35" t="s">
        <v>37</v>
      </c>
      <c r="B1395" s="36" t="s">
        <v>10</v>
      </c>
      <c r="C1395" s="36" t="s">
        <v>8</v>
      </c>
      <c r="D1395" s="36" t="s">
        <v>189</v>
      </c>
      <c r="E1395" s="38">
        <v>11380.7</v>
      </c>
      <c r="F1395" s="39">
        <v>192</v>
      </c>
    </row>
    <row r="1396" spans="1:6" x14ac:dyDescent="0.3">
      <c r="A1396" s="30" t="s">
        <v>31</v>
      </c>
      <c r="B1396" s="31" t="s">
        <v>25</v>
      </c>
      <c r="C1396" s="31" t="s">
        <v>65</v>
      </c>
      <c r="D1396" s="31" t="s">
        <v>167</v>
      </c>
      <c r="E1396" s="33">
        <v>6372.68</v>
      </c>
      <c r="F1396" s="34">
        <v>131</v>
      </c>
    </row>
    <row r="1397" spans="1:6" x14ac:dyDescent="0.3">
      <c r="A1397" s="35" t="s">
        <v>34</v>
      </c>
      <c r="B1397" s="36" t="s">
        <v>15</v>
      </c>
      <c r="C1397" s="36" t="s">
        <v>11</v>
      </c>
      <c r="D1397" s="36" t="s">
        <v>197</v>
      </c>
      <c r="E1397" s="38">
        <v>2714.76</v>
      </c>
      <c r="F1397" s="39">
        <v>52</v>
      </c>
    </row>
    <row r="1398" spans="1:6" x14ac:dyDescent="0.3">
      <c r="A1398" s="30" t="s">
        <v>83</v>
      </c>
      <c r="B1398" s="31" t="s">
        <v>35</v>
      </c>
      <c r="C1398" s="31" t="s">
        <v>36</v>
      </c>
      <c r="D1398" s="32">
        <v>45200</v>
      </c>
      <c r="E1398" s="33">
        <v>2106.17</v>
      </c>
      <c r="F1398" s="34">
        <v>172</v>
      </c>
    </row>
    <row r="1399" spans="1:6" x14ac:dyDescent="0.3">
      <c r="A1399" s="35" t="s">
        <v>12</v>
      </c>
      <c r="B1399" s="36" t="s">
        <v>15</v>
      </c>
      <c r="C1399" s="36" t="s">
        <v>59</v>
      </c>
      <c r="D1399" s="37">
        <v>45235</v>
      </c>
      <c r="E1399" s="38">
        <v>5805.24</v>
      </c>
      <c r="F1399" s="39">
        <v>83</v>
      </c>
    </row>
    <row r="1400" spans="1:6" x14ac:dyDescent="0.3">
      <c r="A1400" s="30" t="s">
        <v>41</v>
      </c>
      <c r="B1400" s="31" t="s">
        <v>25</v>
      </c>
      <c r="C1400" s="31" t="s">
        <v>11</v>
      </c>
      <c r="D1400" s="31" t="s">
        <v>243</v>
      </c>
      <c r="E1400" s="33">
        <v>12205.52</v>
      </c>
      <c r="F1400" s="34">
        <v>23</v>
      </c>
    </row>
    <row r="1401" spans="1:6" x14ac:dyDescent="0.3">
      <c r="A1401" s="35" t="s">
        <v>55</v>
      </c>
      <c r="B1401" s="36" t="s">
        <v>32</v>
      </c>
      <c r="C1401" s="36" t="s">
        <v>90</v>
      </c>
      <c r="D1401" s="36" t="s">
        <v>244</v>
      </c>
      <c r="E1401" s="38">
        <v>6318.7</v>
      </c>
      <c r="F1401" s="39">
        <v>124</v>
      </c>
    </row>
    <row r="1402" spans="1:6" x14ac:dyDescent="0.3">
      <c r="A1402" s="30" t="s">
        <v>34</v>
      </c>
      <c r="B1402" s="31" t="s">
        <v>15</v>
      </c>
      <c r="C1402" s="31" t="s">
        <v>65</v>
      </c>
      <c r="D1402" s="32">
        <v>44934</v>
      </c>
      <c r="E1402" s="33">
        <v>8522.7999999999993</v>
      </c>
      <c r="F1402" s="34">
        <v>137</v>
      </c>
    </row>
    <row r="1403" spans="1:6" x14ac:dyDescent="0.3">
      <c r="A1403" s="35" t="s">
        <v>28</v>
      </c>
      <c r="B1403" s="36" t="s">
        <v>35</v>
      </c>
      <c r="C1403" s="36" t="s">
        <v>11</v>
      </c>
      <c r="D1403" s="36" t="s">
        <v>173</v>
      </c>
      <c r="E1403" s="38">
        <v>10315.879999999999</v>
      </c>
      <c r="F1403" s="39">
        <v>268</v>
      </c>
    </row>
    <row r="1404" spans="1:6" x14ac:dyDescent="0.3">
      <c r="A1404" s="30" t="s">
        <v>28</v>
      </c>
      <c r="B1404" s="31" t="s">
        <v>15</v>
      </c>
      <c r="C1404" s="31" t="s">
        <v>38</v>
      </c>
      <c r="D1404" s="31" t="s">
        <v>232</v>
      </c>
      <c r="E1404" s="33">
        <v>7262.12</v>
      </c>
      <c r="F1404" s="34">
        <v>158</v>
      </c>
    </row>
    <row r="1405" spans="1:6" x14ac:dyDescent="0.3">
      <c r="A1405" s="35" t="s">
        <v>79</v>
      </c>
      <c r="B1405" s="36" t="s">
        <v>32</v>
      </c>
      <c r="C1405" s="36" t="s">
        <v>33</v>
      </c>
      <c r="D1405" s="36" t="s">
        <v>185</v>
      </c>
      <c r="E1405" s="38">
        <v>1414.84</v>
      </c>
      <c r="F1405" s="39">
        <v>112</v>
      </c>
    </row>
    <row r="1406" spans="1:6" x14ac:dyDescent="0.3">
      <c r="A1406" s="30" t="s">
        <v>29</v>
      </c>
      <c r="B1406" s="31" t="s">
        <v>15</v>
      </c>
      <c r="C1406" s="31" t="s">
        <v>26</v>
      </c>
      <c r="D1406" s="31" t="s">
        <v>242</v>
      </c>
      <c r="E1406" s="33">
        <v>3067.9</v>
      </c>
      <c r="F1406" s="34">
        <v>42</v>
      </c>
    </row>
    <row r="1407" spans="1:6" x14ac:dyDescent="0.3">
      <c r="A1407" s="35" t="s">
        <v>58</v>
      </c>
      <c r="B1407" s="36" t="s">
        <v>10</v>
      </c>
      <c r="C1407" s="36" t="s">
        <v>20</v>
      </c>
      <c r="D1407" s="36" t="s">
        <v>245</v>
      </c>
      <c r="E1407" s="38">
        <v>7369.69</v>
      </c>
      <c r="F1407" s="39">
        <v>325</v>
      </c>
    </row>
    <row r="1408" spans="1:6" x14ac:dyDescent="0.3">
      <c r="A1408" s="30" t="s">
        <v>48</v>
      </c>
      <c r="B1408" s="31" t="s">
        <v>7</v>
      </c>
      <c r="C1408" s="31" t="s">
        <v>59</v>
      </c>
      <c r="D1408" s="32">
        <v>44928</v>
      </c>
      <c r="E1408" s="33">
        <v>1775.18</v>
      </c>
      <c r="F1408" s="34">
        <v>73</v>
      </c>
    </row>
    <row r="1409" spans="1:6" x14ac:dyDescent="0.3">
      <c r="A1409" s="35" t="s">
        <v>70</v>
      </c>
      <c r="B1409" s="36" t="s">
        <v>15</v>
      </c>
      <c r="C1409" s="36" t="s">
        <v>23</v>
      </c>
      <c r="D1409" s="37">
        <v>44960</v>
      </c>
      <c r="E1409" s="38">
        <v>7683.78</v>
      </c>
      <c r="F1409" s="39">
        <v>279</v>
      </c>
    </row>
    <row r="1410" spans="1:6" x14ac:dyDescent="0.3">
      <c r="A1410" s="30" t="s">
        <v>12</v>
      </c>
      <c r="B1410" s="31" t="s">
        <v>7</v>
      </c>
      <c r="C1410" s="31" t="s">
        <v>57</v>
      </c>
      <c r="D1410" s="32">
        <v>45081</v>
      </c>
      <c r="E1410" s="33">
        <v>1412.22</v>
      </c>
      <c r="F1410" s="34">
        <v>90</v>
      </c>
    </row>
    <row r="1411" spans="1:6" x14ac:dyDescent="0.3">
      <c r="A1411" s="35" t="s">
        <v>22</v>
      </c>
      <c r="B1411" s="36" t="s">
        <v>15</v>
      </c>
      <c r="C1411" s="36" t="s">
        <v>73</v>
      </c>
      <c r="D1411" s="36" t="s">
        <v>226</v>
      </c>
      <c r="E1411" s="38">
        <v>607.08000000000004</v>
      </c>
      <c r="F1411" s="39">
        <v>76</v>
      </c>
    </row>
    <row r="1412" spans="1:6" x14ac:dyDescent="0.3">
      <c r="A1412" s="30" t="s">
        <v>48</v>
      </c>
      <c r="B1412" s="31" t="s">
        <v>7</v>
      </c>
      <c r="C1412" s="31" t="s">
        <v>57</v>
      </c>
      <c r="D1412" s="31" t="s">
        <v>246</v>
      </c>
      <c r="E1412" s="33">
        <v>11688.75</v>
      </c>
      <c r="F1412" s="34">
        <v>136</v>
      </c>
    </row>
    <row r="1413" spans="1:6" x14ac:dyDescent="0.3">
      <c r="A1413" s="35" t="s">
        <v>31</v>
      </c>
      <c r="B1413" s="36" t="s">
        <v>35</v>
      </c>
      <c r="C1413" s="36" t="s">
        <v>26</v>
      </c>
      <c r="D1413" s="36" t="s">
        <v>187</v>
      </c>
      <c r="E1413" s="38">
        <v>10275.549999999999</v>
      </c>
      <c r="F1413" s="39">
        <v>301</v>
      </c>
    </row>
    <row r="1414" spans="1:6" x14ac:dyDescent="0.3">
      <c r="A1414" s="30" t="s">
        <v>48</v>
      </c>
      <c r="B1414" s="31" t="s">
        <v>32</v>
      </c>
      <c r="C1414" s="31" t="s">
        <v>50</v>
      </c>
      <c r="D1414" s="32">
        <v>45237</v>
      </c>
      <c r="E1414" s="33">
        <v>1788.1</v>
      </c>
      <c r="F1414" s="34">
        <v>271</v>
      </c>
    </row>
    <row r="1415" spans="1:6" x14ac:dyDescent="0.3">
      <c r="A1415" s="35" t="s">
        <v>28</v>
      </c>
      <c r="B1415" s="36" t="s">
        <v>10</v>
      </c>
      <c r="C1415" s="36" t="s">
        <v>65</v>
      </c>
      <c r="D1415" s="36" t="s">
        <v>167</v>
      </c>
      <c r="E1415" s="38">
        <v>2378.08</v>
      </c>
      <c r="F1415" s="39">
        <v>222</v>
      </c>
    </row>
    <row r="1416" spans="1:6" x14ac:dyDescent="0.3">
      <c r="A1416" s="30" t="s">
        <v>19</v>
      </c>
      <c r="B1416" s="31" t="s">
        <v>25</v>
      </c>
      <c r="C1416" s="31" t="s">
        <v>18</v>
      </c>
      <c r="D1416" s="32">
        <v>45114</v>
      </c>
      <c r="E1416" s="33">
        <v>9545.0300000000007</v>
      </c>
      <c r="F1416" s="34">
        <v>64</v>
      </c>
    </row>
    <row r="1417" spans="1:6" x14ac:dyDescent="0.3">
      <c r="A1417" s="35" t="s">
        <v>14</v>
      </c>
      <c r="B1417" s="36" t="s">
        <v>10</v>
      </c>
      <c r="C1417" s="36" t="s">
        <v>11</v>
      </c>
      <c r="D1417" s="36" t="s">
        <v>203</v>
      </c>
      <c r="E1417" s="38">
        <v>4999.5200000000004</v>
      </c>
      <c r="F1417" s="39">
        <v>446</v>
      </c>
    </row>
    <row r="1418" spans="1:6" x14ac:dyDescent="0.3">
      <c r="A1418" s="30" t="s">
        <v>40</v>
      </c>
      <c r="B1418" s="31" t="s">
        <v>10</v>
      </c>
      <c r="C1418" s="31" t="s">
        <v>57</v>
      </c>
      <c r="D1418" s="31" t="s">
        <v>224</v>
      </c>
      <c r="E1418" s="33">
        <v>5312.5</v>
      </c>
      <c r="F1418" s="34">
        <v>160</v>
      </c>
    </row>
    <row r="1419" spans="1:6" x14ac:dyDescent="0.3">
      <c r="A1419" s="35" t="s">
        <v>67</v>
      </c>
      <c r="B1419" s="36" t="s">
        <v>25</v>
      </c>
      <c r="C1419" s="36" t="s">
        <v>26</v>
      </c>
      <c r="D1419" s="37">
        <v>44960</v>
      </c>
      <c r="E1419" s="38">
        <v>3750.88</v>
      </c>
      <c r="F1419" s="39">
        <v>208</v>
      </c>
    </row>
    <row r="1420" spans="1:6" x14ac:dyDescent="0.3">
      <c r="A1420" s="30" t="s">
        <v>22</v>
      </c>
      <c r="B1420" s="31" t="s">
        <v>35</v>
      </c>
      <c r="C1420" s="31" t="s">
        <v>73</v>
      </c>
      <c r="D1420" s="31" t="s">
        <v>245</v>
      </c>
      <c r="E1420" s="33">
        <v>2375.7399999999998</v>
      </c>
      <c r="F1420" s="34">
        <v>129</v>
      </c>
    </row>
    <row r="1421" spans="1:6" x14ac:dyDescent="0.3">
      <c r="A1421" s="35" t="s">
        <v>70</v>
      </c>
      <c r="B1421" s="36" t="s">
        <v>32</v>
      </c>
      <c r="C1421" s="36" t="s">
        <v>38</v>
      </c>
      <c r="D1421" s="36" t="s">
        <v>204</v>
      </c>
      <c r="E1421" s="38">
        <v>7013.61</v>
      </c>
      <c r="F1421" s="39">
        <v>170</v>
      </c>
    </row>
    <row r="1422" spans="1:6" x14ac:dyDescent="0.3">
      <c r="A1422" s="30" t="s">
        <v>9</v>
      </c>
      <c r="B1422" s="31" t="s">
        <v>35</v>
      </c>
      <c r="C1422" s="31" t="s">
        <v>59</v>
      </c>
      <c r="D1422" s="31" t="s">
        <v>242</v>
      </c>
      <c r="E1422" s="33">
        <v>481.52</v>
      </c>
      <c r="F1422" s="34">
        <v>3</v>
      </c>
    </row>
    <row r="1423" spans="1:6" x14ac:dyDescent="0.3">
      <c r="A1423" s="35" t="s">
        <v>29</v>
      </c>
      <c r="B1423" s="36" t="s">
        <v>32</v>
      </c>
      <c r="C1423" s="36" t="s">
        <v>87</v>
      </c>
      <c r="D1423" s="37">
        <v>45175</v>
      </c>
      <c r="E1423" s="38">
        <v>3136.92</v>
      </c>
      <c r="F1423" s="39">
        <v>64</v>
      </c>
    </row>
    <row r="1424" spans="1:6" x14ac:dyDescent="0.3">
      <c r="A1424" s="30" t="s">
        <v>9</v>
      </c>
      <c r="B1424" s="31" t="s">
        <v>15</v>
      </c>
      <c r="C1424" s="31" t="s">
        <v>90</v>
      </c>
      <c r="D1424" s="31" t="s">
        <v>247</v>
      </c>
      <c r="E1424" s="33">
        <v>6584.26</v>
      </c>
      <c r="F1424" s="34">
        <v>62</v>
      </c>
    </row>
    <row r="1425" spans="1:6" x14ac:dyDescent="0.3">
      <c r="A1425" s="35" t="s">
        <v>83</v>
      </c>
      <c r="B1425" s="36" t="s">
        <v>25</v>
      </c>
      <c r="C1425" s="36" t="s">
        <v>13</v>
      </c>
      <c r="D1425" s="37">
        <v>45019</v>
      </c>
      <c r="E1425" s="38">
        <v>1024.77</v>
      </c>
      <c r="F1425" s="39">
        <v>260</v>
      </c>
    </row>
    <row r="1426" spans="1:6" x14ac:dyDescent="0.3">
      <c r="A1426" s="30" t="s">
        <v>70</v>
      </c>
      <c r="B1426" s="31" t="s">
        <v>35</v>
      </c>
      <c r="C1426" s="31" t="s">
        <v>46</v>
      </c>
      <c r="D1426" s="32">
        <v>45114</v>
      </c>
      <c r="E1426" s="33">
        <v>17680.189999999999</v>
      </c>
      <c r="F1426" s="34">
        <v>27</v>
      </c>
    </row>
    <row r="1427" spans="1:6" x14ac:dyDescent="0.3">
      <c r="A1427" s="35" t="s">
        <v>58</v>
      </c>
      <c r="B1427" s="36" t="s">
        <v>35</v>
      </c>
      <c r="C1427" s="36" t="s">
        <v>75</v>
      </c>
      <c r="D1427" s="36" t="s">
        <v>167</v>
      </c>
      <c r="E1427" s="38">
        <v>10707.82</v>
      </c>
      <c r="F1427" s="39">
        <v>124</v>
      </c>
    </row>
    <row r="1428" spans="1:6" x14ac:dyDescent="0.3">
      <c r="A1428" s="30" t="s">
        <v>48</v>
      </c>
      <c r="B1428" s="31" t="s">
        <v>15</v>
      </c>
      <c r="C1428" s="31" t="s">
        <v>65</v>
      </c>
      <c r="D1428" s="31" t="s">
        <v>198</v>
      </c>
      <c r="E1428" s="33">
        <v>3019.09</v>
      </c>
      <c r="F1428" s="34">
        <v>78</v>
      </c>
    </row>
    <row r="1429" spans="1:6" x14ac:dyDescent="0.3">
      <c r="A1429" s="35" t="s">
        <v>77</v>
      </c>
      <c r="B1429" s="36" t="s">
        <v>15</v>
      </c>
      <c r="C1429" s="36" t="s">
        <v>11</v>
      </c>
      <c r="D1429" s="36" t="s">
        <v>214</v>
      </c>
      <c r="E1429" s="38">
        <v>1758.62</v>
      </c>
      <c r="F1429" s="39">
        <v>329</v>
      </c>
    </row>
    <row r="1430" spans="1:6" x14ac:dyDescent="0.3">
      <c r="A1430" s="30" t="s">
        <v>12</v>
      </c>
      <c r="B1430" s="31" t="s">
        <v>7</v>
      </c>
      <c r="C1430" s="31" t="s">
        <v>26</v>
      </c>
      <c r="D1430" s="31" t="s">
        <v>248</v>
      </c>
      <c r="E1430" s="33">
        <v>8385.3799999999992</v>
      </c>
      <c r="F1430" s="34">
        <v>73</v>
      </c>
    </row>
    <row r="1431" spans="1:6" x14ac:dyDescent="0.3">
      <c r="A1431" s="35" t="s">
        <v>83</v>
      </c>
      <c r="B1431" s="36" t="s">
        <v>7</v>
      </c>
      <c r="C1431" s="36" t="s">
        <v>60</v>
      </c>
      <c r="D1431" s="36" t="s">
        <v>174</v>
      </c>
      <c r="E1431" s="38">
        <v>4854.12</v>
      </c>
      <c r="F1431" s="39">
        <v>411</v>
      </c>
    </row>
    <row r="1432" spans="1:6" x14ac:dyDescent="0.3">
      <c r="A1432" s="30" t="s">
        <v>12</v>
      </c>
      <c r="B1432" s="31" t="s">
        <v>7</v>
      </c>
      <c r="C1432" s="31" t="s">
        <v>100</v>
      </c>
      <c r="D1432" s="31" t="s">
        <v>249</v>
      </c>
      <c r="E1432" s="33">
        <v>949.18</v>
      </c>
      <c r="F1432" s="34">
        <v>83</v>
      </c>
    </row>
    <row r="1433" spans="1:6" x14ac:dyDescent="0.3">
      <c r="A1433" s="35" t="s">
        <v>6</v>
      </c>
      <c r="B1433" s="36" t="s">
        <v>15</v>
      </c>
      <c r="C1433" s="36" t="s">
        <v>13</v>
      </c>
      <c r="D1433" s="36" t="s">
        <v>246</v>
      </c>
      <c r="E1433" s="38">
        <v>6047.05</v>
      </c>
      <c r="F1433" s="39">
        <v>40</v>
      </c>
    </row>
    <row r="1434" spans="1:6" x14ac:dyDescent="0.3">
      <c r="A1434" s="30" t="s">
        <v>40</v>
      </c>
      <c r="B1434" s="31" t="s">
        <v>10</v>
      </c>
      <c r="C1434" s="31" t="s">
        <v>36</v>
      </c>
      <c r="D1434" s="31" t="s">
        <v>167</v>
      </c>
      <c r="E1434" s="33">
        <v>3883.32</v>
      </c>
      <c r="F1434" s="34">
        <v>94</v>
      </c>
    </row>
    <row r="1435" spans="1:6" x14ac:dyDescent="0.3">
      <c r="A1435" s="35" t="s">
        <v>48</v>
      </c>
      <c r="B1435" s="36" t="s">
        <v>35</v>
      </c>
      <c r="C1435" s="36" t="s">
        <v>57</v>
      </c>
      <c r="D1435" s="37">
        <v>45020</v>
      </c>
      <c r="E1435" s="38">
        <v>4382.07</v>
      </c>
      <c r="F1435" s="39">
        <v>210</v>
      </c>
    </row>
    <row r="1436" spans="1:6" x14ac:dyDescent="0.3">
      <c r="A1436" s="30" t="s">
        <v>55</v>
      </c>
      <c r="B1436" s="31" t="s">
        <v>7</v>
      </c>
      <c r="C1436" s="31" t="s">
        <v>18</v>
      </c>
      <c r="D1436" s="32">
        <v>45144</v>
      </c>
      <c r="E1436" s="33">
        <v>9928.1</v>
      </c>
      <c r="F1436" s="34">
        <v>599</v>
      </c>
    </row>
    <row r="1437" spans="1:6" x14ac:dyDescent="0.3">
      <c r="A1437" s="35" t="s">
        <v>37</v>
      </c>
      <c r="B1437" s="36" t="s">
        <v>35</v>
      </c>
      <c r="C1437" s="36" t="s">
        <v>50</v>
      </c>
      <c r="D1437" s="37">
        <v>44965</v>
      </c>
      <c r="E1437" s="38">
        <v>6315.53</v>
      </c>
      <c r="F1437" s="39">
        <v>51</v>
      </c>
    </row>
    <row r="1438" spans="1:6" x14ac:dyDescent="0.3">
      <c r="A1438" s="30" t="s">
        <v>70</v>
      </c>
      <c r="B1438" s="31" t="s">
        <v>32</v>
      </c>
      <c r="C1438" s="31" t="s">
        <v>42</v>
      </c>
      <c r="D1438" s="31" t="s">
        <v>244</v>
      </c>
      <c r="E1438" s="33">
        <v>10630.08</v>
      </c>
      <c r="F1438" s="34">
        <v>155</v>
      </c>
    </row>
    <row r="1439" spans="1:6" x14ac:dyDescent="0.3">
      <c r="A1439" s="35" t="s">
        <v>48</v>
      </c>
      <c r="B1439" s="36" t="s">
        <v>10</v>
      </c>
      <c r="C1439" s="36" t="s">
        <v>50</v>
      </c>
      <c r="D1439" s="36" t="s">
        <v>196</v>
      </c>
      <c r="E1439" s="38">
        <v>167.33</v>
      </c>
      <c r="F1439" s="39">
        <v>143</v>
      </c>
    </row>
    <row r="1440" spans="1:6" x14ac:dyDescent="0.3">
      <c r="A1440" s="30" t="s">
        <v>45</v>
      </c>
      <c r="B1440" s="31" t="s">
        <v>10</v>
      </c>
      <c r="C1440" s="31" t="s">
        <v>23</v>
      </c>
      <c r="D1440" s="31" t="s">
        <v>250</v>
      </c>
      <c r="E1440" s="33">
        <v>2690.14</v>
      </c>
      <c r="F1440" s="34">
        <v>117</v>
      </c>
    </row>
    <row r="1441" spans="1:6" x14ac:dyDescent="0.3">
      <c r="A1441" s="35" t="s">
        <v>71</v>
      </c>
      <c r="B1441" s="36" t="s">
        <v>15</v>
      </c>
      <c r="C1441" s="36" t="s">
        <v>90</v>
      </c>
      <c r="D1441" s="37">
        <v>44962</v>
      </c>
      <c r="E1441" s="38">
        <v>3242.04</v>
      </c>
      <c r="F1441" s="39">
        <v>15</v>
      </c>
    </row>
    <row r="1442" spans="1:6" x14ac:dyDescent="0.3">
      <c r="A1442" s="30" t="s">
        <v>48</v>
      </c>
      <c r="B1442" s="31" t="s">
        <v>15</v>
      </c>
      <c r="C1442" s="31" t="s">
        <v>20</v>
      </c>
      <c r="D1442" s="32">
        <v>45108</v>
      </c>
      <c r="E1442" s="33">
        <v>5363.69</v>
      </c>
      <c r="F1442" s="34">
        <v>87</v>
      </c>
    </row>
    <row r="1443" spans="1:6" x14ac:dyDescent="0.3">
      <c r="A1443" s="35" t="s">
        <v>34</v>
      </c>
      <c r="B1443" s="36" t="s">
        <v>7</v>
      </c>
      <c r="C1443" s="36" t="s">
        <v>26</v>
      </c>
      <c r="D1443" s="36" t="s">
        <v>212</v>
      </c>
      <c r="E1443" s="38">
        <v>6160.89</v>
      </c>
      <c r="F1443" s="39">
        <v>95</v>
      </c>
    </row>
    <row r="1444" spans="1:6" x14ac:dyDescent="0.3">
      <c r="A1444" s="30" t="s">
        <v>83</v>
      </c>
      <c r="B1444" s="31" t="s">
        <v>35</v>
      </c>
      <c r="C1444" s="31" t="s">
        <v>87</v>
      </c>
      <c r="D1444" s="31" t="s">
        <v>251</v>
      </c>
      <c r="E1444" s="33">
        <v>7968.23</v>
      </c>
      <c r="F1444" s="34">
        <v>373</v>
      </c>
    </row>
    <row r="1445" spans="1:6" x14ac:dyDescent="0.3">
      <c r="A1445" s="35" t="s">
        <v>9</v>
      </c>
      <c r="B1445" s="36" t="s">
        <v>7</v>
      </c>
      <c r="C1445" s="36" t="s">
        <v>38</v>
      </c>
      <c r="D1445" s="37">
        <v>45020</v>
      </c>
      <c r="E1445" s="38">
        <v>6388.95</v>
      </c>
      <c r="F1445" s="39">
        <v>131</v>
      </c>
    </row>
    <row r="1446" spans="1:6" x14ac:dyDescent="0.3">
      <c r="A1446" s="30" t="s">
        <v>22</v>
      </c>
      <c r="B1446" s="31" t="s">
        <v>35</v>
      </c>
      <c r="C1446" s="31" t="s">
        <v>57</v>
      </c>
      <c r="D1446" s="31" t="s">
        <v>165</v>
      </c>
      <c r="E1446" s="33">
        <v>15840.74</v>
      </c>
      <c r="F1446" s="34">
        <v>216</v>
      </c>
    </row>
    <row r="1447" spans="1:6" x14ac:dyDescent="0.3">
      <c r="A1447" s="35" t="s">
        <v>22</v>
      </c>
      <c r="B1447" s="36" t="s">
        <v>25</v>
      </c>
      <c r="C1447" s="36" t="s">
        <v>50</v>
      </c>
      <c r="D1447" s="36" t="s">
        <v>191</v>
      </c>
      <c r="E1447" s="38">
        <v>7265.05</v>
      </c>
      <c r="F1447" s="39">
        <v>194</v>
      </c>
    </row>
    <row r="1448" spans="1:6" x14ac:dyDescent="0.3">
      <c r="A1448" s="30" t="s">
        <v>22</v>
      </c>
      <c r="B1448" s="31" t="s">
        <v>15</v>
      </c>
      <c r="C1448" s="31" t="s">
        <v>38</v>
      </c>
      <c r="D1448" s="31" t="s">
        <v>225</v>
      </c>
      <c r="E1448" s="33">
        <v>2342.4899999999998</v>
      </c>
      <c r="F1448" s="34">
        <v>192</v>
      </c>
    </row>
    <row r="1449" spans="1:6" x14ac:dyDescent="0.3">
      <c r="A1449" s="35" t="s">
        <v>37</v>
      </c>
      <c r="B1449" s="36" t="s">
        <v>25</v>
      </c>
      <c r="C1449" s="36" t="s">
        <v>57</v>
      </c>
      <c r="D1449" s="37">
        <v>45109</v>
      </c>
      <c r="E1449" s="38">
        <v>1365.88</v>
      </c>
      <c r="F1449" s="39">
        <v>147</v>
      </c>
    </row>
    <row r="1450" spans="1:6" x14ac:dyDescent="0.3">
      <c r="A1450" s="30" t="s">
        <v>58</v>
      </c>
      <c r="B1450" s="31" t="s">
        <v>25</v>
      </c>
      <c r="C1450" s="31" t="s">
        <v>38</v>
      </c>
      <c r="D1450" s="32">
        <v>45231</v>
      </c>
      <c r="E1450" s="33">
        <v>4437.46</v>
      </c>
      <c r="F1450" s="34">
        <v>196</v>
      </c>
    </row>
    <row r="1451" spans="1:6" x14ac:dyDescent="0.3">
      <c r="A1451" s="35" t="s">
        <v>6</v>
      </c>
      <c r="B1451" s="36" t="s">
        <v>10</v>
      </c>
      <c r="C1451" s="36" t="s">
        <v>20</v>
      </c>
      <c r="D1451" s="36" t="s">
        <v>207</v>
      </c>
      <c r="E1451" s="38">
        <v>2072.2399999999998</v>
      </c>
      <c r="F1451" s="39">
        <v>232</v>
      </c>
    </row>
    <row r="1452" spans="1:6" x14ac:dyDescent="0.3">
      <c r="A1452" s="30" t="s">
        <v>79</v>
      </c>
      <c r="B1452" s="31" t="s">
        <v>15</v>
      </c>
      <c r="C1452" s="31" t="s">
        <v>8</v>
      </c>
      <c r="D1452" s="32">
        <v>44934</v>
      </c>
      <c r="E1452" s="33">
        <v>7091.81</v>
      </c>
      <c r="F1452" s="34">
        <v>27</v>
      </c>
    </row>
    <row r="1453" spans="1:6" x14ac:dyDescent="0.3">
      <c r="A1453" s="35" t="s">
        <v>45</v>
      </c>
      <c r="B1453" s="36" t="s">
        <v>15</v>
      </c>
      <c r="C1453" s="36" t="s">
        <v>8</v>
      </c>
      <c r="D1453" s="37">
        <v>45051</v>
      </c>
      <c r="E1453" s="38">
        <v>7213.16</v>
      </c>
      <c r="F1453" s="39">
        <v>277</v>
      </c>
    </row>
    <row r="1454" spans="1:6" x14ac:dyDescent="0.3">
      <c r="A1454" s="30" t="s">
        <v>77</v>
      </c>
      <c r="B1454" s="31" t="s">
        <v>25</v>
      </c>
      <c r="C1454" s="31" t="s">
        <v>73</v>
      </c>
      <c r="D1454" s="31" t="s">
        <v>190</v>
      </c>
      <c r="E1454" s="33">
        <v>9672.76</v>
      </c>
      <c r="F1454" s="34">
        <v>411</v>
      </c>
    </row>
    <row r="1455" spans="1:6" x14ac:dyDescent="0.3">
      <c r="A1455" s="35" t="s">
        <v>79</v>
      </c>
      <c r="B1455" s="36" t="s">
        <v>25</v>
      </c>
      <c r="C1455" s="36" t="s">
        <v>75</v>
      </c>
      <c r="D1455" s="37">
        <v>45017</v>
      </c>
      <c r="E1455" s="38">
        <v>5750.05</v>
      </c>
      <c r="F1455" s="39">
        <v>350</v>
      </c>
    </row>
    <row r="1456" spans="1:6" x14ac:dyDescent="0.3">
      <c r="A1456" s="30" t="s">
        <v>45</v>
      </c>
      <c r="B1456" s="31" t="s">
        <v>25</v>
      </c>
      <c r="C1456" s="31" t="s">
        <v>26</v>
      </c>
      <c r="D1456" s="32">
        <v>45174</v>
      </c>
      <c r="E1456" s="33">
        <v>4641.29</v>
      </c>
      <c r="F1456" s="34">
        <v>220</v>
      </c>
    </row>
    <row r="1457" spans="1:6" x14ac:dyDescent="0.3">
      <c r="A1457" s="35" t="s">
        <v>29</v>
      </c>
      <c r="B1457" s="36" t="s">
        <v>10</v>
      </c>
      <c r="C1457" s="36" t="s">
        <v>18</v>
      </c>
      <c r="D1457" s="37">
        <v>45082</v>
      </c>
      <c r="E1457" s="38">
        <v>1871.33</v>
      </c>
      <c r="F1457" s="39">
        <v>88</v>
      </c>
    </row>
    <row r="1458" spans="1:6" x14ac:dyDescent="0.3">
      <c r="A1458" s="30" t="s">
        <v>53</v>
      </c>
      <c r="B1458" s="31" t="s">
        <v>7</v>
      </c>
      <c r="C1458" s="31" t="s">
        <v>59</v>
      </c>
      <c r="D1458" s="31" t="s">
        <v>167</v>
      </c>
      <c r="E1458" s="33">
        <v>10843.46</v>
      </c>
      <c r="F1458" s="34">
        <v>142</v>
      </c>
    </row>
    <row r="1459" spans="1:6" x14ac:dyDescent="0.3">
      <c r="A1459" s="35" t="s">
        <v>45</v>
      </c>
      <c r="B1459" s="36" t="s">
        <v>15</v>
      </c>
      <c r="C1459" s="36" t="s">
        <v>65</v>
      </c>
      <c r="D1459" s="36" t="s">
        <v>246</v>
      </c>
      <c r="E1459" s="38">
        <v>5032.45</v>
      </c>
      <c r="F1459" s="39">
        <v>79</v>
      </c>
    </row>
    <row r="1460" spans="1:6" x14ac:dyDescent="0.3">
      <c r="A1460" s="30" t="s">
        <v>9</v>
      </c>
      <c r="B1460" s="31" t="s">
        <v>32</v>
      </c>
      <c r="C1460" s="31" t="s">
        <v>90</v>
      </c>
      <c r="D1460" s="31" t="s">
        <v>170</v>
      </c>
      <c r="E1460" s="33">
        <v>1106.3800000000001</v>
      </c>
      <c r="F1460" s="34">
        <v>21</v>
      </c>
    </row>
    <row r="1461" spans="1:6" x14ac:dyDescent="0.3">
      <c r="A1461" s="35" t="s">
        <v>71</v>
      </c>
      <c r="B1461" s="36" t="s">
        <v>15</v>
      </c>
      <c r="C1461" s="36" t="s">
        <v>20</v>
      </c>
      <c r="D1461" s="36" t="s">
        <v>218</v>
      </c>
      <c r="E1461" s="38">
        <v>4977.55</v>
      </c>
      <c r="F1461" s="39">
        <v>97</v>
      </c>
    </row>
    <row r="1462" spans="1:6" x14ac:dyDescent="0.3">
      <c r="A1462" s="30" t="s">
        <v>55</v>
      </c>
      <c r="B1462" s="31" t="s">
        <v>10</v>
      </c>
      <c r="C1462" s="31" t="s">
        <v>46</v>
      </c>
      <c r="D1462" s="32">
        <v>44962</v>
      </c>
      <c r="E1462" s="33">
        <v>3210.14</v>
      </c>
      <c r="F1462" s="34">
        <v>92</v>
      </c>
    </row>
    <row r="1463" spans="1:6" x14ac:dyDescent="0.3">
      <c r="A1463" s="35" t="s">
        <v>83</v>
      </c>
      <c r="B1463" s="36" t="s">
        <v>15</v>
      </c>
      <c r="C1463" s="36" t="s">
        <v>18</v>
      </c>
      <c r="D1463" s="36" t="s">
        <v>192</v>
      </c>
      <c r="E1463" s="38">
        <v>7794.8</v>
      </c>
      <c r="F1463" s="39">
        <v>54</v>
      </c>
    </row>
    <row r="1464" spans="1:6" x14ac:dyDescent="0.3">
      <c r="A1464" s="30" t="s">
        <v>34</v>
      </c>
      <c r="B1464" s="31" t="s">
        <v>32</v>
      </c>
      <c r="C1464" s="31" t="s">
        <v>65</v>
      </c>
      <c r="D1464" s="31" t="s">
        <v>210</v>
      </c>
      <c r="E1464" s="33">
        <v>7613.37</v>
      </c>
      <c r="F1464" s="34">
        <v>370</v>
      </c>
    </row>
    <row r="1465" spans="1:6" x14ac:dyDescent="0.3">
      <c r="A1465" s="35" t="s">
        <v>55</v>
      </c>
      <c r="B1465" s="36" t="s">
        <v>35</v>
      </c>
      <c r="C1465" s="36" t="s">
        <v>20</v>
      </c>
      <c r="D1465" s="36" t="s">
        <v>246</v>
      </c>
      <c r="E1465" s="38">
        <v>1332.76</v>
      </c>
      <c r="F1465" s="39">
        <v>409</v>
      </c>
    </row>
    <row r="1466" spans="1:6" x14ac:dyDescent="0.3">
      <c r="A1466" s="30" t="s">
        <v>19</v>
      </c>
      <c r="B1466" s="31" t="s">
        <v>7</v>
      </c>
      <c r="C1466" s="31" t="s">
        <v>23</v>
      </c>
      <c r="D1466" s="31" t="s">
        <v>248</v>
      </c>
      <c r="E1466" s="33">
        <v>2587.7600000000002</v>
      </c>
      <c r="F1466" s="34">
        <v>108</v>
      </c>
    </row>
    <row r="1467" spans="1:6" x14ac:dyDescent="0.3">
      <c r="A1467" s="35" t="s">
        <v>22</v>
      </c>
      <c r="B1467" s="36" t="s">
        <v>7</v>
      </c>
      <c r="C1467" s="36" t="s">
        <v>36</v>
      </c>
      <c r="D1467" s="36" t="s">
        <v>224</v>
      </c>
      <c r="E1467" s="38">
        <v>3826.22</v>
      </c>
      <c r="F1467" s="39">
        <v>169</v>
      </c>
    </row>
    <row r="1468" spans="1:6" x14ac:dyDescent="0.3">
      <c r="A1468" s="30" t="s">
        <v>79</v>
      </c>
      <c r="B1468" s="31" t="s">
        <v>32</v>
      </c>
      <c r="C1468" s="31" t="s">
        <v>90</v>
      </c>
      <c r="D1468" s="31" t="s">
        <v>184</v>
      </c>
      <c r="E1468" s="33">
        <v>18687.87</v>
      </c>
      <c r="F1468" s="34">
        <v>80</v>
      </c>
    </row>
    <row r="1469" spans="1:6" x14ac:dyDescent="0.3">
      <c r="A1469" s="35" t="s">
        <v>14</v>
      </c>
      <c r="B1469" s="36" t="s">
        <v>10</v>
      </c>
      <c r="C1469" s="36" t="s">
        <v>13</v>
      </c>
      <c r="D1469" s="37">
        <v>45017</v>
      </c>
      <c r="E1469" s="38">
        <v>8859.6299999999992</v>
      </c>
      <c r="F1469" s="39">
        <v>184</v>
      </c>
    </row>
    <row r="1470" spans="1:6" x14ac:dyDescent="0.3">
      <c r="A1470" s="30" t="s">
        <v>53</v>
      </c>
      <c r="B1470" s="31" t="s">
        <v>15</v>
      </c>
      <c r="C1470" s="31" t="s">
        <v>36</v>
      </c>
      <c r="D1470" s="32">
        <v>45023</v>
      </c>
      <c r="E1470" s="33">
        <v>7299.4</v>
      </c>
      <c r="F1470" s="34">
        <v>34</v>
      </c>
    </row>
    <row r="1471" spans="1:6" x14ac:dyDescent="0.3">
      <c r="A1471" s="35" t="s">
        <v>41</v>
      </c>
      <c r="B1471" s="36" t="s">
        <v>32</v>
      </c>
      <c r="C1471" s="36" t="s">
        <v>18</v>
      </c>
      <c r="D1471" s="36" t="s">
        <v>165</v>
      </c>
      <c r="E1471" s="38">
        <v>2556.2600000000002</v>
      </c>
      <c r="F1471" s="39">
        <v>354</v>
      </c>
    </row>
    <row r="1472" spans="1:6" x14ac:dyDescent="0.3">
      <c r="A1472" s="30" t="s">
        <v>71</v>
      </c>
      <c r="B1472" s="31" t="s">
        <v>15</v>
      </c>
      <c r="C1472" s="31" t="s">
        <v>60</v>
      </c>
      <c r="D1472" s="31" t="s">
        <v>226</v>
      </c>
      <c r="E1472" s="33">
        <v>703.4</v>
      </c>
      <c r="F1472" s="34">
        <v>181</v>
      </c>
    </row>
    <row r="1473" spans="1:6" x14ac:dyDescent="0.3">
      <c r="A1473" s="35" t="s">
        <v>19</v>
      </c>
      <c r="B1473" s="36" t="s">
        <v>15</v>
      </c>
      <c r="C1473" s="36" t="s">
        <v>65</v>
      </c>
      <c r="D1473" s="36" t="s">
        <v>252</v>
      </c>
      <c r="E1473" s="38">
        <v>6421.18</v>
      </c>
      <c r="F1473" s="39">
        <v>242</v>
      </c>
    </row>
    <row r="1474" spans="1:6" x14ac:dyDescent="0.3">
      <c r="A1474" s="30" t="s">
        <v>14</v>
      </c>
      <c r="B1474" s="31" t="s">
        <v>32</v>
      </c>
      <c r="C1474" s="31" t="s">
        <v>33</v>
      </c>
      <c r="D1474" s="31" t="s">
        <v>179</v>
      </c>
      <c r="E1474" s="33">
        <v>1048.26</v>
      </c>
      <c r="F1474" s="34">
        <v>149</v>
      </c>
    </row>
    <row r="1475" spans="1:6" x14ac:dyDescent="0.3">
      <c r="A1475" s="35" t="s">
        <v>12</v>
      </c>
      <c r="B1475" s="36" t="s">
        <v>32</v>
      </c>
      <c r="C1475" s="36" t="s">
        <v>57</v>
      </c>
      <c r="D1475" s="36" t="s">
        <v>178</v>
      </c>
      <c r="E1475" s="38">
        <v>3099.14</v>
      </c>
      <c r="F1475" s="39">
        <v>115</v>
      </c>
    </row>
    <row r="1476" spans="1:6" x14ac:dyDescent="0.3">
      <c r="A1476" s="30" t="s">
        <v>34</v>
      </c>
      <c r="B1476" s="31" t="s">
        <v>7</v>
      </c>
      <c r="C1476" s="31" t="s">
        <v>46</v>
      </c>
      <c r="D1476" s="32">
        <v>45200</v>
      </c>
      <c r="E1476" s="33">
        <v>3737.68</v>
      </c>
      <c r="F1476" s="34">
        <v>282</v>
      </c>
    </row>
    <row r="1477" spans="1:6" x14ac:dyDescent="0.3">
      <c r="A1477" s="35" t="s">
        <v>48</v>
      </c>
      <c r="B1477" s="36" t="s">
        <v>32</v>
      </c>
      <c r="C1477" s="36" t="s">
        <v>73</v>
      </c>
      <c r="D1477" s="36" t="s">
        <v>234</v>
      </c>
      <c r="E1477" s="38">
        <v>3086.89</v>
      </c>
      <c r="F1477" s="39">
        <v>153</v>
      </c>
    </row>
    <row r="1478" spans="1:6" x14ac:dyDescent="0.3">
      <c r="A1478" s="30" t="s">
        <v>40</v>
      </c>
      <c r="B1478" s="31" t="s">
        <v>35</v>
      </c>
      <c r="C1478" s="31" t="s">
        <v>46</v>
      </c>
      <c r="D1478" s="32">
        <v>45140</v>
      </c>
      <c r="E1478" s="33">
        <v>2618.15</v>
      </c>
      <c r="F1478" s="34">
        <v>312</v>
      </c>
    </row>
    <row r="1479" spans="1:6" x14ac:dyDescent="0.3">
      <c r="A1479" s="35" t="s">
        <v>28</v>
      </c>
      <c r="B1479" s="36" t="s">
        <v>10</v>
      </c>
      <c r="C1479" s="36" t="s">
        <v>90</v>
      </c>
      <c r="D1479" s="36" t="s">
        <v>207</v>
      </c>
      <c r="E1479" s="38">
        <v>1643.45</v>
      </c>
      <c r="F1479" s="39">
        <v>110</v>
      </c>
    </row>
    <row r="1480" spans="1:6" x14ac:dyDescent="0.3">
      <c r="A1480" s="30" t="s">
        <v>22</v>
      </c>
      <c r="B1480" s="31" t="s">
        <v>32</v>
      </c>
      <c r="C1480" s="31" t="s">
        <v>36</v>
      </c>
      <c r="D1480" s="32">
        <v>44990</v>
      </c>
      <c r="E1480" s="33">
        <v>7368.94</v>
      </c>
      <c r="F1480" s="34">
        <v>45</v>
      </c>
    </row>
    <row r="1481" spans="1:6" x14ac:dyDescent="0.3">
      <c r="A1481" s="35" t="s">
        <v>45</v>
      </c>
      <c r="B1481" s="36" t="s">
        <v>32</v>
      </c>
      <c r="C1481" s="36" t="s">
        <v>57</v>
      </c>
      <c r="D1481" s="36" t="s">
        <v>230</v>
      </c>
      <c r="E1481" s="38">
        <v>6082.19</v>
      </c>
      <c r="F1481" s="39">
        <v>23</v>
      </c>
    </row>
    <row r="1482" spans="1:6" x14ac:dyDescent="0.3">
      <c r="A1482" s="30" t="s">
        <v>22</v>
      </c>
      <c r="B1482" s="31" t="s">
        <v>10</v>
      </c>
      <c r="C1482" s="31" t="s">
        <v>26</v>
      </c>
      <c r="D1482" s="32">
        <v>45177</v>
      </c>
      <c r="E1482" s="33">
        <v>14456.14</v>
      </c>
      <c r="F1482" s="34">
        <v>79</v>
      </c>
    </row>
    <row r="1483" spans="1:6" x14ac:dyDescent="0.3">
      <c r="A1483" s="35" t="s">
        <v>64</v>
      </c>
      <c r="B1483" s="36" t="s">
        <v>25</v>
      </c>
      <c r="C1483" s="36" t="s">
        <v>60</v>
      </c>
      <c r="D1483" s="37">
        <v>45237</v>
      </c>
      <c r="E1483" s="38">
        <v>4173.3999999999996</v>
      </c>
      <c r="F1483" s="39">
        <v>254</v>
      </c>
    </row>
    <row r="1484" spans="1:6" x14ac:dyDescent="0.3">
      <c r="A1484" s="30" t="s">
        <v>55</v>
      </c>
      <c r="B1484" s="31" t="s">
        <v>7</v>
      </c>
      <c r="C1484" s="31" t="s">
        <v>60</v>
      </c>
      <c r="D1484" s="31" t="s">
        <v>225</v>
      </c>
      <c r="E1484" s="33">
        <v>7189.18</v>
      </c>
      <c r="F1484" s="34">
        <v>113</v>
      </c>
    </row>
    <row r="1485" spans="1:6" x14ac:dyDescent="0.3">
      <c r="A1485" s="35" t="s">
        <v>9</v>
      </c>
      <c r="B1485" s="36" t="s">
        <v>35</v>
      </c>
      <c r="C1485" s="36" t="s">
        <v>60</v>
      </c>
      <c r="D1485" s="36" t="s">
        <v>163</v>
      </c>
      <c r="E1485" s="38">
        <v>8962.9599999999991</v>
      </c>
      <c r="F1485" s="39">
        <v>48</v>
      </c>
    </row>
    <row r="1486" spans="1:6" x14ac:dyDescent="0.3">
      <c r="A1486" s="30" t="s">
        <v>64</v>
      </c>
      <c r="B1486" s="31" t="s">
        <v>25</v>
      </c>
      <c r="C1486" s="31" t="s">
        <v>65</v>
      </c>
      <c r="D1486" s="31" t="s">
        <v>234</v>
      </c>
      <c r="E1486" s="33">
        <v>10085.02</v>
      </c>
      <c r="F1486" s="34">
        <v>146</v>
      </c>
    </row>
    <row r="1487" spans="1:6" x14ac:dyDescent="0.3">
      <c r="A1487" s="35" t="s">
        <v>19</v>
      </c>
      <c r="B1487" s="36" t="s">
        <v>25</v>
      </c>
      <c r="C1487" s="36" t="s">
        <v>87</v>
      </c>
      <c r="D1487" s="36" t="s">
        <v>217</v>
      </c>
      <c r="E1487" s="38">
        <v>12073.18</v>
      </c>
      <c r="F1487" s="39">
        <v>51</v>
      </c>
    </row>
    <row r="1488" spans="1:6" x14ac:dyDescent="0.3">
      <c r="A1488" s="30" t="s">
        <v>58</v>
      </c>
      <c r="B1488" s="31" t="s">
        <v>15</v>
      </c>
      <c r="C1488" s="31" t="s">
        <v>42</v>
      </c>
      <c r="D1488" s="32">
        <v>45204</v>
      </c>
      <c r="E1488" s="33">
        <v>6655.62</v>
      </c>
      <c r="F1488" s="34">
        <v>39</v>
      </c>
    </row>
    <row r="1489" spans="1:6" x14ac:dyDescent="0.3">
      <c r="A1489" s="35" t="s">
        <v>40</v>
      </c>
      <c r="B1489" s="36" t="s">
        <v>15</v>
      </c>
      <c r="C1489" s="36" t="s">
        <v>50</v>
      </c>
      <c r="D1489" s="36" t="s">
        <v>245</v>
      </c>
      <c r="E1489" s="38">
        <v>14193.67</v>
      </c>
      <c r="F1489" s="39">
        <v>302</v>
      </c>
    </row>
    <row r="1490" spans="1:6" x14ac:dyDescent="0.3">
      <c r="A1490" s="30" t="s">
        <v>41</v>
      </c>
      <c r="B1490" s="31" t="s">
        <v>35</v>
      </c>
      <c r="C1490" s="31" t="s">
        <v>18</v>
      </c>
      <c r="D1490" s="31" t="s">
        <v>176</v>
      </c>
      <c r="E1490" s="33">
        <v>15507.29</v>
      </c>
      <c r="F1490" s="34">
        <v>352</v>
      </c>
    </row>
    <row r="1491" spans="1:6" x14ac:dyDescent="0.3">
      <c r="A1491" s="35" t="s">
        <v>28</v>
      </c>
      <c r="B1491" s="36" t="s">
        <v>32</v>
      </c>
      <c r="C1491" s="36" t="s">
        <v>42</v>
      </c>
      <c r="D1491" s="36" t="s">
        <v>203</v>
      </c>
      <c r="E1491" s="38">
        <v>17383.080000000002</v>
      </c>
      <c r="F1491" s="39">
        <v>145</v>
      </c>
    </row>
    <row r="1492" spans="1:6" x14ac:dyDescent="0.3">
      <c r="A1492" s="30" t="s">
        <v>45</v>
      </c>
      <c r="B1492" s="31" t="s">
        <v>25</v>
      </c>
      <c r="C1492" s="31" t="s">
        <v>87</v>
      </c>
      <c r="D1492" s="31" t="s">
        <v>228</v>
      </c>
      <c r="E1492" s="33">
        <v>5912.59</v>
      </c>
      <c r="F1492" s="34">
        <v>232</v>
      </c>
    </row>
    <row r="1493" spans="1:6" x14ac:dyDescent="0.3">
      <c r="A1493" s="35" t="s">
        <v>9</v>
      </c>
      <c r="B1493" s="36" t="s">
        <v>7</v>
      </c>
      <c r="C1493" s="36" t="s">
        <v>11</v>
      </c>
      <c r="D1493" s="37">
        <v>45237</v>
      </c>
      <c r="E1493" s="38">
        <v>4029.28</v>
      </c>
      <c r="F1493" s="39">
        <v>128</v>
      </c>
    </row>
    <row r="1494" spans="1:6" x14ac:dyDescent="0.3">
      <c r="A1494" s="30" t="s">
        <v>40</v>
      </c>
      <c r="B1494" s="31" t="s">
        <v>35</v>
      </c>
      <c r="C1494" s="31" t="s">
        <v>50</v>
      </c>
      <c r="D1494" s="32">
        <v>44986</v>
      </c>
      <c r="E1494" s="33">
        <v>3563.09</v>
      </c>
      <c r="F1494" s="34">
        <v>344</v>
      </c>
    </row>
    <row r="1495" spans="1:6" x14ac:dyDescent="0.3">
      <c r="A1495" s="35" t="s">
        <v>29</v>
      </c>
      <c r="B1495" s="36" t="s">
        <v>25</v>
      </c>
      <c r="C1495" s="36" t="s">
        <v>100</v>
      </c>
      <c r="D1495" s="36" t="s">
        <v>182</v>
      </c>
      <c r="E1495" s="38">
        <v>773.73</v>
      </c>
      <c r="F1495" s="39">
        <v>280</v>
      </c>
    </row>
    <row r="1496" spans="1:6" x14ac:dyDescent="0.3">
      <c r="A1496" s="30" t="s">
        <v>41</v>
      </c>
      <c r="B1496" s="31" t="s">
        <v>32</v>
      </c>
      <c r="C1496" s="31" t="s">
        <v>26</v>
      </c>
      <c r="D1496" s="31" t="s">
        <v>168</v>
      </c>
      <c r="E1496" s="33">
        <v>2620.19</v>
      </c>
      <c r="F1496" s="34">
        <v>340</v>
      </c>
    </row>
    <row r="1497" spans="1:6" x14ac:dyDescent="0.3">
      <c r="A1497" s="35" t="s">
        <v>28</v>
      </c>
      <c r="B1497" s="36" t="s">
        <v>32</v>
      </c>
      <c r="C1497" s="36" t="s">
        <v>8</v>
      </c>
      <c r="D1497" s="36" t="s">
        <v>203</v>
      </c>
      <c r="E1497" s="38">
        <v>11426.56</v>
      </c>
      <c r="F1497" s="39">
        <v>151</v>
      </c>
    </row>
    <row r="1498" spans="1:6" x14ac:dyDescent="0.3">
      <c r="A1498" s="30" t="s">
        <v>37</v>
      </c>
      <c r="B1498" s="31" t="s">
        <v>25</v>
      </c>
      <c r="C1498" s="31" t="s">
        <v>36</v>
      </c>
      <c r="D1498" s="32">
        <v>45082</v>
      </c>
      <c r="E1498" s="33">
        <v>2935.8</v>
      </c>
      <c r="F1498" s="34">
        <v>171</v>
      </c>
    </row>
    <row r="1499" spans="1:6" x14ac:dyDescent="0.3">
      <c r="A1499" s="35" t="s">
        <v>31</v>
      </c>
      <c r="B1499" s="36" t="s">
        <v>10</v>
      </c>
      <c r="C1499" s="36" t="s">
        <v>38</v>
      </c>
      <c r="D1499" s="36" t="s">
        <v>210</v>
      </c>
      <c r="E1499" s="38">
        <v>2431.5300000000002</v>
      </c>
      <c r="F1499" s="39">
        <v>148</v>
      </c>
    </row>
    <row r="1500" spans="1:6" x14ac:dyDescent="0.3">
      <c r="A1500" s="30" t="s">
        <v>40</v>
      </c>
      <c r="B1500" s="31" t="s">
        <v>7</v>
      </c>
      <c r="C1500" s="31" t="s">
        <v>33</v>
      </c>
      <c r="D1500" s="32">
        <v>45083</v>
      </c>
      <c r="E1500" s="33">
        <v>11882.82</v>
      </c>
      <c r="F1500" s="34">
        <v>13</v>
      </c>
    </row>
    <row r="1501" spans="1:6" x14ac:dyDescent="0.3">
      <c r="A1501" s="35" t="s">
        <v>28</v>
      </c>
      <c r="B1501" s="36" t="s">
        <v>25</v>
      </c>
      <c r="C1501" s="36" t="s">
        <v>87</v>
      </c>
      <c r="D1501" s="37">
        <v>45267</v>
      </c>
      <c r="E1501" s="38">
        <v>6297.06</v>
      </c>
      <c r="F1501" s="39">
        <v>26</v>
      </c>
    </row>
    <row r="1502" spans="1:6" x14ac:dyDescent="0.3">
      <c r="A1502" s="30" t="s">
        <v>83</v>
      </c>
      <c r="B1502" s="31" t="s">
        <v>35</v>
      </c>
      <c r="C1502" s="31" t="s">
        <v>50</v>
      </c>
      <c r="D1502" s="32">
        <v>45054</v>
      </c>
      <c r="E1502" s="33">
        <v>5859.21</v>
      </c>
      <c r="F1502" s="34">
        <v>193</v>
      </c>
    </row>
    <row r="1503" spans="1:6" x14ac:dyDescent="0.3">
      <c r="A1503" s="35" t="s">
        <v>28</v>
      </c>
      <c r="B1503" s="36" t="s">
        <v>32</v>
      </c>
      <c r="C1503" s="36" t="s">
        <v>33</v>
      </c>
      <c r="D1503" s="36" t="s">
        <v>210</v>
      </c>
      <c r="E1503" s="38">
        <v>6276.91</v>
      </c>
      <c r="F1503" s="39">
        <v>157</v>
      </c>
    </row>
    <row r="1504" spans="1:6" x14ac:dyDescent="0.3">
      <c r="A1504" s="30" t="s">
        <v>55</v>
      </c>
      <c r="B1504" s="31" t="s">
        <v>10</v>
      </c>
      <c r="C1504" s="31" t="s">
        <v>50</v>
      </c>
      <c r="D1504" s="31" t="s">
        <v>253</v>
      </c>
      <c r="E1504" s="33">
        <v>5674.7</v>
      </c>
      <c r="F1504" s="34">
        <v>147</v>
      </c>
    </row>
    <row r="1505" spans="1:6" x14ac:dyDescent="0.3">
      <c r="A1505" s="35" t="s">
        <v>34</v>
      </c>
      <c r="B1505" s="36" t="s">
        <v>32</v>
      </c>
      <c r="C1505" s="36" t="s">
        <v>26</v>
      </c>
      <c r="D1505" s="36" t="s">
        <v>188</v>
      </c>
      <c r="E1505" s="38">
        <v>1960.1</v>
      </c>
      <c r="F1505" s="39">
        <v>14</v>
      </c>
    </row>
    <row r="1506" spans="1:6" x14ac:dyDescent="0.3">
      <c r="A1506" s="30" t="s">
        <v>34</v>
      </c>
      <c r="B1506" s="31" t="s">
        <v>7</v>
      </c>
      <c r="C1506" s="31" t="s">
        <v>8</v>
      </c>
      <c r="D1506" s="31" t="s">
        <v>179</v>
      </c>
      <c r="E1506" s="33">
        <v>6540.3</v>
      </c>
      <c r="F1506" s="34">
        <v>2</v>
      </c>
    </row>
    <row r="1507" spans="1:6" x14ac:dyDescent="0.3">
      <c r="A1507" s="35" t="s">
        <v>41</v>
      </c>
      <c r="B1507" s="36" t="s">
        <v>10</v>
      </c>
      <c r="C1507" s="36" t="s">
        <v>75</v>
      </c>
      <c r="D1507" s="36" t="s">
        <v>163</v>
      </c>
      <c r="E1507" s="38">
        <v>3818.21</v>
      </c>
      <c r="F1507" s="39">
        <v>287</v>
      </c>
    </row>
    <row r="1508" spans="1:6" x14ac:dyDescent="0.3">
      <c r="A1508" s="30" t="s">
        <v>77</v>
      </c>
      <c r="B1508" s="31" t="s">
        <v>7</v>
      </c>
      <c r="C1508" s="31" t="s">
        <v>18</v>
      </c>
      <c r="D1508" s="32">
        <v>45019</v>
      </c>
      <c r="E1508" s="33">
        <v>14769.97</v>
      </c>
      <c r="F1508" s="34">
        <v>87</v>
      </c>
    </row>
    <row r="1509" spans="1:6" x14ac:dyDescent="0.3">
      <c r="A1509" s="35" t="s">
        <v>12</v>
      </c>
      <c r="B1509" s="36" t="s">
        <v>10</v>
      </c>
      <c r="C1509" s="36" t="s">
        <v>36</v>
      </c>
      <c r="D1509" s="36" t="s">
        <v>249</v>
      </c>
      <c r="E1509" s="38">
        <v>3687.44</v>
      </c>
      <c r="F1509" s="39">
        <v>73</v>
      </c>
    </row>
    <row r="1510" spans="1:6" x14ac:dyDescent="0.3">
      <c r="A1510" s="30" t="s">
        <v>29</v>
      </c>
      <c r="B1510" s="31" t="s">
        <v>15</v>
      </c>
      <c r="C1510" s="31" t="s">
        <v>42</v>
      </c>
      <c r="D1510" s="31" t="s">
        <v>169</v>
      </c>
      <c r="E1510" s="33">
        <v>1123.58</v>
      </c>
      <c r="F1510" s="34">
        <v>114</v>
      </c>
    </row>
    <row r="1511" spans="1:6" x14ac:dyDescent="0.3">
      <c r="A1511" s="35" t="s">
        <v>19</v>
      </c>
      <c r="B1511" s="36" t="s">
        <v>25</v>
      </c>
      <c r="C1511" s="36" t="s">
        <v>59</v>
      </c>
      <c r="D1511" s="37">
        <v>45205</v>
      </c>
      <c r="E1511" s="38">
        <v>4612.08</v>
      </c>
      <c r="F1511" s="39">
        <v>38</v>
      </c>
    </row>
    <row r="1512" spans="1:6" x14ac:dyDescent="0.3">
      <c r="A1512" s="30" t="s">
        <v>67</v>
      </c>
      <c r="B1512" s="31" t="s">
        <v>7</v>
      </c>
      <c r="C1512" s="31" t="s">
        <v>38</v>
      </c>
      <c r="D1512" s="31" t="s">
        <v>239</v>
      </c>
      <c r="E1512" s="33">
        <v>1600.11</v>
      </c>
      <c r="F1512" s="34">
        <v>70</v>
      </c>
    </row>
    <row r="1513" spans="1:6" x14ac:dyDescent="0.3">
      <c r="A1513" s="35" t="s">
        <v>70</v>
      </c>
      <c r="B1513" s="36" t="s">
        <v>10</v>
      </c>
      <c r="C1513" s="36" t="s">
        <v>46</v>
      </c>
      <c r="D1513" s="36" t="s">
        <v>184</v>
      </c>
      <c r="E1513" s="38">
        <v>975.67</v>
      </c>
      <c r="F1513" s="39">
        <v>105</v>
      </c>
    </row>
    <row r="1514" spans="1:6" x14ac:dyDescent="0.3">
      <c r="A1514" s="30" t="s">
        <v>37</v>
      </c>
      <c r="B1514" s="31" t="s">
        <v>25</v>
      </c>
      <c r="C1514" s="31" t="s">
        <v>90</v>
      </c>
      <c r="D1514" s="31" t="s">
        <v>200</v>
      </c>
      <c r="E1514" s="33">
        <v>5487.3</v>
      </c>
      <c r="F1514" s="34">
        <v>219</v>
      </c>
    </row>
    <row r="1515" spans="1:6" x14ac:dyDescent="0.3">
      <c r="A1515" s="35" t="s">
        <v>67</v>
      </c>
      <c r="B1515" s="36" t="s">
        <v>25</v>
      </c>
      <c r="C1515" s="36" t="s">
        <v>42</v>
      </c>
      <c r="D1515" s="37">
        <v>45019</v>
      </c>
      <c r="E1515" s="38">
        <v>4948.1499999999996</v>
      </c>
      <c r="F1515" s="39">
        <v>39</v>
      </c>
    </row>
    <row r="1516" spans="1:6" x14ac:dyDescent="0.3">
      <c r="A1516" s="30" t="s">
        <v>31</v>
      </c>
      <c r="B1516" s="31" t="s">
        <v>25</v>
      </c>
      <c r="C1516" s="31" t="s">
        <v>23</v>
      </c>
      <c r="D1516" s="31" t="s">
        <v>188</v>
      </c>
      <c r="E1516" s="33">
        <v>11460.08</v>
      </c>
      <c r="F1516" s="34">
        <v>81</v>
      </c>
    </row>
    <row r="1517" spans="1:6" x14ac:dyDescent="0.3">
      <c r="A1517" s="35" t="s">
        <v>41</v>
      </c>
      <c r="B1517" s="36" t="s">
        <v>7</v>
      </c>
      <c r="C1517" s="36" t="s">
        <v>65</v>
      </c>
      <c r="D1517" s="36" t="s">
        <v>192</v>
      </c>
      <c r="E1517" s="38">
        <v>2628.33</v>
      </c>
      <c r="F1517" s="39">
        <v>101</v>
      </c>
    </row>
    <row r="1518" spans="1:6" x14ac:dyDescent="0.3">
      <c r="A1518" s="30" t="s">
        <v>19</v>
      </c>
      <c r="B1518" s="31" t="s">
        <v>15</v>
      </c>
      <c r="C1518" s="31" t="s">
        <v>73</v>
      </c>
      <c r="D1518" s="31" t="s">
        <v>173</v>
      </c>
      <c r="E1518" s="33">
        <v>1044.3499999999999</v>
      </c>
      <c r="F1518" s="34">
        <v>126</v>
      </c>
    </row>
    <row r="1519" spans="1:6" x14ac:dyDescent="0.3">
      <c r="A1519" s="35" t="s">
        <v>58</v>
      </c>
      <c r="B1519" s="36" t="s">
        <v>32</v>
      </c>
      <c r="C1519" s="36" t="s">
        <v>73</v>
      </c>
      <c r="D1519" s="36" t="s">
        <v>218</v>
      </c>
      <c r="E1519" s="38">
        <v>7449.7</v>
      </c>
      <c r="F1519" s="39">
        <v>264</v>
      </c>
    </row>
    <row r="1520" spans="1:6" x14ac:dyDescent="0.3">
      <c r="A1520" s="30" t="s">
        <v>45</v>
      </c>
      <c r="B1520" s="31" t="s">
        <v>35</v>
      </c>
      <c r="C1520" s="31" t="s">
        <v>33</v>
      </c>
      <c r="D1520" s="32">
        <v>45171</v>
      </c>
      <c r="E1520" s="33">
        <v>9315.64</v>
      </c>
      <c r="F1520" s="34">
        <v>88</v>
      </c>
    </row>
    <row r="1521" spans="1:6" x14ac:dyDescent="0.3">
      <c r="A1521" s="35" t="s">
        <v>34</v>
      </c>
      <c r="B1521" s="36" t="s">
        <v>35</v>
      </c>
      <c r="C1521" s="36" t="s">
        <v>33</v>
      </c>
      <c r="D1521" s="36" t="s">
        <v>213</v>
      </c>
      <c r="E1521" s="38">
        <v>3820.94</v>
      </c>
      <c r="F1521" s="39">
        <v>179</v>
      </c>
    </row>
    <row r="1522" spans="1:6" x14ac:dyDescent="0.3">
      <c r="A1522" s="30" t="s">
        <v>77</v>
      </c>
      <c r="B1522" s="31" t="s">
        <v>25</v>
      </c>
      <c r="C1522" s="31" t="s">
        <v>90</v>
      </c>
      <c r="D1522" s="32">
        <v>44928</v>
      </c>
      <c r="E1522" s="33">
        <v>3782.83</v>
      </c>
      <c r="F1522" s="34">
        <v>150</v>
      </c>
    </row>
    <row r="1523" spans="1:6" x14ac:dyDescent="0.3">
      <c r="A1523" s="35" t="s">
        <v>34</v>
      </c>
      <c r="B1523" s="36" t="s">
        <v>10</v>
      </c>
      <c r="C1523" s="36" t="s">
        <v>38</v>
      </c>
      <c r="D1523" s="37">
        <v>45110</v>
      </c>
      <c r="E1523" s="38">
        <v>4525.72</v>
      </c>
      <c r="F1523" s="39">
        <v>146</v>
      </c>
    </row>
    <row r="1524" spans="1:6" x14ac:dyDescent="0.3">
      <c r="A1524" s="30" t="s">
        <v>83</v>
      </c>
      <c r="B1524" s="31" t="s">
        <v>7</v>
      </c>
      <c r="C1524" s="31" t="s">
        <v>59</v>
      </c>
      <c r="D1524" s="32">
        <v>44986</v>
      </c>
      <c r="E1524" s="33">
        <v>3730.79</v>
      </c>
      <c r="F1524" s="34">
        <v>237</v>
      </c>
    </row>
    <row r="1525" spans="1:6" x14ac:dyDescent="0.3">
      <c r="A1525" s="35" t="s">
        <v>83</v>
      </c>
      <c r="B1525" s="36" t="s">
        <v>32</v>
      </c>
      <c r="C1525" s="36" t="s">
        <v>59</v>
      </c>
      <c r="D1525" s="37">
        <v>45232</v>
      </c>
      <c r="E1525" s="38">
        <v>6068.19</v>
      </c>
      <c r="F1525" s="39">
        <v>349</v>
      </c>
    </row>
    <row r="1526" spans="1:6" x14ac:dyDescent="0.3">
      <c r="A1526" s="30" t="s">
        <v>58</v>
      </c>
      <c r="B1526" s="31" t="s">
        <v>25</v>
      </c>
      <c r="C1526" s="31" t="s">
        <v>33</v>
      </c>
      <c r="D1526" s="31" t="s">
        <v>211</v>
      </c>
      <c r="E1526" s="33">
        <v>4944.46</v>
      </c>
      <c r="F1526" s="34">
        <v>144</v>
      </c>
    </row>
    <row r="1527" spans="1:6" x14ac:dyDescent="0.3">
      <c r="A1527" s="35" t="s">
        <v>79</v>
      </c>
      <c r="B1527" s="36" t="s">
        <v>10</v>
      </c>
      <c r="C1527" s="36" t="s">
        <v>59</v>
      </c>
      <c r="D1527" s="36" t="s">
        <v>215</v>
      </c>
      <c r="E1527" s="38">
        <v>12331.35</v>
      </c>
      <c r="F1527" s="39">
        <v>337</v>
      </c>
    </row>
    <row r="1528" spans="1:6" x14ac:dyDescent="0.3">
      <c r="A1528" s="30" t="s">
        <v>12</v>
      </c>
      <c r="B1528" s="31" t="s">
        <v>10</v>
      </c>
      <c r="C1528" s="31" t="s">
        <v>60</v>
      </c>
      <c r="D1528" s="32">
        <v>45265</v>
      </c>
      <c r="E1528" s="33">
        <v>5290.76</v>
      </c>
      <c r="F1528" s="34">
        <v>76</v>
      </c>
    </row>
    <row r="1529" spans="1:6" x14ac:dyDescent="0.3">
      <c r="A1529" s="35" t="s">
        <v>9</v>
      </c>
      <c r="B1529" s="36" t="s">
        <v>10</v>
      </c>
      <c r="C1529" s="36" t="s">
        <v>50</v>
      </c>
      <c r="D1529" s="37">
        <v>45234</v>
      </c>
      <c r="E1529" s="38">
        <v>6874.06</v>
      </c>
      <c r="F1529" s="39">
        <v>4</v>
      </c>
    </row>
    <row r="1530" spans="1:6" x14ac:dyDescent="0.3">
      <c r="A1530" s="30" t="s">
        <v>14</v>
      </c>
      <c r="B1530" s="31" t="s">
        <v>25</v>
      </c>
      <c r="C1530" s="31" t="s">
        <v>8</v>
      </c>
      <c r="D1530" s="31" t="s">
        <v>180</v>
      </c>
      <c r="E1530" s="33">
        <v>20402.169999999998</v>
      </c>
      <c r="F1530" s="34">
        <v>297</v>
      </c>
    </row>
    <row r="1531" spans="1:6" x14ac:dyDescent="0.3">
      <c r="A1531" s="35" t="s">
        <v>79</v>
      </c>
      <c r="B1531" s="36" t="s">
        <v>25</v>
      </c>
      <c r="C1531" s="36" t="s">
        <v>59</v>
      </c>
      <c r="D1531" s="36" t="s">
        <v>177</v>
      </c>
      <c r="E1531" s="38">
        <v>7923.1</v>
      </c>
      <c r="F1531" s="39">
        <v>62</v>
      </c>
    </row>
    <row r="1532" spans="1:6" x14ac:dyDescent="0.3">
      <c r="A1532" s="30" t="s">
        <v>29</v>
      </c>
      <c r="B1532" s="31" t="s">
        <v>35</v>
      </c>
      <c r="C1532" s="31" t="s">
        <v>90</v>
      </c>
      <c r="D1532" s="32">
        <v>44934</v>
      </c>
      <c r="E1532" s="33">
        <v>8145.99</v>
      </c>
      <c r="F1532" s="34">
        <v>100</v>
      </c>
    </row>
    <row r="1533" spans="1:6" x14ac:dyDescent="0.3">
      <c r="A1533" s="35" t="s">
        <v>55</v>
      </c>
      <c r="B1533" s="36" t="s">
        <v>32</v>
      </c>
      <c r="C1533" s="36" t="s">
        <v>46</v>
      </c>
      <c r="D1533" s="36" t="s">
        <v>177</v>
      </c>
      <c r="E1533" s="38">
        <v>16253.25</v>
      </c>
      <c r="F1533" s="39">
        <v>58</v>
      </c>
    </row>
    <row r="1534" spans="1:6" x14ac:dyDescent="0.3">
      <c r="A1534" s="30" t="s">
        <v>28</v>
      </c>
      <c r="B1534" s="31" t="s">
        <v>10</v>
      </c>
      <c r="C1534" s="31" t="s">
        <v>23</v>
      </c>
      <c r="D1534" s="31" t="s">
        <v>214</v>
      </c>
      <c r="E1534" s="33">
        <v>5744.07</v>
      </c>
      <c r="F1534" s="34">
        <v>49</v>
      </c>
    </row>
    <row r="1535" spans="1:6" x14ac:dyDescent="0.3">
      <c r="A1535" s="35" t="s">
        <v>19</v>
      </c>
      <c r="B1535" s="36" t="s">
        <v>25</v>
      </c>
      <c r="C1535" s="36" t="s">
        <v>73</v>
      </c>
      <c r="D1535" s="36" t="s">
        <v>233</v>
      </c>
      <c r="E1535" s="38">
        <v>4908.71</v>
      </c>
      <c r="F1535" s="39">
        <v>288</v>
      </c>
    </row>
    <row r="1536" spans="1:6" x14ac:dyDescent="0.3">
      <c r="A1536" s="30" t="s">
        <v>58</v>
      </c>
      <c r="B1536" s="31" t="s">
        <v>32</v>
      </c>
      <c r="C1536" s="31" t="s">
        <v>38</v>
      </c>
      <c r="D1536" s="32">
        <v>45204</v>
      </c>
      <c r="E1536" s="33">
        <v>2369.87</v>
      </c>
      <c r="F1536" s="34">
        <v>139</v>
      </c>
    </row>
    <row r="1537" spans="1:6" x14ac:dyDescent="0.3">
      <c r="A1537" s="35" t="s">
        <v>19</v>
      </c>
      <c r="B1537" s="36" t="s">
        <v>10</v>
      </c>
      <c r="C1537" s="36" t="s">
        <v>36</v>
      </c>
      <c r="D1537" s="36" t="s">
        <v>206</v>
      </c>
      <c r="E1537" s="38">
        <v>5973.24</v>
      </c>
      <c r="F1537" s="39">
        <v>337</v>
      </c>
    </row>
    <row r="1538" spans="1:6" x14ac:dyDescent="0.3">
      <c r="A1538" s="30" t="s">
        <v>83</v>
      </c>
      <c r="B1538" s="31" t="s">
        <v>25</v>
      </c>
      <c r="C1538" s="31" t="s">
        <v>42</v>
      </c>
      <c r="D1538" s="31" t="s">
        <v>189</v>
      </c>
      <c r="E1538" s="33">
        <v>8047.16</v>
      </c>
      <c r="F1538" s="34">
        <v>86</v>
      </c>
    </row>
    <row r="1539" spans="1:6" x14ac:dyDescent="0.3">
      <c r="A1539" s="35" t="s">
        <v>12</v>
      </c>
      <c r="B1539" s="36" t="s">
        <v>7</v>
      </c>
      <c r="C1539" s="36" t="s">
        <v>87</v>
      </c>
      <c r="D1539" s="36" t="s">
        <v>192</v>
      </c>
      <c r="E1539" s="38">
        <v>9656.56</v>
      </c>
      <c r="F1539" s="39">
        <v>400</v>
      </c>
    </row>
    <row r="1540" spans="1:6" x14ac:dyDescent="0.3">
      <c r="A1540" s="30" t="s">
        <v>14</v>
      </c>
      <c r="B1540" s="31" t="s">
        <v>15</v>
      </c>
      <c r="C1540" s="31" t="s">
        <v>26</v>
      </c>
      <c r="D1540" s="31" t="s">
        <v>230</v>
      </c>
      <c r="E1540" s="33">
        <v>3925.06</v>
      </c>
      <c r="F1540" s="34">
        <v>186</v>
      </c>
    </row>
    <row r="1541" spans="1:6" x14ac:dyDescent="0.3">
      <c r="A1541" s="35" t="s">
        <v>41</v>
      </c>
      <c r="B1541" s="36" t="s">
        <v>15</v>
      </c>
      <c r="C1541" s="36" t="s">
        <v>18</v>
      </c>
      <c r="D1541" s="36" t="s">
        <v>164</v>
      </c>
      <c r="E1541" s="38">
        <v>11682.62</v>
      </c>
      <c r="F1541" s="39">
        <v>506</v>
      </c>
    </row>
    <row r="1542" spans="1:6" x14ac:dyDescent="0.3">
      <c r="A1542" s="30" t="s">
        <v>83</v>
      </c>
      <c r="B1542" s="31" t="s">
        <v>32</v>
      </c>
      <c r="C1542" s="31" t="s">
        <v>42</v>
      </c>
      <c r="D1542" s="31" t="s">
        <v>168</v>
      </c>
      <c r="E1542" s="33">
        <v>7874.15</v>
      </c>
      <c r="F1542" s="34">
        <v>13</v>
      </c>
    </row>
    <row r="1543" spans="1:6" x14ac:dyDescent="0.3">
      <c r="A1543" s="35" t="s">
        <v>28</v>
      </c>
      <c r="B1543" s="36" t="s">
        <v>35</v>
      </c>
      <c r="C1543" s="36" t="s">
        <v>8</v>
      </c>
      <c r="D1543" s="36" t="s">
        <v>210</v>
      </c>
      <c r="E1543" s="38">
        <v>5061.37</v>
      </c>
      <c r="F1543" s="39">
        <v>179</v>
      </c>
    </row>
    <row r="1544" spans="1:6" x14ac:dyDescent="0.3">
      <c r="A1544" s="30" t="s">
        <v>55</v>
      </c>
      <c r="B1544" s="31" t="s">
        <v>7</v>
      </c>
      <c r="C1544" s="31" t="s">
        <v>33</v>
      </c>
      <c r="D1544" s="31" t="s">
        <v>179</v>
      </c>
      <c r="E1544" s="33">
        <v>2099.2399999999998</v>
      </c>
      <c r="F1544" s="34">
        <v>186</v>
      </c>
    </row>
    <row r="1545" spans="1:6" x14ac:dyDescent="0.3">
      <c r="A1545" s="35" t="s">
        <v>37</v>
      </c>
      <c r="B1545" s="36" t="s">
        <v>15</v>
      </c>
      <c r="C1545" s="36" t="s">
        <v>100</v>
      </c>
      <c r="D1545" s="36" t="s">
        <v>246</v>
      </c>
      <c r="E1545" s="38">
        <v>237.57</v>
      </c>
      <c r="F1545" s="39">
        <v>311</v>
      </c>
    </row>
    <row r="1546" spans="1:6" x14ac:dyDescent="0.3">
      <c r="A1546" s="30" t="s">
        <v>22</v>
      </c>
      <c r="B1546" s="31" t="s">
        <v>35</v>
      </c>
      <c r="C1546" s="31" t="s">
        <v>8</v>
      </c>
      <c r="D1546" s="32">
        <v>44933</v>
      </c>
      <c r="E1546" s="33">
        <v>8829.77</v>
      </c>
      <c r="F1546" s="34">
        <v>445</v>
      </c>
    </row>
    <row r="1547" spans="1:6" x14ac:dyDescent="0.3">
      <c r="A1547" s="35" t="s">
        <v>45</v>
      </c>
      <c r="B1547" s="36" t="s">
        <v>32</v>
      </c>
      <c r="C1547" s="36" t="s">
        <v>13</v>
      </c>
      <c r="D1547" s="36" t="s">
        <v>207</v>
      </c>
      <c r="E1547" s="38">
        <v>1733.09</v>
      </c>
      <c r="F1547" s="39">
        <v>135</v>
      </c>
    </row>
    <row r="1548" spans="1:6" x14ac:dyDescent="0.3">
      <c r="A1548" s="30" t="s">
        <v>48</v>
      </c>
      <c r="B1548" s="31" t="s">
        <v>35</v>
      </c>
      <c r="C1548" s="31" t="s">
        <v>18</v>
      </c>
      <c r="D1548" s="32">
        <v>44934</v>
      </c>
      <c r="E1548" s="33">
        <v>3047.18</v>
      </c>
      <c r="F1548" s="34">
        <v>12</v>
      </c>
    </row>
    <row r="1549" spans="1:6" x14ac:dyDescent="0.3">
      <c r="A1549" s="35" t="s">
        <v>19</v>
      </c>
      <c r="B1549" s="36" t="s">
        <v>15</v>
      </c>
      <c r="C1549" s="36" t="s">
        <v>46</v>
      </c>
      <c r="D1549" s="36" t="s">
        <v>249</v>
      </c>
      <c r="E1549" s="38">
        <v>8497.7199999999993</v>
      </c>
      <c r="F1549" s="39">
        <v>276</v>
      </c>
    </row>
    <row r="1550" spans="1:6" x14ac:dyDescent="0.3">
      <c r="A1550" s="30" t="s">
        <v>71</v>
      </c>
      <c r="B1550" s="31" t="s">
        <v>25</v>
      </c>
      <c r="C1550" s="31" t="s">
        <v>50</v>
      </c>
      <c r="D1550" s="31" t="s">
        <v>164</v>
      </c>
      <c r="E1550" s="33">
        <v>12557.56</v>
      </c>
      <c r="F1550" s="34">
        <v>26</v>
      </c>
    </row>
    <row r="1551" spans="1:6" x14ac:dyDescent="0.3">
      <c r="A1551" s="35" t="s">
        <v>12</v>
      </c>
      <c r="B1551" s="36" t="s">
        <v>7</v>
      </c>
      <c r="C1551" s="36" t="s">
        <v>46</v>
      </c>
      <c r="D1551" s="36" t="s">
        <v>247</v>
      </c>
      <c r="E1551" s="38">
        <v>1406.91</v>
      </c>
      <c r="F1551" s="39">
        <v>231</v>
      </c>
    </row>
    <row r="1552" spans="1:6" x14ac:dyDescent="0.3">
      <c r="A1552" s="30" t="s">
        <v>67</v>
      </c>
      <c r="B1552" s="31" t="s">
        <v>15</v>
      </c>
      <c r="C1552" s="31" t="s">
        <v>11</v>
      </c>
      <c r="D1552" s="31" t="s">
        <v>202</v>
      </c>
      <c r="E1552" s="33">
        <v>4496.32</v>
      </c>
      <c r="F1552" s="34">
        <v>240</v>
      </c>
    </row>
    <row r="1553" spans="1:6" x14ac:dyDescent="0.3">
      <c r="A1553" s="35" t="s">
        <v>71</v>
      </c>
      <c r="B1553" s="36" t="s">
        <v>15</v>
      </c>
      <c r="C1553" s="36" t="s">
        <v>18</v>
      </c>
      <c r="D1553" s="37">
        <v>44988</v>
      </c>
      <c r="E1553" s="38">
        <v>8220.25</v>
      </c>
      <c r="F1553" s="39">
        <v>125</v>
      </c>
    </row>
    <row r="1554" spans="1:6" x14ac:dyDescent="0.3">
      <c r="A1554" s="30" t="s">
        <v>45</v>
      </c>
      <c r="B1554" s="31" t="s">
        <v>10</v>
      </c>
      <c r="C1554" s="31" t="s">
        <v>90</v>
      </c>
      <c r="D1554" s="31" t="s">
        <v>174</v>
      </c>
      <c r="E1554" s="33">
        <v>9588.0300000000007</v>
      </c>
      <c r="F1554" s="34">
        <v>562</v>
      </c>
    </row>
    <row r="1555" spans="1:6" x14ac:dyDescent="0.3">
      <c r="A1555" s="35" t="s">
        <v>37</v>
      </c>
      <c r="B1555" s="36" t="s">
        <v>32</v>
      </c>
      <c r="C1555" s="36" t="s">
        <v>38</v>
      </c>
      <c r="D1555" s="36" t="s">
        <v>179</v>
      </c>
      <c r="E1555" s="38">
        <v>114.82</v>
      </c>
      <c r="F1555" s="39">
        <v>231</v>
      </c>
    </row>
    <row r="1556" spans="1:6" x14ac:dyDescent="0.3">
      <c r="A1556" s="30" t="s">
        <v>67</v>
      </c>
      <c r="B1556" s="31" t="s">
        <v>35</v>
      </c>
      <c r="C1556" s="31" t="s">
        <v>42</v>
      </c>
      <c r="D1556" s="32">
        <v>45017</v>
      </c>
      <c r="E1556" s="33">
        <v>8804.98</v>
      </c>
      <c r="F1556" s="34">
        <v>214</v>
      </c>
    </row>
    <row r="1557" spans="1:6" x14ac:dyDescent="0.3">
      <c r="A1557" s="35" t="s">
        <v>6</v>
      </c>
      <c r="B1557" s="36" t="s">
        <v>15</v>
      </c>
      <c r="C1557" s="36" t="s">
        <v>38</v>
      </c>
      <c r="D1557" s="36" t="s">
        <v>225</v>
      </c>
      <c r="E1557" s="38">
        <v>2900.61</v>
      </c>
      <c r="F1557" s="39">
        <v>68</v>
      </c>
    </row>
    <row r="1558" spans="1:6" x14ac:dyDescent="0.3">
      <c r="A1558" s="30" t="s">
        <v>37</v>
      </c>
      <c r="B1558" s="31" t="s">
        <v>32</v>
      </c>
      <c r="C1558" s="31" t="s">
        <v>8</v>
      </c>
      <c r="D1558" s="31" t="s">
        <v>252</v>
      </c>
      <c r="E1558" s="33">
        <v>16773.080000000002</v>
      </c>
      <c r="F1558" s="34">
        <v>58</v>
      </c>
    </row>
    <row r="1559" spans="1:6" x14ac:dyDescent="0.3">
      <c r="A1559" s="35" t="s">
        <v>48</v>
      </c>
      <c r="B1559" s="36" t="s">
        <v>25</v>
      </c>
      <c r="C1559" s="36" t="s">
        <v>50</v>
      </c>
      <c r="D1559" s="37">
        <v>45200</v>
      </c>
      <c r="E1559" s="38">
        <v>4153.59</v>
      </c>
      <c r="F1559" s="39">
        <v>513</v>
      </c>
    </row>
    <row r="1560" spans="1:6" x14ac:dyDescent="0.3">
      <c r="A1560" s="30" t="s">
        <v>77</v>
      </c>
      <c r="B1560" s="31" t="s">
        <v>32</v>
      </c>
      <c r="C1560" s="31" t="s">
        <v>59</v>
      </c>
      <c r="D1560" s="32">
        <v>45021</v>
      </c>
      <c r="E1560" s="33">
        <v>12571.07</v>
      </c>
      <c r="F1560" s="34">
        <v>226</v>
      </c>
    </row>
    <row r="1561" spans="1:6" x14ac:dyDescent="0.3">
      <c r="A1561" s="35" t="s">
        <v>67</v>
      </c>
      <c r="B1561" s="36" t="s">
        <v>32</v>
      </c>
      <c r="C1561" s="36" t="s">
        <v>50</v>
      </c>
      <c r="D1561" s="36" t="s">
        <v>239</v>
      </c>
      <c r="E1561" s="38">
        <v>2553.46</v>
      </c>
      <c r="F1561" s="39">
        <v>5</v>
      </c>
    </row>
    <row r="1562" spans="1:6" x14ac:dyDescent="0.3">
      <c r="A1562" s="30" t="s">
        <v>31</v>
      </c>
      <c r="B1562" s="31" t="s">
        <v>25</v>
      </c>
      <c r="C1562" s="31" t="s">
        <v>57</v>
      </c>
      <c r="D1562" s="31" t="s">
        <v>254</v>
      </c>
      <c r="E1562" s="33">
        <v>1888.94</v>
      </c>
      <c r="F1562" s="34">
        <v>159</v>
      </c>
    </row>
    <row r="1563" spans="1:6" x14ac:dyDescent="0.3">
      <c r="A1563" s="35" t="s">
        <v>19</v>
      </c>
      <c r="B1563" s="36" t="s">
        <v>35</v>
      </c>
      <c r="C1563" s="36" t="s">
        <v>42</v>
      </c>
      <c r="D1563" s="37">
        <v>45053</v>
      </c>
      <c r="E1563" s="38">
        <v>1310.04</v>
      </c>
      <c r="F1563" s="39">
        <v>71</v>
      </c>
    </row>
    <row r="1564" spans="1:6" x14ac:dyDescent="0.3">
      <c r="A1564" s="30" t="s">
        <v>77</v>
      </c>
      <c r="B1564" s="31" t="s">
        <v>7</v>
      </c>
      <c r="C1564" s="31" t="s">
        <v>42</v>
      </c>
      <c r="D1564" s="31" t="s">
        <v>244</v>
      </c>
      <c r="E1564" s="33">
        <v>7805.9</v>
      </c>
      <c r="F1564" s="34">
        <v>179</v>
      </c>
    </row>
    <row r="1565" spans="1:6" x14ac:dyDescent="0.3">
      <c r="A1565" s="35" t="s">
        <v>79</v>
      </c>
      <c r="B1565" s="36" t="s">
        <v>32</v>
      </c>
      <c r="C1565" s="36" t="s">
        <v>8</v>
      </c>
      <c r="D1565" s="36" t="s">
        <v>212</v>
      </c>
      <c r="E1565" s="38">
        <v>6101.12</v>
      </c>
      <c r="F1565" s="39">
        <v>261</v>
      </c>
    </row>
    <row r="1566" spans="1:6" x14ac:dyDescent="0.3">
      <c r="A1566" s="30" t="s">
        <v>70</v>
      </c>
      <c r="B1566" s="31" t="s">
        <v>32</v>
      </c>
      <c r="C1566" s="31" t="s">
        <v>33</v>
      </c>
      <c r="D1566" s="32">
        <v>44987</v>
      </c>
      <c r="E1566" s="33">
        <v>1425.81</v>
      </c>
      <c r="F1566" s="34">
        <v>133</v>
      </c>
    </row>
    <row r="1567" spans="1:6" x14ac:dyDescent="0.3">
      <c r="A1567" s="35" t="s">
        <v>12</v>
      </c>
      <c r="B1567" s="36" t="s">
        <v>15</v>
      </c>
      <c r="C1567" s="36" t="s">
        <v>90</v>
      </c>
      <c r="D1567" s="37">
        <v>45145</v>
      </c>
      <c r="E1567" s="38">
        <v>8724.4</v>
      </c>
      <c r="F1567" s="39">
        <v>147</v>
      </c>
    </row>
    <row r="1568" spans="1:6" x14ac:dyDescent="0.3">
      <c r="A1568" s="30" t="s">
        <v>34</v>
      </c>
      <c r="B1568" s="31" t="s">
        <v>10</v>
      </c>
      <c r="C1568" s="31" t="s">
        <v>26</v>
      </c>
      <c r="D1568" s="31" t="s">
        <v>229</v>
      </c>
      <c r="E1568" s="33">
        <v>664.82</v>
      </c>
      <c r="F1568" s="34">
        <v>147</v>
      </c>
    </row>
    <row r="1569" spans="1:6" x14ac:dyDescent="0.3">
      <c r="A1569" s="35" t="s">
        <v>9</v>
      </c>
      <c r="B1569" s="36" t="s">
        <v>25</v>
      </c>
      <c r="C1569" s="36" t="s">
        <v>8</v>
      </c>
      <c r="D1569" s="36" t="s">
        <v>172</v>
      </c>
      <c r="E1569" s="38">
        <v>4351.3100000000004</v>
      </c>
      <c r="F1569" s="39">
        <v>103</v>
      </c>
    </row>
    <row r="1570" spans="1:6" x14ac:dyDescent="0.3">
      <c r="A1570" s="30" t="s">
        <v>9</v>
      </c>
      <c r="B1570" s="31" t="s">
        <v>10</v>
      </c>
      <c r="C1570" s="31" t="s">
        <v>26</v>
      </c>
      <c r="D1570" s="31" t="s">
        <v>233</v>
      </c>
      <c r="E1570" s="33">
        <v>5825.09</v>
      </c>
      <c r="F1570" s="34">
        <v>123</v>
      </c>
    </row>
    <row r="1571" spans="1:6" x14ac:dyDescent="0.3">
      <c r="A1571" s="35" t="s">
        <v>9</v>
      </c>
      <c r="B1571" s="36" t="s">
        <v>32</v>
      </c>
      <c r="C1571" s="36" t="s">
        <v>60</v>
      </c>
      <c r="D1571" s="36" t="s">
        <v>229</v>
      </c>
      <c r="E1571" s="38">
        <v>2418.9299999999998</v>
      </c>
      <c r="F1571" s="39">
        <v>110</v>
      </c>
    </row>
    <row r="1572" spans="1:6" x14ac:dyDescent="0.3">
      <c r="A1572" s="30" t="s">
        <v>64</v>
      </c>
      <c r="B1572" s="31" t="s">
        <v>32</v>
      </c>
      <c r="C1572" s="31" t="s">
        <v>33</v>
      </c>
      <c r="D1572" s="31" t="s">
        <v>176</v>
      </c>
      <c r="E1572" s="33">
        <v>7725.52</v>
      </c>
      <c r="F1572" s="34">
        <v>38</v>
      </c>
    </row>
    <row r="1573" spans="1:6" x14ac:dyDescent="0.3">
      <c r="A1573" s="35" t="s">
        <v>31</v>
      </c>
      <c r="B1573" s="36" t="s">
        <v>25</v>
      </c>
      <c r="C1573" s="36" t="s">
        <v>36</v>
      </c>
      <c r="D1573" s="36" t="s">
        <v>205</v>
      </c>
      <c r="E1573" s="38">
        <v>7144.08</v>
      </c>
      <c r="F1573" s="39">
        <v>32</v>
      </c>
    </row>
    <row r="1574" spans="1:6" x14ac:dyDescent="0.3">
      <c r="A1574" s="30" t="s">
        <v>12</v>
      </c>
      <c r="B1574" s="31" t="s">
        <v>32</v>
      </c>
      <c r="C1574" s="31" t="s">
        <v>23</v>
      </c>
      <c r="D1574" s="31" t="s">
        <v>225</v>
      </c>
      <c r="E1574" s="33">
        <v>2043.13</v>
      </c>
      <c r="F1574" s="34">
        <v>243</v>
      </c>
    </row>
    <row r="1575" spans="1:6" x14ac:dyDescent="0.3">
      <c r="A1575" s="35" t="s">
        <v>31</v>
      </c>
      <c r="B1575" s="36" t="s">
        <v>25</v>
      </c>
      <c r="C1575" s="36" t="s">
        <v>8</v>
      </c>
      <c r="D1575" s="36" t="s">
        <v>212</v>
      </c>
      <c r="E1575" s="38">
        <v>6526.01</v>
      </c>
      <c r="F1575" s="39">
        <v>147</v>
      </c>
    </row>
    <row r="1576" spans="1:6" x14ac:dyDescent="0.3">
      <c r="A1576" s="30" t="s">
        <v>58</v>
      </c>
      <c r="B1576" s="31" t="s">
        <v>35</v>
      </c>
      <c r="C1576" s="31" t="s">
        <v>11</v>
      </c>
      <c r="D1576" s="32">
        <v>44934</v>
      </c>
      <c r="E1576" s="33">
        <v>11334.77</v>
      </c>
      <c r="F1576" s="34">
        <v>89</v>
      </c>
    </row>
    <row r="1577" spans="1:6" x14ac:dyDescent="0.3">
      <c r="A1577" s="35" t="s">
        <v>41</v>
      </c>
      <c r="B1577" s="36" t="s">
        <v>25</v>
      </c>
      <c r="C1577" s="36" t="s">
        <v>18</v>
      </c>
      <c r="D1577" s="36" t="s">
        <v>183</v>
      </c>
      <c r="E1577" s="38">
        <v>2492.67</v>
      </c>
      <c r="F1577" s="39">
        <v>58</v>
      </c>
    </row>
    <row r="1578" spans="1:6" x14ac:dyDescent="0.3">
      <c r="A1578" s="30" t="s">
        <v>53</v>
      </c>
      <c r="B1578" s="31" t="s">
        <v>32</v>
      </c>
      <c r="C1578" s="31" t="s">
        <v>59</v>
      </c>
      <c r="D1578" s="31" t="s">
        <v>198</v>
      </c>
      <c r="E1578" s="33">
        <v>2066.48</v>
      </c>
      <c r="F1578" s="34">
        <v>59</v>
      </c>
    </row>
    <row r="1579" spans="1:6" x14ac:dyDescent="0.3">
      <c r="A1579" s="35" t="s">
        <v>67</v>
      </c>
      <c r="B1579" s="36" t="s">
        <v>15</v>
      </c>
      <c r="C1579" s="36" t="s">
        <v>13</v>
      </c>
      <c r="D1579" s="36" t="s">
        <v>166</v>
      </c>
      <c r="E1579" s="38">
        <v>7009.01</v>
      </c>
      <c r="F1579" s="39">
        <v>150</v>
      </c>
    </row>
    <row r="1580" spans="1:6" x14ac:dyDescent="0.3">
      <c r="A1580" s="30" t="s">
        <v>58</v>
      </c>
      <c r="B1580" s="31" t="s">
        <v>10</v>
      </c>
      <c r="C1580" s="31" t="s">
        <v>11</v>
      </c>
      <c r="D1580" s="31" t="s">
        <v>180</v>
      </c>
      <c r="E1580" s="33">
        <v>4562.97</v>
      </c>
      <c r="F1580" s="34">
        <v>21</v>
      </c>
    </row>
    <row r="1581" spans="1:6" x14ac:dyDescent="0.3">
      <c r="A1581" s="35" t="s">
        <v>48</v>
      </c>
      <c r="B1581" s="36" t="s">
        <v>7</v>
      </c>
      <c r="C1581" s="36" t="s">
        <v>26</v>
      </c>
      <c r="D1581" s="37">
        <v>45141</v>
      </c>
      <c r="E1581" s="38">
        <v>3442.99</v>
      </c>
      <c r="F1581" s="39">
        <v>142</v>
      </c>
    </row>
    <row r="1582" spans="1:6" x14ac:dyDescent="0.3">
      <c r="A1582" s="30" t="s">
        <v>22</v>
      </c>
      <c r="B1582" s="31" t="s">
        <v>32</v>
      </c>
      <c r="C1582" s="31" t="s">
        <v>57</v>
      </c>
      <c r="D1582" s="32">
        <v>45172</v>
      </c>
      <c r="E1582" s="33">
        <v>6669.6</v>
      </c>
      <c r="F1582" s="34">
        <v>99</v>
      </c>
    </row>
    <row r="1583" spans="1:6" x14ac:dyDescent="0.3">
      <c r="A1583" s="35" t="s">
        <v>19</v>
      </c>
      <c r="B1583" s="36" t="s">
        <v>35</v>
      </c>
      <c r="C1583" s="36" t="s">
        <v>73</v>
      </c>
      <c r="D1583" s="36" t="s">
        <v>214</v>
      </c>
      <c r="E1583" s="38">
        <v>1902.47</v>
      </c>
      <c r="F1583" s="39">
        <v>217</v>
      </c>
    </row>
    <row r="1584" spans="1:6" x14ac:dyDescent="0.3">
      <c r="A1584" s="30" t="s">
        <v>12</v>
      </c>
      <c r="B1584" s="31" t="s">
        <v>7</v>
      </c>
      <c r="C1584" s="31" t="s">
        <v>38</v>
      </c>
      <c r="D1584" s="31" t="s">
        <v>180</v>
      </c>
      <c r="E1584" s="33">
        <v>6157.17</v>
      </c>
      <c r="F1584" s="34">
        <v>43</v>
      </c>
    </row>
    <row r="1585" spans="1:6" x14ac:dyDescent="0.3">
      <c r="A1585" s="35" t="s">
        <v>70</v>
      </c>
      <c r="B1585" s="36" t="s">
        <v>10</v>
      </c>
      <c r="C1585" s="36" t="s">
        <v>8</v>
      </c>
      <c r="D1585" s="36" t="s">
        <v>168</v>
      </c>
      <c r="E1585" s="38">
        <v>3012.68</v>
      </c>
      <c r="F1585" s="39">
        <v>129</v>
      </c>
    </row>
    <row r="1586" spans="1:6" x14ac:dyDescent="0.3">
      <c r="A1586" s="30" t="s">
        <v>37</v>
      </c>
      <c r="B1586" s="31" t="s">
        <v>35</v>
      </c>
      <c r="C1586" s="31" t="s">
        <v>13</v>
      </c>
      <c r="D1586" s="32">
        <v>45268</v>
      </c>
      <c r="E1586" s="33">
        <v>3473.62</v>
      </c>
      <c r="F1586" s="34">
        <v>170</v>
      </c>
    </row>
    <row r="1587" spans="1:6" x14ac:dyDescent="0.3">
      <c r="A1587" s="35" t="s">
        <v>31</v>
      </c>
      <c r="B1587" s="36" t="s">
        <v>7</v>
      </c>
      <c r="C1587" s="36" t="s">
        <v>8</v>
      </c>
      <c r="D1587" s="37">
        <v>45114</v>
      </c>
      <c r="E1587" s="38">
        <v>4129.9799999999996</v>
      </c>
      <c r="F1587" s="39">
        <v>332</v>
      </c>
    </row>
    <row r="1588" spans="1:6" x14ac:dyDescent="0.3">
      <c r="A1588" s="30" t="s">
        <v>31</v>
      </c>
      <c r="B1588" s="31" t="s">
        <v>32</v>
      </c>
      <c r="C1588" s="31" t="s">
        <v>11</v>
      </c>
      <c r="D1588" s="31" t="s">
        <v>206</v>
      </c>
      <c r="E1588" s="33">
        <v>14566.22</v>
      </c>
      <c r="F1588" s="34">
        <v>45</v>
      </c>
    </row>
    <row r="1589" spans="1:6" x14ac:dyDescent="0.3">
      <c r="A1589" s="35" t="s">
        <v>53</v>
      </c>
      <c r="B1589" s="36" t="s">
        <v>35</v>
      </c>
      <c r="C1589" s="36" t="s">
        <v>36</v>
      </c>
      <c r="D1589" s="36" t="s">
        <v>255</v>
      </c>
      <c r="E1589" s="38">
        <v>4049.61</v>
      </c>
      <c r="F1589" s="39">
        <v>255</v>
      </c>
    </row>
    <row r="1590" spans="1:6" x14ac:dyDescent="0.3">
      <c r="A1590" s="30" t="s">
        <v>14</v>
      </c>
      <c r="B1590" s="31" t="s">
        <v>15</v>
      </c>
      <c r="C1590" s="31" t="s">
        <v>100</v>
      </c>
      <c r="D1590" s="32">
        <v>45019</v>
      </c>
      <c r="E1590" s="33">
        <v>5924.44</v>
      </c>
      <c r="F1590" s="34">
        <v>396</v>
      </c>
    </row>
    <row r="1591" spans="1:6" x14ac:dyDescent="0.3">
      <c r="A1591" s="35" t="s">
        <v>40</v>
      </c>
      <c r="B1591" s="36" t="s">
        <v>25</v>
      </c>
      <c r="C1591" s="36" t="s">
        <v>57</v>
      </c>
      <c r="D1591" s="36" t="s">
        <v>206</v>
      </c>
      <c r="E1591" s="38">
        <v>10100.950000000001</v>
      </c>
      <c r="F1591" s="39">
        <v>4</v>
      </c>
    </row>
    <row r="1592" spans="1:6" x14ac:dyDescent="0.3">
      <c r="A1592" s="30" t="s">
        <v>83</v>
      </c>
      <c r="B1592" s="31" t="s">
        <v>7</v>
      </c>
      <c r="C1592" s="31" t="s">
        <v>13</v>
      </c>
      <c r="D1592" s="31" t="s">
        <v>184</v>
      </c>
      <c r="E1592" s="33">
        <v>2362.0100000000002</v>
      </c>
      <c r="F1592" s="34">
        <v>272</v>
      </c>
    </row>
    <row r="1593" spans="1:6" x14ac:dyDescent="0.3">
      <c r="A1593" s="35" t="s">
        <v>55</v>
      </c>
      <c r="B1593" s="36" t="s">
        <v>32</v>
      </c>
      <c r="C1593" s="36" t="s">
        <v>42</v>
      </c>
      <c r="D1593" s="37">
        <v>45233</v>
      </c>
      <c r="E1593" s="38">
        <v>2638.76</v>
      </c>
      <c r="F1593" s="39">
        <v>24</v>
      </c>
    </row>
    <row r="1594" spans="1:6" x14ac:dyDescent="0.3">
      <c r="A1594" s="30" t="s">
        <v>71</v>
      </c>
      <c r="B1594" s="31" t="s">
        <v>32</v>
      </c>
      <c r="C1594" s="31" t="s">
        <v>73</v>
      </c>
      <c r="D1594" s="31" t="s">
        <v>222</v>
      </c>
      <c r="E1594" s="33">
        <v>3496.41</v>
      </c>
      <c r="F1594" s="34">
        <v>18</v>
      </c>
    </row>
    <row r="1595" spans="1:6" x14ac:dyDescent="0.3">
      <c r="A1595" s="35" t="s">
        <v>28</v>
      </c>
      <c r="B1595" s="36" t="s">
        <v>25</v>
      </c>
      <c r="C1595" s="36" t="s">
        <v>60</v>
      </c>
      <c r="D1595" s="36" t="s">
        <v>230</v>
      </c>
      <c r="E1595" s="38">
        <v>17222.86</v>
      </c>
      <c r="F1595" s="39">
        <v>44</v>
      </c>
    </row>
    <row r="1596" spans="1:6" x14ac:dyDescent="0.3">
      <c r="A1596" s="30" t="s">
        <v>6</v>
      </c>
      <c r="B1596" s="31" t="s">
        <v>25</v>
      </c>
      <c r="C1596" s="31" t="s">
        <v>23</v>
      </c>
      <c r="D1596" s="31" t="s">
        <v>195</v>
      </c>
      <c r="E1596" s="33">
        <v>1604.87</v>
      </c>
      <c r="F1596" s="34">
        <v>71</v>
      </c>
    </row>
    <row r="1597" spans="1:6" x14ac:dyDescent="0.3">
      <c r="A1597" s="35" t="s">
        <v>6</v>
      </c>
      <c r="B1597" s="36" t="s">
        <v>32</v>
      </c>
      <c r="C1597" s="36" t="s">
        <v>18</v>
      </c>
      <c r="D1597" s="37">
        <v>45114</v>
      </c>
      <c r="E1597" s="38">
        <v>7170.21</v>
      </c>
      <c r="F1597" s="39">
        <v>151</v>
      </c>
    </row>
    <row r="1598" spans="1:6" x14ac:dyDescent="0.3">
      <c r="A1598" s="30" t="s">
        <v>77</v>
      </c>
      <c r="B1598" s="31" t="s">
        <v>10</v>
      </c>
      <c r="C1598" s="31" t="s">
        <v>8</v>
      </c>
      <c r="D1598" s="31" t="s">
        <v>182</v>
      </c>
      <c r="E1598" s="33">
        <v>4090.16</v>
      </c>
      <c r="F1598" s="34">
        <v>75</v>
      </c>
    </row>
    <row r="1599" spans="1:6" x14ac:dyDescent="0.3">
      <c r="A1599" s="35" t="s">
        <v>6</v>
      </c>
      <c r="B1599" s="36" t="s">
        <v>10</v>
      </c>
      <c r="C1599" s="36" t="s">
        <v>36</v>
      </c>
      <c r="D1599" s="36" t="s">
        <v>163</v>
      </c>
      <c r="E1599" s="38">
        <v>9574.3799999999992</v>
      </c>
      <c r="F1599" s="39">
        <v>134</v>
      </c>
    </row>
    <row r="1600" spans="1:6" x14ac:dyDescent="0.3">
      <c r="A1600" s="30" t="s">
        <v>37</v>
      </c>
      <c r="B1600" s="31" t="s">
        <v>35</v>
      </c>
      <c r="C1600" s="31" t="s">
        <v>73</v>
      </c>
      <c r="D1600" s="32">
        <v>45174</v>
      </c>
      <c r="E1600" s="33">
        <v>717.9</v>
      </c>
      <c r="F1600" s="34">
        <v>213</v>
      </c>
    </row>
    <row r="1601" spans="1:6" x14ac:dyDescent="0.3">
      <c r="A1601" s="35" t="s">
        <v>55</v>
      </c>
      <c r="B1601" s="36" t="s">
        <v>15</v>
      </c>
      <c r="C1601" s="36" t="s">
        <v>100</v>
      </c>
      <c r="D1601" s="37">
        <v>45140</v>
      </c>
      <c r="E1601" s="38">
        <v>7734.54</v>
      </c>
      <c r="F1601" s="39">
        <v>227</v>
      </c>
    </row>
    <row r="1602" spans="1:6" x14ac:dyDescent="0.3">
      <c r="A1602" s="30" t="s">
        <v>45</v>
      </c>
      <c r="B1602" s="31" t="s">
        <v>7</v>
      </c>
      <c r="C1602" s="31" t="s">
        <v>100</v>
      </c>
      <c r="D1602" s="31" t="s">
        <v>165</v>
      </c>
      <c r="E1602" s="33">
        <v>1606.49</v>
      </c>
      <c r="F1602" s="34">
        <v>305</v>
      </c>
    </row>
    <row r="1603" spans="1:6" x14ac:dyDescent="0.3">
      <c r="A1603" s="35" t="s">
        <v>29</v>
      </c>
      <c r="B1603" s="36" t="s">
        <v>32</v>
      </c>
      <c r="C1603" s="36" t="s">
        <v>38</v>
      </c>
      <c r="D1603" s="36" t="s">
        <v>196</v>
      </c>
      <c r="E1603" s="38">
        <v>9170.09</v>
      </c>
      <c r="F1603" s="39">
        <v>79</v>
      </c>
    </row>
    <row r="1604" spans="1:6" x14ac:dyDescent="0.3">
      <c r="A1604" s="30" t="s">
        <v>34</v>
      </c>
      <c r="B1604" s="31" t="s">
        <v>35</v>
      </c>
      <c r="C1604" s="31" t="s">
        <v>60</v>
      </c>
      <c r="D1604" s="32">
        <v>45110</v>
      </c>
      <c r="E1604" s="33">
        <v>1583.57</v>
      </c>
      <c r="F1604" s="34">
        <v>122</v>
      </c>
    </row>
    <row r="1605" spans="1:6" x14ac:dyDescent="0.3">
      <c r="A1605" s="35" t="s">
        <v>55</v>
      </c>
      <c r="B1605" s="36" t="s">
        <v>15</v>
      </c>
      <c r="C1605" s="36" t="s">
        <v>57</v>
      </c>
      <c r="D1605" s="36" t="s">
        <v>196</v>
      </c>
      <c r="E1605" s="38">
        <v>7684.52</v>
      </c>
      <c r="F1605" s="39">
        <v>83</v>
      </c>
    </row>
    <row r="1606" spans="1:6" x14ac:dyDescent="0.3">
      <c r="A1606" s="30" t="s">
        <v>19</v>
      </c>
      <c r="B1606" s="31" t="s">
        <v>25</v>
      </c>
      <c r="C1606" s="31" t="s">
        <v>42</v>
      </c>
      <c r="D1606" s="31" t="s">
        <v>173</v>
      </c>
      <c r="E1606" s="33">
        <v>16765.07</v>
      </c>
      <c r="F1606" s="34">
        <v>261</v>
      </c>
    </row>
    <row r="1607" spans="1:6" x14ac:dyDescent="0.3">
      <c r="A1607" s="35" t="s">
        <v>77</v>
      </c>
      <c r="B1607" s="36" t="s">
        <v>7</v>
      </c>
      <c r="C1607" s="36" t="s">
        <v>20</v>
      </c>
      <c r="D1607" s="36" t="s">
        <v>169</v>
      </c>
      <c r="E1607" s="38">
        <v>11796.63</v>
      </c>
      <c r="F1607" s="39">
        <v>45</v>
      </c>
    </row>
    <row r="1608" spans="1:6" x14ac:dyDescent="0.3">
      <c r="A1608" s="30" t="s">
        <v>77</v>
      </c>
      <c r="B1608" s="31" t="s">
        <v>15</v>
      </c>
      <c r="C1608" s="31" t="s">
        <v>8</v>
      </c>
      <c r="D1608" s="32">
        <v>44962</v>
      </c>
      <c r="E1608" s="33">
        <v>2766.65</v>
      </c>
      <c r="F1608" s="34">
        <v>148</v>
      </c>
    </row>
    <row r="1609" spans="1:6" x14ac:dyDescent="0.3">
      <c r="A1609" s="35" t="s">
        <v>48</v>
      </c>
      <c r="B1609" s="36" t="s">
        <v>35</v>
      </c>
      <c r="C1609" s="36" t="s">
        <v>20</v>
      </c>
      <c r="D1609" s="37">
        <v>45114</v>
      </c>
      <c r="E1609" s="38">
        <v>13232.74</v>
      </c>
      <c r="F1609" s="39">
        <v>7</v>
      </c>
    </row>
    <row r="1610" spans="1:6" x14ac:dyDescent="0.3">
      <c r="A1610" s="30" t="s">
        <v>29</v>
      </c>
      <c r="B1610" s="31" t="s">
        <v>15</v>
      </c>
      <c r="C1610" s="31" t="s">
        <v>87</v>
      </c>
      <c r="D1610" s="31" t="s">
        <v>186</v>
      </c>
      <c r="E1610" s="33">
        <v>2820.41</v>
      </c>
      <c r="F1610" s="34">
        <v>50</v>
      </c>
    </row>
    <row r="1611" spans="1:6" x14ac:dyDescent="0.3">
      <c r="A1611" s="35" t="s">
        <v>37</v>
      </c>
      <c r="B1611" s="36" t="s">
        <v>15</v>
      </c>
      <c r="C1611" s="36" t="s">
        <v>23</v>
      </c>
      <c r="D1611" s="37">
        <v>45238</v>
      </c>
      <c r="E1611" s="38">
        <v>2483.3200000000002</v>
      </c>
      <c r="F1611" s="39">
        <v>65</v>
      </c>
    </row>
    <row r="1612" spans="1:6" x14ac:dyDescent="0.3">
      <c r="A1612" s="30" t="s">
        <v>40</v>
      </c>
      <c r="B1612" s="31" t="s">
        <v>7</v>
      </c>
      <c r="C1612" s="31" t="s">
        <v>20</v>
      </c>
      <c r="D1612" s="31" t="s">
        <v>167</v>
      </c>
      <c r="E1612" s="33">
        <v>9124.16</v>
      </c>
      <c r="F1612" s="34">
        <v>209</v>
      </c>
    </row>
    <row r="1613" spans="1:6" x14ac:dyDescent="0.3">
      <c r="A1613" s="35" t="s">
        <v>22</v>
      </c>
      <c r="B1613" s="36" t="s">
        <v>15</v>
      </c>
      <c r="C1613" s="36" t="s">
        <v>26</v>
      </c>
      <c r="D1613" s="37">
        <v>44960</v>
      </c>
      <c r="E1613" s="38">
        <v>12728.16</v>
      </c>
      <c r="F1613" s="39">
        <v>111</v>
      </c>
    </row>
    <row r="1614" spans="1:6" x14ac:dyDescent="0.3">
      <c r="A1614" s="30" t="s">
        <v>40</v>
      </c>
      <c r="B1614" s="31" t="s">
        <v>15</v>
      </c>
      <c r="C1614" s="31" t="s">
        <v>75</v>
      </c>
      <c r="D1614" s="31" t="s">
        <v>232</v>
      </c>
      <c r="E1614" s="33">
        <v>12624.64</v>
      </c>
      <c r="F1614" s="34">
        <v>41</v>
      </c>
    </row>
    <row r="1615" spans="1:6" x14ac:dyDescent="0.3">
      <c r="A1615" s="35" t="s">
        <v>70</v>
      </c>
      <c r="B1615" s="36" t="s">
        <v>25</v>
      </c>
      <c r="C1615" s="36" t="s">
        <v>38</v>
      </c>
      <c r="D1615" s="37">
        <v>45202</v>
      </c>
      <c r="E1615" s="38">
        <v>17584.16</v>
      </c>
      <c r="F1615" s="39">
        <v>110</v>
      </c>
    </row>
    <row r="1616" spans="1:6" x14ac:dyDescent="0.3">
      <c r="A1616" s="30" t="s">
        <v>41</v>
      </c>
      <c r="B1616" s="31" t="s">
        <v>32</v>
      </c>
      <c r="C1616" s="31" t="s">
        <v>11</v>
      </c>
      <c r="D1616" s="31" t="s">
        <v>202</v>
      </c>
      <c r="E1616" s="33">
        <v>13156.49</v>
      </c>
      <c r="F1616" s="34">
        <v>360</v>
      </c>
    </row>
    <row r="1617" spans="1:6" x14ac:dyDescent="0.3">
      <c r="A1617" s="35" t="s">
        <v>45</v>
      </c>
      <c r="B1617" s="36" t="s">
        <v>32</v>
      </c>
      <c r="C1617" s="36" t="s">
        <v>36</v>
      </c>
      <c r="D1617" s="36" t="s">
        <v>217</v>
      </c>
      <c r="E1617" s="38">
        <v>4164.1000000000004</v>
      </c>
      <c r="F1617" s="39">
        <v>167</v>
      </c>
    </row>
    <row r="1618" spans="1:6" x14ac:dyDescent="0.3">
      <c r="A1618" s="30" t="s">
        <v>58</v>
      </c>
      <c r="B1618" s="31" t="s">
        <v>7</v>
      </c>
      <c r="C1618" s="31" t="s">
        <v>46</v>
      </c>
      <c r="D1618" s="32">
        <v>45110</v>
      </c>
      <c r="E1618" s="33">
        <v>11698.98</v>
      </c>
      <c r="F1618" s="34">
        <v>436</v>
      </c>
    </row>
    <row r="1619" spans="1:6" x14ac:dyDescent="0.3">
      <c r="A1619" s="35" t="s">
        <v>64</v>
      </c>
      <c r="B1619" s="36" t="s">
        <v>7</v>
      </c>
      <c r="C1619" s="36" t="s">
        <v>42</v>
      </c>
      <c r="D1619" s="37">
        <v>45267</v>
      </c>
      <c r="E1619" s="38">
        <v>4964.25</v>
      </c>
      <c r="F1619" s="39">
        <v>56</v>
      </c>
    </row>
    <row r="1620" spans="1:6" x14ac:dyDescent="0.3">
      <c r="A1620" s="30" t="s">
        <v>77</v>
      </c>
      <c r="B1620" s="31" t="s">
        <v>32</v>
      </c>
      <c r="C1620" s="31" t="s">
        <v>33</v>
      </c>
      <c r="D1620" s="31" t="s">
        <v>192</v>
      </c>
      <c r="E1620" s="33">
        <v>8258.3700000000008</v>
      </c>
      <c r="F1620" s="34">
        <v>132</v>
      </c>
    </row>
    <row r="1621" spans="1:6" x14ac:dyDescent="0.3">
      <c r="A1621" s="35" t="s">
        <v>22</v>
      </c>
      <c r="B1621" s="36" t="s">
        <v>10</v>
      </c>
      <c r="C1621" s="36" t="s">
        <v>18</v>
      </c>
      <c r="D1621" s="37">
        <v>44960</v>
      </c>
      <c r="E1621" s="38">
        <v>3938.2</v>
      </c>
      <c r="F1621" s="39">
        <v>70</v>
      </c>
    </row>
    <row r="1622" spans="1:6" x14ac:dyDescent="0.3">
      <c r="A1622" s="30" t="s">
        <v>40</v>
      </c>
      <c r="B1622" s="31" t="s">
        <v>25</v>
      </c>
      <c r="C1622" s="31" t="s">
        <v>11</v>
      </c>
      <c r="D1622" s="31" t="s">
        <v>174</v>
      </c>
      <c r="E1622" s="33">
        <v>1368.27</v>
      </c>
      <c r="F1622" s="34">
        <v>163</v>
      </c>
    </row>
    <row r="1623" spans="1:6" x14ac:dyDescent="0.3">
      <c r="A1623" s="35" t="s">
        <v>40</v>
      </c>
      <c r="B1623" s="36" t="s">
        <v>7</v>
      </c>
      <c r="C1623" s="36" t="s">
        <v>60</v>
      </c>
      <c r="D1623" s="37">
        <v>45205</v>
      </c>
      <c r="E1623" s="38">
        <v>12449.46</v>
      </c>
      <c r="F1623" s="39">
        <v>177</v>
      </c>
    </row>
    <row r="1624" spans="1:6" x14ac:dyDescent="0.3">
      <c r="A1624" s="30" t="s">
        <v>28</v>
      </c>
      <c r="B1624" s="31" t="s">
        <v>32</v>
      </c>
      <c r="C1624" s="31" t="s">
        <v>20</v>
      </c>
      <c r="D1624" s="31" t="s">
        <v>216</v>
      </c>
      <c r="E1624" s="33">
        <v>7323.82</v>
      </c>
      <c r="F1624" s="34">
        <v>339</v>
      </c>
    </row>
    <row r="1625" spans="1:6" x14ac:dyDescent="0.3">
      <c r="A1625" s="35" t="s">
        <v>41</v>
      </c>
      <c r="B1625" s="36" t="s">
        <v>25</v>
      </c>
      <c r="C1625" s="36" t="s">
        <v>8</v>
      </c>
      <c r="D1625" s="37">
        <v>45175</v>
      </c>
      <c r="E1625" s="38">
        <v>4560.8100000000004</v>
      </c>
      <c r="F1625" s="39">
        <v>102</v>
      </c>
    </row>
    <row r="1626" spans="1:6" x14ac:dyDescent="0.3">
      <c r="A1626" s="30" t="s">
        <v>58</v>
      </c>
      <c r="B1626" s="31" t="s">
        <v>32</v>
      </c>
      <c r="C1626" s="31" t="s">
        <v>46</v>
      </c>
      <c r="D1626" s="32">
        <v>45265</v>
      </c>
      <c r="E1626" s="33">
        <v>777.46</v>
      </c>
      <c r="F1626" s="34">
        <v>58</v>
      </c>
    </row>
    <row r="1627" spans="1:6" x14ac:dyDescent="0.3">
      <c r="A1627" s="35" t="s">
        <v>22</v>
      </c>
      <c r="B1627" s="36" t="s">
        <v>32</v>
      </c>
      <c r="C1627" s="36" t="s">
        <v>38</v>
      </c>
      <c r="D1627" s="37">
        <v>45174</v>
      </c>
      <c r="E1627" s="38">
        <v>3857.27</v>
      </c>
      <c r="F1627" s="39">
        <v>5</v>
      </c>
    </row>
    <row r="1628" spans="1:6" x14ac:dyDescent="0.3">
      <c r="A1628" s="30" t="s">
        <v>28</v>
      </c>
      <c r="B1628" s="31" t="s">
        <v>35</v>
      </c>
      <c r="C1628" s="31" t="s">
        <v>60</v>
      </c>
      <c r="D1628" s="32">
        <v>45177</v>
      </c>
      <c r="E1628" s="33">
        <v>7442.69</v>
      </c>
      <c r="F1628" s="34">
        <v>179</v>
      </c>
    </row>
    <row r="1629" spans="1:6" x14ac:dyDescent="0.3">
      <c r="A1629" s="35" t="s">
        <v>9</v>
      </c>
      <c r="B1629" s="36" t="s">
        <v>10</v>
      </c>
      <c r="C1629" s="36" t="s">
        <v>75</v>
      </c>
      <c r="D1629" s="36" t="s">
        <v>224</v>
      </c>
      <c r="E1629" s="38">
        <v>5799.3</v>
      </c>
      <c r="F1629" s="39">
        <v>125</v>
      </c>
    </row>
    <row r="1630" spans="1:6" x14ac:dyDescent="0.3">
      <c r="A1630" s="30" t="s">
        <v>67</v>
      </c>
      <c r="B1630" s="31" t="s">
        <v>32</v>
      </c>
      <c r="C1630" s="31" t="s">
        <v>90</v>
      </c>
      <c r="D1630" s="32">
        <v>44962</v>
      </c>
      <c r="E1630" s="33">
        <v>8836.9</v>
      </c>
      <c r="F1630" s="34">
        <v>48</v>
      </c>
    </row>
    <row r="1631" spans="1:6" x14ac:dyDescent="0.3">
      <c r="A1631" s="35" t="s">
        <v>79</v>
      </c>
      <c r="B1631" s="36" t="s">
        <v>32</v>
      </c>
      <c r="C1631" s="36" t="s">
        <v>20</v>
      </c>
      <c r="D1631" s="37">
        <v>45177</v>
      </c>
      <c r="E1631" s="38">
        <v>4185</v>
      </c>
      <c r="F1631" s="39">
        <v>315</v>
      </c>
    </row>
    <row r="1632" spans="1:6" x14ac:dyDescent="0.3">
      <c r="A1632" s="30" t="s">
        <v>71</v>
      </c>
      <c r="B1632" s="31" t="s">
        <v>15</v>
      </c>
      <c r="C1632" s="31" t="s">
        <v>73</v>
      </c>
      <c r="D1632" s="31" t="s">
        <v>202</v>
      </c>
      <c r="E1632" s="33">
        <v>6984.06</v>
      </c>
      <c r="F1632" s="34">
        <v>174</v>
      </c>
    </row>
    <row r="1633" spans="1:6" x14ac:dyDescent="0.3">
      <c r="A1633" s="35" t="s">
        <v>22</v>
      </c>
      <c r="B1633" s="36" t="s">
        <v>10</v>
      </c>
      <c r="C1633" s="36" t="s">
        <v>50</v>
      </c>
      <c r="D1633" s="36" t="s">
        <v>233</v>
      </c>
      <c r="E1633" s="38">
        <v>7362.7</v>
      </c>
      <c r="F1633" s="39">
        <v>179</v>
      </c>
    </row>
    <row r="1634" spans="1:6" x14ac:dyDescent="0.3">
      <c r="A1634" s="30" t="s">
        <v>37</v>
      </c>
      <c r="B1634" s="31" t="s">
        <v>32</v>
      </c>
      <c r="C1634" s="31" t="s">
        <v>60</v>
      </c>
      <c r="D1634" s="32">
        <v>44928</v>
      </c>
      <c r="E1634" s="33">
        <v>10338.27</v>
      </c>
      <c r="F1634" s="34">
        <v>73</v>
      </c>
    </row>
    <row r="1635" spans="1:6" x14ac:dyDescent="0.3">
      <c r="A1635" s="35" t="s">
        <v>71</v>
      </c>
      <c r="B1635" s="36" t="s">
        <v>32</v>
      </c>
      <c r="C1635" s="36" t="s">
        <v>26</v>
      </c>
      <c r="D1635" s="36" t="s">
        <v>245</v>
      </c>
      <c r="E1635" s="38">
        <v>6215.72</v>
      </c>
      <c r="F1635" s="39">
        <v>324</v>
      </c>
    </row>
    <row r="1636" spans="1:6" x14ac:dyDescent="0.3">
      <c r="A1636" s="30" t="s">
        <v>77</v>
      </c>
      <c r="B1636" s="31" t="s">
        <v>7</v>
      </c>
      <c r="C1636" s="31" t="s">
        <v>75</v>
      </c>
      <c r="D1636" s="31" t="s">
        <v>178</v>
      </c>
      <c r="E1636" s="33">
        <v>10400.66</v>
      </c>
      <c r="F1636" s="34">
        <v>144</v>
      </c>
    </row>
    <row r="1637" spans="1:6" x14ac:dyDescent="0.3">
      <c r="A1637" s="35" t="s">
        <v>14</v>
      </c>
      <c r="B1637" s="36" t="s">
        <v>35</v>
      </c>
      <c r="C1637" s="36" t="s">
        <v>8</v>
      </c>
      <c r="D1637" s="37">
        <v>44930</v>
      </c>
      <c r="E1637" s="38">
        <v>1062.6099999999999</v>
      </c>
      <c r="F1637" s="39">
        <v>217</v>
      </c>
    </row>
    <row r="1638" spans="1:6" x14ac:dyDescent="0.3">
      <c r="A1638" s="30" t="s">
        <v>71</v>
      </c>
      <c r="B1638" s="31" t="s">
        <v>35</v>
      </c>
      <c r="C1638" s="31" t="s">
        <v>100</v>
      </c>
      <c r="D1638" s="31" t="s">
        <v>232</v>
      </c>
      <c r="E1638" s="33">
        <v>10095.709999999999</v>
      </c>
      <c r="F1638" s="34">
        <v>151</v>
      </c>
    </row>
    <row r="1639" spans="1:6" x14ac:dyDescent="0.3">
      <c r="A1639" s="35" t="s">
        <v>83</v>
      </c>
      <c r="B1639" s="36" t="s">
        <v>10</v>
      </c>
      <c r="C1639" s="36" t="s">
        <v>13</v>
      </c>
      <c r="D1639" s="36" t="s">
        <v>199</v>
      </c>
      <c r="E1639" s="38">
        <v>23251.68</v>
      </c>
      <c r="F1639" s="39">
        <v>210</v>
      </c>
    </row>
    <row r="1640" spans="1:6" x14ac:dyDescent="0.3">
      <c r="A1640" s="30" t="s">
        <v>14</v>
      </c>
      <c r="B1640" s="31" t="s">
        <v>10</v>
      </c>
      <c r="C1640" s="31" t="s">
        <v>75</v>
      </c>
      <c r="D1640" s="32">
        <v>45268</v>
      </c>
      <c r="E1640" s="33">
        <v>2669.61</v>
      </c>
      <c r="F1640" s="34">
        <v>143</v>
      </c>
    </row>
    <row r="1641" spans="1:6" x14ac:dyDescent="0.3">
      <c r="A1641" s="35" t="s">
        <v>12</v>
      </c>
      <c r="B1641" s="36" t="s">
        <v>35</v>
      </c>
      <c r="C1641" s="36" t="s">
        <v>65</v>
      </c>
      <c r="D1641" s="37">
        <v>44928</v>
      </c>
      <c r="E1641" s="38">
        <v>10265.969999999999</v>
      </c>
      <c r="F1641" s="39">
        <v>49</v>
      </c>
    </row>
    <row r="1642" spans="1:6" x14ac:dyDescent="0.3">
      <c r="A1642" s="30" t="s">
        <v>29</v>
      </c>
      <c r="B1642" s="31" t="s">
        <v>10</v>
      </c>
      <c r="C1642" s="31" t="s">
        <v>23</v>
      </c>
      <c r="D1642" s="32">
        <v>44960</v>
      </c>
      <c r="E1642" s="33">
        <v>5423.54</v>
      </c>
      <c r="F1642" s="34">
        <v>203</v>
      </c>
    </row>
    <row r="1643" spans="1:6" x14ac:dyDescent="0.3">
      <c r="A1643" s="35" t="s">
        <v>70</v>
      </c>
      <c r="B1643" s="36" t="s">
        <v>15</v>
      </c>
      <c r="C1643" s="36" t="s">
        <v>20</v>
      </c>
      <c r="D1643" s="36" t="s">
        <v>180</v>
      </c>
      <c r="E1643" s="38">
        <v>3272.68</v>
      </c>
      <c r="F1643" s="39">
        <v>32</v>
      </c>
    </row>
    <row r="1644" spans="1:6" x14ac:dyDescent="0.3">
      <c r="A1644" s="30" t="s">
        <v>79</v>
      </c>
      <c r="B1644" s="31" t="s">
        <v>15</v>
      </c>
      <c r="C1644" s="31" t="s">
        <v>50</v>
      </c>
      <c r="D1644" s="31" t="s">
        <v>255</v>
      </c>
      <c r="E1644" s="33">
        <v>8840.59</v>
      </c>
      <c r="F1644" s="34">
        <v>92</v>
      </c>
    </row>
    <row r="1645" spans="1:6" x14ac:dyDescent="0.3">
      <c r="A1645" s="35" t="s">
        <v>28</v>
      </c>
      <c r="B1645" s="36" t="s">
        <v>32</v>
      </c>
      <c r="C1645" s="36" t="s">
        <v>46</v>
      </c>
      <c r="D1645" s="37">
        <v>45114</v>
      </c>
      <c r="E1645" s="38">
        <v>14460.51</v>
      </c>
      <c r="F1645" s="39">
        <v>124</v>
      </c>
    </row>
    <row r="1646" spans="1:6" x14ac:dyDescent="0.3">
      <c r="A1646" s="30" t="s">
        <v>34</v>
      </c>
      <c r="B1646" s="31" t="s">
        <v>25</v>
      </c>
      <c r="C1646" s="31" t="s">
        <v>8</v>
      </c>
      <c r="D1646" s="31" t="s">
        <v>200</v>
      </c>
      <c r="E1646" s="33">
        <v>1461.99</v>
      </c>
      <c r="F1646" s="34">
        <v>109</v>
      </c>
    </row>
    <row r="1647" spans="1:6" x14ac:dyDescent="0.3">
      <c r="A1647" s="35" t="s">
        <v>41</v>
      </c>
      <c r="B1647" s="36" t="s">
        <v>7</v>
      </c>
      <c r="C1647" s="36" t="s">
        <v>20</v>
      </c>
      <c r="D1647" s="37">
        <v>45207</v>
      </c>
      <c r="E1647" s="38">
        <v>3701.6</v>
      </c>
      <c r="F1647" s="39">
        <v>131</v>
      </c>
    </row>
    <row r="1648" spans="1:6" x14ac:dyDescent="0.3">
      <c r="A1648" s="30" t="s">
        <v>41</v>
      </c>
      <c r="B1648" s="31" t="s">
        <v>32</v>
      </c>
      <c r="C1648" s="31" t="s">
        <v>13</v>
      </c>
      <c r="D1648" s="31" t="s">
        <v>201</v>
      </c>
      <c r="E1648" s="33">
        <v>13951.32</v>
      </c>
      <c r="F1648" s="34">
        <v>329</v>
      </c>
    </row>
    <row r="1649" spans="1:6" x14ac:dyDescent="0.3">
      <c r="A1649" s="35" t="s">
        <v>28</v>
      </c>
      <c r="B1649" s="36" t="s">
        <v>25</v>
      </c>
      <c r="C1649" s="36" t="s">
        <v>59</v>
      </c>
      <c r="D1649" s="36" t="s">
        <v>177</v>
      </c>
      <c r="E1649" s="38">
        <v>5774.92</v>
      </c>
      <c r="F1649" s="39">
        <v>325</v>
      </c>
    </row>
    <row r="1650" spans="1:6" x14ac:dyDescent="0.3">
      <c r="A1650" s="30" t="s">
        <v>40</v>
      </c>
      <c r="B1650" s="31" t="s">
        <v>32</v>
      </c>
      <c r="C1650" s="31" t="s">
        <v>87</v>
      </c>
      <c r="D1650" s="31" t="s">
        <v>169</v>
      </c>
      <c r="E1650" s="33">
        <v>9718.8700000000008</v>
      </c>
      <c r="F1650" s="34">
        <v>10</v>
      </c>
    </row>
    <row r="1651" spans="1:6" x14ac:dyDescent="0.3">
      <c r="A1651" s="35" t="s">
        <v>14</v>
      </c>
      <c r="B1651" s="36" t="s">
        <v>10</v>
      </c>
      <c r="C1651" s="36" t="s">
        <v>90</v>
      </c>
      <c r="D1651" s="41">
        <v>44658</v>
      </c>
      <c r="E1651" s="38">
        <v>84</v>
      </c>
      <c r="F1651" s="39">
        <v>153</v>
      </c>
    </row>
    <row r="1652" spans="1:6" x14ac:dyDescent="0.3">
      <c r="A1652" s="30" t="s">
        <v>34</v>
      </c>
      <c r="B1652" s="31" t="s">
        <v>35</v>
      </c>
      <c r="C1652" s="31" t="s">
        <v>59</v>
      </c>
      <c r="D1652" s="32">
        <v>44988</v>
      </c>
      <c r="E1652" s="33">
        <v>3398.51</v>
      </c>
      <c r="F1652" s="34">
        <v>74</v>
      </c>
    </row>
    <row r="1653" spans="1:6" x14ac:dyDescent="0.3">
      <c r="A1653" s="35" t="s">
        <v>55</v>
      </c>
      <c r="B1653" s="36" t="s">
        <v>15</v>
      </c>
      <c r="C1653" s="36" t="s">
        <v>65</v>
      </c>
      <c r="D1653" s="36" t="s">
        <v>228</v>
      </c>
      <c r="E1653" s="38">
        <v>4371.7700000000004</v>
      </c>
      <c r="F1653" s="39">
        <v>375</v>
      </c>
    </row>
    <row r="1654" spans="1:6" x14ac:dyDescent="0.3">
      <c r="A1654" s="30" t="s">
        <v>19</v>
      </c>
      <c r="B1654" s="31" t="s">
        <v>32</v>
      </c>
      <c r="C1654" s="31" t="s">
        <v>18</v>
      </c>
      <c r="D1654" s="32">
        <v>45019</v>
      </c>
      <c r="E1654" s="33">
        <v>3632.32</v>
      </c>
      <c r="F1654" s="34">
        <v>169</v>
      </c>
    </row>
    <row r="1655" spans="1:6" x14ac:dyDescent="0.3">
      <c r="A1655" s="35" t="s">
        <v>58</v>
      </c>
      <c r="B1655" s="36" t="s">
        <v>10</v>
      </c>
      <c r="C1655" s="36" t="s">
        <v>18</v>
      </c>
      <c r="D1655" s="37">
        <v>45114</v>
      </c>
      <c r="E1655" s="38">
        <v>3343.85</v>
      </c>
      <c r="F1655" s="39">
        <v>10</v>
      </c>
    </row>
    <row r="1656" spans="1:6" x14ac:dyDescent="0.3">
      <c r="A1656" s="30" t="s">
        <v>71</v>
      </c>
      <c r="B1656" s="31" t="s">
        <v>25</v>
      </c>
      <c r="C1656" s="31" t="s">
        <v>90</v>
      </c>
      <c r="D1656" s="31" t="s">
        <v>256</v>
      </c>
      <c r="E1656" s="33">
        <v>4400.28</v>
      </c>
      <c r="F1656" s="34">
        <v>364</v>
      </c>
    </row>
    <row r="1657" spans="1:6" x14ac:dyDescent="0.3">
      <c r="A1657" s="35" t="s">
        <v>14</v>
      </c>
      <c r="B1657" s="36" t="s">
        <v>35</v>
      </c>
      <c r="C1657" s="36" t="s">
        <v>90</v>
      </c>
      <c r="D1657" s="37">
        <v>44965</v>
      </c>
      <c r="E1657" s="38">
        <v>10802.13</v>
      </c>
      <c r="F1657" s="39">
        <v>124</v>
      </c>
    </row>
    <row r="1658" spans="1:6" x14ac:dyDescent="0.3">
      <c r="A1658" s="30" t="s">
        <v>19</v>
      </c>
      <c r="B1658" s="31" t="s">
        <v>32</v>
      </c>
      <c r="C1658" s="31" t="s">
        <v>87</v>
      </c>
      <c r="D1658" s="32">
        <v>45268</v>
      </c>
      <c r="E1658" s="33">
        <v>9154.17</v>
      </c>
      <c r="F1658" s="34">
        <v>123</v>
      </c>
    </row>
    <row r="1659" spans="1:6" x14ac:dyDescent="0.3">
      <c r="A1659" s="35" t="s">
        <v>77</v>
      </c>
      <c r="B1659" s="36" t="s">
        <v>25</v>
      </c>
      <c r="C1659" s="36" t="s">
        <v>13</v>
      </c>
      <c r="D1659" s="36" t="s">
        <v>210</v>
      </c>
      <c r="E1659" s="38">
        <v>5360.89</v>
      </c>
      <c r="F1659" s="39">
        <v>340</v>
      </c>
    </row>
    <row r="1660" spans="1:6" x14ac:dyDescent="0.3">
      <c r="A1660" s="30" t="s">
        <v>70</v>
      </c>
      <c r="B1660" s="31" t="s">
        <v>15</v>
      </c>
      <c r="C1660" s="31" t="s">
        <v>33</v>
      </c>
      <c r="D1660" s="31" t="s">
        <v>219</v>
      </c>
      <c r="E1660" s="33">
        <v>11597.46</v>
      </c>
      <c r="F1660" s="34">
        <v>462</v>
      </c>
    </row>
    <row r="1661" spans="1:6" x14ac:dyDescent="0.3">
      <c r="A1661" s="35" t="s">
        <v>40</v>
      </c>
      <c r="B1661" s="36" t="s">
        <v>15</v>
      </c>
      <c r="C1661" s="36" t="s">
        <v>60</v>
      </c>
      <c r="D1661" s="37">
        <v>45050</v>
      </c>
      <c r="E1661" s="38">
        <v>14939.24</v>
      </c>
      <c r="F1661" s="39">
        <v>238</v>
      </c>
    </row>
    <row r="1662" spans="1:6" x14ac:dyDescent="0.3">
      <c r="A1662" s="30" t="s">
        <v>55</v>
      </c>
      <c r="B1662" s="31" t="s">
        <v>35</v>
      </c>
      <c r="C1662" s="31" t="s">
        <v>60</v>
      </c>
      <c r="D1662" s="31" t="s">
        <v>218</v>
      </c>
      <c r="E1662" s="33">
        <v>10845.85</v>
      </c>
      <c r="F1662" s="34">
        <v>146</v>
      </c>
    </row>
    <row r="1663" spans="1:6" x14ac:dyDescent="0.3">
      <c r="A1663" s="35" t="s">
        <v>6</v>
      </c>
      <c r="B1663" s="36" t="s">
        <v>7</v>
      </c>
      <c r="C1663" s="36" t="s">
        <v>87</v>
      </c>
      <c r="D1663" s="36" t="s">
        <v>192</v>
      </c>
      <c r="E1663" s="38">
        <v>2832.78</v>
      </c>
      <c r="F1663" s="39">
        <v>104</v>
      </c>
    </row>
    <row r="1664" spans="1:6" x14ac:dyDescent="0.3">
      <c r="A1664" s="30" t="s">
        <v>70</v>
      </c>
      <c r="B1664" s="31" t="s">
        <v>15</v>
      </c>
      <c r="C1664" s="31" t="s">
        <v>59</v>
      </c>
      <c r="D1664" s="31" t="s">
        <v>182</v>
      </c>
      <c r="E1664" s="33">
        <v>8879.7199999999993</v>
      </c>
      <c r="F1664" s="34">
        <v>177</v>
      </c>
    </row>
    <row r="1665" spans="1:6" x14ac:dyDescent="0.3">
      <c r="A1665" s="35" t="s">
        <v>48</v>
      </c>
      <c r="B1665" s="36" t="s">
        <v>10</v>
      </c>
      <c r="C1665" s="36" t="s">
        <v>11</v>
      </c>
      <c r="D1665" s="36" t="s">
        <v>218</v>
      </c>
      <c r="E1665" s="38">
        <v>298.33999999999997</v>
      </c>
      <c r="F1665" s="39">
        <v>399</v>
      </c>
    </row>
    <row r="1666" spans="1:6" x14ac:dyDescent="0.3">
      <c r="A1666" s="30" t="s">
        <v>55</v>
      </c>
      <c r="B1666" s="31" t="s">
        <v>32</v>
      </c>
      <c r="C1666" s="31" t="s">
        <v>36</v>
      </c>
      <c r="D1666" s="31" t="s">
        <v>186</v>
      </c>
      <c r="E1666" s="33">
        <v>7799.51</v>
      </c>
      <c r="F1666" s="34">
        <v>10</v>
      </c>
    </row>
    <row r="1667" spans="1:6" x14ac:dyDescent="0.3">
      <c r="A1667" s="35" t="s">
        <v>14</v>
      </c>
      <c r="B1667" s="36" t="s">
        <v>10</v>
      </c>
      <c r="C1667" s="36" t="s">
        <v>90</v>
      </c>
      <c r="D1667" s="41">
        <v>45023</v>
      </c>
      <c r="E1667" s="38">
        <v>88.72</v>
      </c>
      <c r="F1667" s="39">
        <v>165</v>
      </c>
    </row>
    <row r="1668" spans="1:6" x14ac:dyDescent="0.3">
      <c r="A1668" s="30" t="s">
        <v>41</v>
      </c>
      <c r="B1668" s="31" t="s">
        <v>7</v>
      </c>
      <c r="C1668" s="31" t="s">
        <v>75</v>
      </c>
      <c r="D1668" s="32">
        <v>45019</v>
      </c>
      <c r="E1668" s="33">
        <v>3212.35</v>
      </c>
      <c r="F1668" s="34">
        <v>66</v>
      </c>
    </row>
    <row r="1669" spans="1:6" x14ac:dyDescent="0.3">
      <c r="A1669" s="35" t="s">
        <v>79</v>
      </c>
      <c r="B1669" s="36" t="s">
        <v>35</v>
      </c>
      <c r="C1669" s="36" t="s">
        <v>60</v>
      </c>
      <c r="D1669" s="36" t="s">
        <v>237</v>
      </c>
      <c r="E1669" s="38">
        <v>12048.56</v>
      </c>
      <c r="F1669" s="39">
        <v>113</v>
      </c>
    </row>
    <row r="1670" spans="1:6" x14ac:dyDescent="0.3">
      <c r="A1670" s="30" t="s">
        <v>55</v>
      </c>
      <c r="B1670" s="31" t="s">
        <v>15</v>
      </c>
      <c r="C1670" s="31" t="s">
        <v>46</v>
      </c>
      <c r="D1670" s="32">
        <v>45175</v>
      </c>
      <c r="E1670" s="33">
        <v>4499.6400000000003</v>
      </c>
      <c r="F1670" s="34">
        <v>91</v>
      </c>
    </row>
    <row r="1671" spans="1:6" x14ac:dyDescent="0.3">
      <c r="A1671" s="35" t="s">
        <v>14</v>
      </c>
      <c r="B1671" s="36" t="s">
        <v>35</v>
      </c>
      <c r="C1671" s="36" t="s">
        <v>57</v>
      </c>
      <c r="D1671" s="36" t="s">
        <v>216</v>
      </c>
      <c r="E1671" s="38">
        <v>9984.16</v>
      </c>
      <c r="F1671" s="39">
        <v>207</v>
      </c>
    </row>
    <row r="1672" spans="1:6" x14ac:dyDescent="0.3">
      <c r="A1672" s="30" t="s">
        <v>14</v>
      </c>
      <c r="B1672" s="31" t="s">
        <v>10</v>
      </c>
      <c r="C1672" s="31" t="s">
        <v>18</v>
      </c>
      <c r="D1672" s="32">
        <v>44993</v>
      </c>
      <c r="E1672" s="33">
        <v>11867.83</v>
      </c>
      <c r="F1672" s="34">
        <v>95</v>
      </c>
    </row>
    <row r="1673" spans="1:6" x14ac:dyDescent="0.3">
      <c r="A1673" s="35" t="s">
        <v>29</v>
      </c>
      <c r="B1673" s="36" t="s">
        <v>15</v>
      </c>
      <c r="C1673" s="36" t="s">
        <v>60</v>
      </c>
      <c r="D1673" s="37">
        <v>44993</v>
      </c>
      <c r="E1673" s="38">
        <v>4806.6499999999996</v>
      </c>
      <c r="F1673" s="39">
        <v>132</v>
      </c>
    </row>
    <row r="1674" spans="1:6" x14ac:dyDescent="0.3">
      <c r="A1674" s="30" t="s">
        <v>6</v>
      </c>
      <c r="B1674" s="31" t="s">
        <v>7</v>
      </c>
      <c r="C1674" s="31" t="s">
        <v>46</v>
      </c>
      <c r="D1674" s="32">
        <v>44990</v>
      </c>
      <c r="E1674" s="33">
        <v>13420.93</v>
      </c>
      <c r="F1674" s="34">
        <v>232</v>
      </c>
    </row>
    <row r="1675" spans="1:6" x14ac:dyDescent="0.3">
      <c r="A1675" s="35" t="s">
        <v>53</v>
      </c>
      <c r="B1675" s="36" t="s">
        <v>35</v>
      </c>
      <c r="C1675" s="36" t="s">
        <v>23</v>
      </c>
      <c r="D1675" s="36" t="s">
        <v>208</v>
      </c>
      <c r="E1675" s="38">
        <v>10407.51</v>
      </c>
      <c r="F1675" s="39">
        <v>301</v>
      </c>
    </row>
    <row r="1676" spans="1:6" x14ac:dyDescent="0.3">
      <c r="A1676" s="30" t="s">
        <v>45</v>
      </c>
      <c r="B1676" s="31" t="s">
        <v>32</v>
      </c>
      <c r="C1676" s="31" t="s">
        <v>26</v>
      </c>
      <c r="D1676" s="32">
        <v>45232</v>
      </c>
      <c r="E1676" s="33">
        <v>10849.39</v>
      </c>
      <c r="F1676" s="34">
        <v>330</v>
      </c>
    </row>
    <row r="1677" spans="1:6" x14ac:dyDescent="0.3">
      <c r="A1677" s="35" t="s">
        <v>9</v>
      </c>
      <c r="B1677" s="36" t="s">
        <v>10</v>
      </c>
      <c r="C1677" s="36" t="s">
        <v>65</v>
      </c>
      <c r="D1677" s="36" t="s">
        <v>230</v>
      </c>
      <c r="E1677" s="38">
        <v>7247.29</v>
      </c>
      <c r="F1677" s="39">
        <v>402</v>
      </c>
    </row>
    <row r="1678" spans="1:6" x14ac:dyDescent="0.3">
      <c r="A1678" s="30" t="s">
        <v>70</v>
      </c>
      <c r="B1678" s="31" t="s">
        <v>32</v>
      </c>
      <c r="C1678" s="31" t="s">
        <v>26</v>
      </c>
      <c r="D1678" s="31" t="s">
        <v>213</v>
      </c>
      <c r="E1678" s="33">
        <v>6387.65</v>
      </c>
      <c r="F1678" s="34">
        <v>227</v>
      </c>
    </row>
    <row r="1679" spans="1:6" x14ac:dyDescent="0.3">
      <c r="A1679" s="35" t="s">
        <v>77</v>
      </c>
      <c r="B1679" s="36" t="s">
        <v>35</v>
      </c>
      <c r="C1679" s="36" t="s">
        <v>11</v>
      </c>
      <c r="D1679" s="36" t="s">
        <v>173</v>
      </c>
      <c r="E1679" s="38">
        <v>8373.42</v>
      </c>
      <c r="F1679" s="39">
        <v>108</v>
      </c>
    </row>
    <row r="1680" spans="1:6" x14ac:dyDescent="0.3">
      <c r="A1680" s="30" t="s">
        <v>58</v>
      </c>
      <c r="B1680" s="31" t="s">
        <v>35</v>
      </c>
      <c r="C1680" s="31" t="s">
        <v>18</v>
      </c>
      <c r="D1680" s="31" t="s">
        <v>226</v>
      </c>
      <c r="E1680" s="33">
        <v>1887.19</v>
      </c>
      <c r="F1680" s="34">
        <v>488</v>
      </c>
    </row>
    <row r="1681" spans="1:6" x14ac:dyDescent="0.3">
      <c r="A1681" s="35" t="s">
        <v>34</v>
      </c>
      <c r="B1681" s="36" t="s">
        <v>15</v>
      </c>
      <c r="C1681" s="36" t="s">
        <v>50</v>
      </c>
      <c r="D1681" s="36" t="s">
        <v>179</v>
      </c>
      <c r="E1681" s="38">
        <v>6054.04</v>
      </c>
      <c r="F1681" s="39">
        <v>287</v>
      </c>
    </row>
    <row r="1682" spans="1:6" x14ac:dyDescent="0.3">
      <c r="A1682" s="30" t="s">
        <v>83</v>
      </c>
      <c r="B1682" s="31" t="s">
        <v>35</v>
      </c>
      <c r="C1682" s="31" t="s">
        <v>75</v>
      </c>
      <c r="D1682" s="31" t="s">
        <v>182</v>
      </c>
      <c r="E1682" s="33">
        <v>16254.61</v>
      </c>
      <c r="F1682" s="34">
        <v>268</v>
      </c>
    </row>
    <row r="1683" spans="1:6" x14ac:dyDescent="0.3">
      <c r="A1683" s="35" t="s">
        <v>12</v>
      </c>
      <c r="B1683" s="36" t="s">
        <v>35</v>
      </c>
      <c r="C1683" s="36" t="s">
        <v>50</v>
      </c>
      <c r="D1683" s="37">
        <v>45023</v>
      </c>
      <c r="E1683" s="38">
        <v>13173.56</v>
      </c>
      <c r="F1683" s="39">
        <v>301</v>
      </c>
    </row>
    <row r="1684" spans="1:6" x14ac:dyDescent="0.3">
      <c r="A1684" s="30" t="s">
        <v>45</v>
      </c>
      <c r="B1684" s="31" t="s">
        <v>25</v>
      </c>
      <c r="C1684" s="31" t="s">
        <v>65</v>
      </c>
      <c r="D1684" s="31" t="s">
        <v>205</v>
      </c>
      <c r="E1684" s="33">
        <v>2721.46</v>
      </c>
      <c r="F1684" s="34">
        <v>72</v>
      </c>
    </row>
    <row r="1685" spans="1:6" x14ac:dyDescent="0.3">
      <c r="A1685" s="35" t="s">
        <v>48</v>
      </c>
      <c r="B1685" s="36" t="s">
        <v>10</v>
      </c>
      <c r="C1685" s="36" t="s">
        <v>18</v>
      </c>
      <c r="D1685" s="36" t="s">
        <v>188</v>
      </c>
      <c r="E1685" s="38">
        <v>19283.64</v>
      </c>
      <c r="F1685" s="39">
        <v>139</v>
      </c>
    </row>
    <row r="1686" spans="1:6" x14ac:dyDescent="0.3">
      <c r="A1686" s="30" t="s">
        <v>83</v>
      </c>
      <c r="B1686" s="31" t="s">
        <v>25</v>
      </c>
      <c r="C1686" s="31" t="s">
        <v>8</v>
      </c>
      <c r="D1686" s="31" t="s">
        <v>218</v>
      </c>
      <c r="E1686" s="33">
        <v>9327.52</v>
      </c>
      <c r="F1686" s="34">
        <v>232</v>
      </c>
    </row>
    <row r="1687" spans="1:6" x14ac:dyDescent="0.3">
      <c r="A1687" s="35" t="s">
        <v>9</v>
      </c>
      <c r="B1687" s="36" t="s">
        <v>25</v>
      </c>
      <c r="C1687" s="36" t="s">
        <v>57</v>
      </c>
      <c r="D1687" s="36" t="s">
        <v>255</v>
      </c>
      <c r="E1687" s="38">
        <v>3184.03</v>
      </c>
      <c r="F1687" s="39">
        <v>85</v>
      </c>
    </row>
    <row r="1688" spans="1:6" x14ac:dyDescent="0.3">
      <c r="A1688" s="30" t="s">
        <v>67</v>
      </c>
      <c r="B1688" s="31" t="s">
        <v>25</v>
      </c>
      <c r="C1688" s="31" t="s">
        <v>8</v>
      </c>
      <c r="D1688" s="31" t="s">
        <v>252</v>
      </c>
      <c r="E1688" s="33">
        <v>9738.74</v>
      </c>
      <c r="F1688" s="34">
        <v>209</v>
      </c>
    </row>
    <row r="1689" spans="1:6" x14ac:dyDescent="0.3">
      <c r="A1689" s="35" t="s">
        <v>67</v>
      </c>
      <c r="B1689" s="36" t="s">
        <v>7</v>
      </c>
      <c r="C1689" s="36" t="s">
        <v>46</v>
      </c>
      <c r="D1689" s="37">
        <v>45232</v>
      </c>
      <c r="E1689" s="38">
        <v>16486.650000000001</v>
      </c>
      <c r="F1689" s="39">
        <v>314</v>
      </c>
    </row>
    <row r="1690" spans="1:6" x14ac:dyDescent="0.3">
      <c r="A1690" s="30" t="s">
        <v>71</v>
      </c>
      <c r="B1690" s="31" t="s">
        <v>32</v>
      </c>
      <c r="C1690" s="31" t="s">
        <v>60</v>
      </c>
      <c r="D1690" s="31" t="s">
        <v>251</v>
      </c>
      <c r="E1690" s="33">
        <v>16792.23</v>
      </c>
      <c r="F1690" s="34">
        <v>184</v>
      </c>
    </row>
    <row r="1691" spans="1:6" x14ac:dyDescent="0.3">
      <c r="A1691" s="35" t="s">
        <v>22</v>
      </c>
      <c r="B1691" s="36" t="s">
        <v>25</v>
      </c>
      <c r="C1691" s="36" t="s">
        <v>65</v>
      </c>
      <c r="D1691" s="37">
        <v>45047</v>
      </c>
      <c r="E1691" s="38">
        <v>5752.62</v>
      </c>
      <c r="F1691" s="39">
        <v>125</v>
      </c>
    </row>
    <row r="1692" spans="1:6" x14ac:dyDescent="0.3">
      <c r="A1692" s="30" t="s">
        <v>28</v>
      </c>
      <c r="B1692" s="31" t="s">
        <v>10</v>
      </c>
      <c r="C1692" s="31" t="s">
        <v>73</v>
      </c>
      <c r="D1692" s="31" t="s">
        <v>174</v>
      </c>
      <c r="E1692" s="33">
        <v>6833.28</v>
      </c>
      <c r="F1692" s="34">
        <v>157</v>
      </c>
    </row>
    <row r="1693" spans="1:6" x14ac:dyDescent="0.3">
      <c r="A1693" s="35" t="s">
        <v>6</v>
      </c>
      <c r="B1693" s="36" t="s">
        <v>32</v>
      </c>
      <c r="C1693" s="36" t="s">
        <v>20</v>
      </c>
      <c r="D1693" s="37">
        <v>45017</v>
      </c>
      <c r="E1693" s="38">
        <v>2815.72</v>
      </c>
      <c r="F1693" s="39">
        <v>222</v>
      </c>
    </row>
    <row r="1694" spans="1:6" x14ac:dyDescent="0.3">
      <c r="A1694" s="30" t="s">
        <v>41</v>
      </c>
      <c r="B1694" s="31" t="s">
        <v>15</v>
      </c>
      <c r="C1694" s="31" t="s">
        <v>57</v>
      </c>
      <c r="D1694" s="31" t="s">
        <v>237</v>
      </c>
      <c r="E1694" s="33">
        <v>1545.36</v>
      </c>
      <c r="F1694" s="34">
        <v>269</v>
      </c>
    </row>
    <row r="1695" spans="1:6" x14ac:dyDescent="0.3">
      <c r="A1695" s="35" t="s">
        <v>12</v>
      </c>
      <c r="B1695" s="36" t="s">
        <v>35</v>
      </c>
      <c r="C1695" s="36" t="s">
        <v>46</v>
      </c>
      <c r="D1695" s="37">
        <v>45201</v>
      </c>
      <c r="E1695" s="38">
        <v>3432.73</v>
      </c>
      <c r="F1695" s="39">
        <v>120</v>
      </c>
    </row>
    <row r="1696" spans="1:6" x14ac:dyDescent="0.3">
      <c r="A1696" s="30" t="s">
        <v>79</v>
      </c>
      <c r="B1696" s="31" t="s">
        <v>10</v>
      </c>
      <c r="C1696" s="31" t="s">
        <v>50</v>
      </c>
      <c r="D1696" s="32">
        <v>45268</v>
      </c>
      <c r="E1696" s="33">
        <v>1001.99</v>
      </c>
      <c r="F1696" s="34">
        <v>217</v>
      </c>
    </row>
    <row r="1697" spans="1:6" x14ac:dyDescent="0.3">
      <c r="A1697" s="35" t="s">
        <v>22</v>
      </c>
      <c r="B1697" s="36" t="s">
        <v>32</v>
      </c>
      <c r="C1697" s="36" t="s">
        <v>42</v>
      </c>
      <c r="D1697" s="37">
        <v>45207</v>
      </c>
      <c r="E1697" s="38">
        <v>2494.19</v>
      </c>
      <c r="F1697" s="39">
        <v>315</v>
      </c>
    </row>
    <row r="1698" spans="1:6" x14ac:dyDescent="0.3">
      <c r="A1698" s="30" t="s">
        <v>70</v>
      </c>
      <c r="B1698" s="31" t="s">
        <v>15</v>
      </c>
      <c r="C1698" s="31" t="s">
        <v>73</v>
      </c>
      <c r="D1698" s="32">
        <v>45113</v>
      </c>
      <c r="E1698" s="33">
        <v>770.25</v>
      </c>
      <c r="F1698" s="34">
        <v>61</v>
      </c>
    </row>
    <row r="1699" spans="1:6" x14ac:dyDescent="0.3">
      <c r="A1699" s="35" t="s">
        <v>6</v>
      </c>
      <c r="B1699" s="36" t="s">
        <v>10</v>
      </c>
      <c r="C1699" s="36" t="s">
        <v>87</v>
      </c>
      <c r="D1699" s="37">
        <v>45083</v>
      </c>
      <c r="E1699" s="38">
        <v>2261.98</v>
      </c>
      <c r="F1699" s="39">
        <v>73</v>
      </c>
    </row>
    <row r="1700" spans="1:6" x14ac:dyDescent="0.3">
      <c r="A1700" s="30" t="s">
        <v>37</v>
      </c>
      <c r="B1700" s="31" t="s">
        <v>25</v>
      </c>
      <c r="C1700" s="31" t="s">
        <v>87</v>
      </c>
      <c r="D1700" s="32">
        <v>45050</v>
      </c>
      <c r="E1700" s="33">
        <v>5667.58</v>
      </c>
      <c r="F1700" s="34">
        <v>204</v>
      </c>
    </row>
    <row r="1701" spans="1:6" x14ac:dyDescent="0.3">
      <c r="A1701" s="35" t="s">
        <v>64</v>
      </c>
      <c r="B1701" s="36" t="s">
        <v>32</v>
      </c>
      <c r="C1701" s="36" t="s">
        <v>26</v>
      </c>
      <c r="D1701" s="36" t="s">
        <v>257</v>
      </c>
      <c r="E1701" s="38">
        <v>4738.71</v>
      </c>
      <c r="F1701" s="39">
        <v>125</v>
      </c>
    </row>
    <row r="1702" spans="1:6" x14ac:dyDescent="0.3">
      <c r="A1702" s="30" t="s">
        <v>67</v>
      </c>
      <c r="B1702" s="31" t="s">
        <v>10</v>
      </c>
      <c r="C1702" s="31" t="s">
        <v>26</v>
      </c>
      <c r="D1702" s="31" t="s">
        <v>200</v>
      </c>
      <c r="E1702" s="33">
        <v>13661.89</v>
      </c>
      <c r="F1702" s="34">
        <v>15</v>
      </c>
    </row>
    <row r="1703" spans="1:6" x14ac:dyDescent="0.3">
      <c r="A1703" s="35" t="s">
        <v>77</v>
      </c>
      <c r="B1703" s="36" t="s">
        <v>32</v>
      </c>
      <c r="C1703" s="36" t="s">
        <v>87</v>
      </c>
      <c r="D1703" s="36" t="s">
        <v>186</v>
      </c>
      <c r="E1703" s="38">
        <v>6067.19</v>
      </c>
      <c r="F1703" s="39">
        <v>151</v>
      </c>
    </row>
    <row r="1704" spans="1:6" x14ac:dyDescent="0.3">
      <c r="A1704" s="30" t="s">
        <v>6</v>
      </c>
      <c r="B1704" s="31" t="s">
        <v>15</v>
      </c>
      <c r="C1704" s="31" t="s">
        <v>20</v>
      </c>
      <c r="D1704" s="31" t="s">
        <v>207</v>
      </c>
      <c r="E1704" s="33">
        <v>11720.99</v>
      </c>
      <c r="F1704" s="34">
        <v>204</v>
      </c>
    </row>
    <row r="1705" spans="1:6" x14ac:dyDescent="0.3">
      <c r="A1705" s="35" t="s">
        <v>14</v>
      </c>
      <c r="B1705" s="36" t="s">
        <v>15</v>
      </c>
      <c r="C1705" s="36" t="s">
        <v>8</v>
      </c>
      <c r="D1705" s="36" t="s">
        <v>228</v>
      </c>
      <c r="E1705" s="38">
        <v>19999.55</v>
      </c>
      <c r="F1705" s="39">
        <v>106</v>
      </c>
    </row>
    <row r="1706" spans="1:6" x14ac:dyDescent="0.3">
      <c r="A1706" s="30" t="s">
        <v>19</v>
      </c>
      <c r="B1706" s="31" t="s">
        <v>25</v>
      </c>
      <c r="C1706" s="31" t="s">
        <v>46</v>
      </c>
      <c r="D1706" s="32">
        <v>45261</v>
      </c>
      <c r="E1706" s="33">
        <v>4484.03</v>
      </c>
      <c r="F1706" s="34">
        <v>201</v>
      </c>
    </row>
    <row r="1707" spans="1:6" x14ac:dyDescent="0.3">
      <c r="A1707" s="35" t="s">
        <v>28</v>
      </c>
      <c r="B1707" s="36" t="s">
        <v>7</v>
      </c>
      <c r="C1707" s="36" t="s">
        <v>65</v>
      </c>
      <c r="D1707" s="36" t="s">
        <v>203</v>
      </c>
      <c r="E1707" s="38">
        <v>107.24</v>
      </c>
      <c r="F1707" s="39">
        <v>129</v>
      </c>
    </row>
    <row r="1708" spans="1:6" x14ac:dyDescent="0.3">
      <c r="A1708" s="30" t="s">
        <v>70</v>
      </c>
      <c r="B1708" s="31" t="s">
        <v>10</v>
      </c>
      <c r="C1708" s="31" t="s">
        <v>18</v>
      </c>
      <c r="D1708" s="32">
        <v>44928</v>
      </c>
      <c r="E1708" s="33">
        <v>2525.98</v>
      </c>
      <c r="F1708" s="34">
        <v>8</v>
      </c>
    </row>
    <row r="1709" spans="1:6" x14ac:dyDescent="0.3">
      <c r="A1709" s="35" t="s">
        <v>29</v>
      </c>
      <c r="B1709" s="36" t="s">
        <v>7</v>
      </c>
      <c r="C1709" s="36" t="s">
        <v>36</v>
      </c>
      <c r="D1709" s="36" t="s">
        <v>162</v>
      </c>
      <c r="E1709" s="38">
        <v>1577.84</v>
      </c>
      <c r="F1709" s="39">
        <v>67</v>
      </c>
    </row>
    <row r="1710" spans="1:6" x14ac:dyDescent="0.3">
      <c r="A1710" s="30" t="s">
        <v>12</v>
      </c>
      <c r="B1710" s="31" t="s">
        <v>32</v>
      </c>
      <c r="C1710" s="31" t="s">
        <v>18</v>
      </c>
      <c r="D1710" s="31" t="s">
        <v>181</v>
      </c>
      <c r="E1710" s="33">
        <v>2972.07</v>
      </c>
      <c r="F1710" s="34">
        <v>129</v>
      </c>
    </row>
    <row r="1711" spans="1:6" x14ac:dyDescent="0.3">
      <c r="A1711" s="35" t="s">
        <v>48</v>
      </c>
      <c r="B1711" s="36" t="s">
        <v>25</v>
      </c>
      <c r="C1711" s="36" t="s">
        <v>8</v>
      </c>
      <c r="D1711" s="36" t="s">
        <v>169</v>
      </c>
      <c r="E1711" s="38">
        <v>3691.63</v>
      </c>
      <c r="F1711" s="39">
        <v>284</v>
      </c>
    </row>
    <row r="1712" spans="1:6" x14ac:dyDescent="0.3">
      <c r="A1712" s="30" t="s">
        <v>48</v>
      </c>
      <c r="B1712" s="31" t="s">
        <v>32</v>
      </c>
      <c r="C1712" s="31" t="s">
        <v>8</v>
      </c>
      <c r="D1712" s="31" t="s">
        <v>182</v>
      </c>
      <c r="E1712" s="33">
        <v>5188.8900000000003</v>
      </c>
      <c r="F1712" s="34">
        <v>293</v>
      </c>
    </row>
    <row r="1713" spans="1:6" x14ac:dyDescent="0.3">
      <c r="A1713" s="35" t="s">
        <v>77</v>
      </c>
      <c r="B1713" s="36" t="s">
        <v>25</v>
      </c>
      <c r="C1713" s="36" t="s">
        <v>57</v>
      </c>
      <c r="D1713" s="36" t="s">
        <v>218</v>
      </c>
      <c r="E1713" s="38">
        <v>5766.51</v>
      </c>
      <c r="F1713" s="39">
        <v>21</v>
      </c>
    </row>
    <row r="1714" spans="1:6" x14ac:dyDescent="0.3">
      <c r="A1714" s="30" t="s">
        <v>37</v>
      </c>
      <c r="B1714" s="31" t="s">
        <v>10</v>
      </c>
      <c r="C1714" s="31" t="s">
        <v>11</v>
      </c>
      <c r="D1714" s="31" t="s">
        <v>258</v>
      </c>
      <c r="E1714" s="33">
        <v>1036.77</v>
      </c>
      <c r="F1714" s="34">
        <v>82</v>
      </c>
    </row>
    <row r="1715" spans="1:6" x14ac:dyDescent="0.3">
      <c r="A1715" s="35" t="s">
        <v>83</v>
      </c>
      <c r="B1715" s="36" t="s">
        <v>15</v>
      </c>
      <c r="C1715" s="36" t="s">
        <v>90</v>
      </c>
      <c r="D1715" s="36" t="s">
        <v>255</v>
      </c>
      <c r="E1715" s="38">
        <v>10033.52</v>
      </c>
      <c r="F1715" s="39">
        <v>163</v>
      </c>
    </row>
    <row r="1716" spans="1:6" x14ac:dyDescent="0.3">
      <c r="A1716" s="30" t="s">
        <v>70</v>
      </c>
      <c r="B1716" s="31" t="s">
        <v>32</v>
      </c>
      <c r="C1716" s="31" t="s">
        <v>57</v>
      </c>
      <c r="D1716" s="31" t="s">
        <v>173</v>
      </c>
      <c r="E1716" s="33">
        <v>5220.6899999999996</v>
      </c>
      <c r="F1716" s="34">
        <v>154</v>
      </c>
    </row>
    <row r="1717" spans="1:6" x14ac:dyDescent="0.3">
      <c r="A1717" s="35" t="s">
        <v>70</v>
      </c>
      <c r="B1717" s="36" t="s">
        <v>35</v>
      </c>
      <c r="C1717" s="36" t="s">
        <v>13</v>
      </c>
      <c r="D1717" s="37">
        <v>45142</v>
      </c>
      <c r="E1717" s="38">
        <v>8106.62</v>
      </c>
      <c r="F1717" s="39">
        <v>47</v>
      </c>
    </row>
    <row r="1718" spans="1:6" x14ac:dyDescent="0.3">
      <c r="A1718" s="30" t="s">
        <v>12</v>
      </c>
      <c r="B1718" s="31" t="s">
        <v>35</v>
      </c>
      <c r="C1718" s="31" t="s">
        <v>38</v>
      </c>
      <c r="D1718" s="32">
        <v>45084</v>
      </c>
      <c r="E1718" s="33">
        <v>3934.09</v>
      </c>
      <c r="F1718" s="34">
        <v>86</v>
      </c>
    </row>
    <row r="1719" spans="1:6" x14ac:dyDescent="0.3">
      <c r="A1719" s="35" t="s">
        <v>53</v>
      </c>
      <c r="B1719" s="36" t="s">
        <v>10</v>
      </c>
      <c r="C1719" s="36" t="s">
        <v>57</v>
      </c>
      <c r="D1719" s="37">
        <v>45020</v>
      </c>
      <c r="E1719" s="38">
        <v>4508.93</v>
      </c>
      <c r="F1719" s="39">
        <v>231</v>
      </c>
    </row>
    <row r="1720" spans="1:6" x14ac:dyDescent="0.3">
      <c r="A1720" s="30" t="s">
        <v>14</v>
      </c>
      <c r="B1720" s="31" t="s">
        <v>25</v>
      </c>
      <c r="C1720" s="31" t="s">
        <v>42</v>
      </c>
      <c r="D1720" s="32">
        <v>44960</v>
      </c>
      <c r="E1720" s="33">
        <v>1921.57</v>
      </c>
      <c r="F1720" s="34">
        <v>226</v>
      </c>
    </row>
    <row r="1721" spans="1:6" x14ac:dyDescent="0.3">
      <c r="A1721" s="35" t="s">
        <v>12</v>
      </c>
      <c r="B1721" s="36" t="s">
        <v>25</v>
      </c>
      <c r="C1721" s="36" t="s">
        <v>73</v>
      </c>
      <c r="D1721" s="37">
        <v>45177</v>
      </c>
      <c r="E1721" s="38">
        <v>1161.31</v>
      </c>
      <c r="F1721" s="39">
        <v>181</v>
      </c>
    </row>
    <row r="1722" spans="1:6" x14ac:dyDescent="0.3">
      <c r="A1722" s="30" t="s">
        <v>58</v>
      </c>
      <c r="B1722" s="31" t="s">
        <v>15</v>
      </c>
      <c r="C1722" s="31" t="s">
        <v>46</v>
      </c>
      <c r="D1722" s="32">
        <v>45175</v>
      </c>
      <c r="E1722" s="33">
        <v>11389.29</v>
      </c>
      <c r="F1722" s="34">
        <v>282</v>
      </c>
    </row>
    <row r="1723" spans="1:6" x14ac:dyDescent="0.3">
      <c r="A1723" s="35" t="s">
        <v>83</v>
      </c>
      <c r="B1723" s="36" t="s">
        <v>7</v>
      </c>
      <c r="C1723" s="36" t="s">
        <v>90</v>
      </c>
      <c r="D1723" s="37">
        <v>44963</v>
      </c>
      <c r="E1723" s="38">
        <v>3032.3</v>
      </c>
      <c r="F1723" s="39">
        <v>313</v>
      </c>
    </row>
    <row r="1724" spans="1:6" x14ac:dyDescent="0.3">
      <c r="A1724" s="30" t="s">
        <v>9</v>
      </c>
      <c r="B1724" s="31" t="s">
        <v>32</v>
      </c>
      <c r="C1724" s="31" t="s">
        <v>57</v>
      </c>
      <c r="D1724" s="32">
        <v>45053</v>
      </c>
      <c r="E1724" s="33">
        <v>6871.55</v>
      </c>
      <c r="F1724" s="34">
        <v>238</v>
      </c>
    </row>
    <row r="1725" spans="1:6" x14ac:dyDescent="0.3">
      <c r="A1725" s="35" t="s">
        <v>67</v>
      </c>
      <c r="B1725" s="36" t="s">
        <v>35</v>
      </c>
      <c r="C1725" s="36" t="s">
        <v>36</v>
      </c>
      <c r="D1725" s="37">
        <v>45238</v>
      </c>
      <c r="E1725" s="38">
        <v>339.99</v>
      </c>
      <c r="F1725" s="39">
        <v>124</v>
      </c>
    </row>
    <row r="1726" spans="1:6" x14ac:dyDescent="0.3">
      <c r="A1726" s="30" t="s">
        <v>77</v>
      </c>
      <c r="B1726" s="31" t="s">
        <v>10</v>
      </c>
      <c r="C1726" s="31" t="s">
        <v>75</v>
      </c>
      <c r="D1726" s="32">
        <v>45232</v>
      </c>
      <c r="E1726" s="33">
        <v>3720.22</v>
      </c>
      <c r="F1726" s="34">
        <v>141</v>
      </c>
    </row>
    <row r="1727" spans="1:6" x14ac:dyDescent="0.3">
      <c r="A1727" s="35" t="s">
        <v>70</v>
      </c>
      <c r="B1727" s="36" t="s">
        <v>25</v>
      </c>
      <c r="C1727" s="36" t="s">
        <v>50</v>
      </c>
      <c r="D1727" s="37">
        <v>45238</v>
      </c>
      <c r="E1727" s="38">
        <v>731.19</v>
      </c>
      <c r="F1727" s="39">
        <v>69</v>
      </c>
    </row>
    <row r="1728" spans="1:6" x14ac:dyDescent="0.3">
      <c r="A1728" s="30" t="s">
        <v>45</v>
      </c>
      <c r="B1728" s="31" t="s">
        <v>15</v>
      </c>
      <c r="C1728" s="31" t="s">
        <v>38</v>
      </c>
      <c r="D1728" s="32">
        <v>45265</v>
      </c>
      <c r="E1728" s="33">
        <v>13288.65</v>
      </c>
      <c r="F1728" s="34">
        <v>112</v>
      </c>
    </row>
    <row r="1729" spans="1:6" x14ac:dyDescent="0.3">
      <c r="A1729" s="35" t="s">
        <v>64</v>
      </c>
      <c r="B1729" s="36" t="s">
        <v>32</v>
      </c>
      <c r="C1729" s="36" t="s">
        <v>46</v>
      </c>
      <c r="D1729" s="36" t="s">
        <v>189</v>
      </c>
      <c r="E1729" s="38">
        <v>5332.79</v>
      </c>
      <c r="F1729" s="39">
        <v>101</v>
      </c>
    </row>
    <row r="1730" spans="1:6" x14ac:dyDescent="0.3">
      <c r="A1730" s="30" t="s">
        <v>67</v>
      </c>
      <c r="B1730" s="31" t="s">
        <v>10</v>
      </c>
      <c r="C1730" s="31" t="s">
        <v>42</v>
      </c>
      <c r="D1730" s="31" t="s">
        <v>218</v>
      </c>
      <c r="E1730" s="33">
        <v>3971.78</v>
      </c>
      <c r="F1730" s="34">
        <v>131</v>
      </c>
    </row>
    <row r="1731" spans="1:6" x14ac:dyDescent="0.3">
      <c r="A1731" s="35" t="s">
        <v>77</v>
      </c>
      <c r="B1731" s="36" t="s">
        <v>7</v>
      </c>
      <c r="C1731" s="36" t="s">
        <v>57</v>
      </c>
      <c r="D1731" s="37">
        <v>45047</v>
      </c>
      <c r="E1731" s="38">
        <v>9538.2099999999991</v>
      </c>
      <c r="F1731" s="39">
        <v>198</v>
      </c>
    </row>
    <row r="1732" spans="1:6" x14ac:dyDescent="0.3">
      <c r="A1732" s="30" t="s">
        <v>48</v>
      </c>
      <c r="B1732" s="31" t="s">
        <v>15</v>
      </c>
      <c r="C1732" s="31" t="s">
        <v>26</v>
      </c>
      <c r="D1732" s="31" t="s">
        <v>179</v>
      </c>
      <c r="E1732" s="33">
        <v>547.85</v>
      </c>
      <c r="F1732" s="34">
        <v>221</v>
      </c>
    </row>
    <row r="1733" spans="1:6" x14ac:dyDescent="0.3">
      <c r="A1733" s="35" t="s">
        <v>28</v>
      </c>
      <c r="B1733" s="36" t="s">
        <v>35</v>
      </c>
      <c r="C1733" s="36" t="s">
        <v>73</v>
      </c>
      <c r="D1733" s="36" t="s">
        <v>230</v>
      </c>
      <c r="E1733" s="38">
        <v>2994.76</v>
      </c>
      <c r="F1733" s="39">
        <v>47</v>
      </c>
    </row>
    <row r="1734" spans="1:6" x14ac:dyDescent="0.3">
      <c r="A1734" s="30" t="s">
        <v>22</v>
      </c>
      <c r="B1734" s="31" t="s">
        <v>10</v>
      </c>
      <c r="C1734" s="31" t="s">
        <v>8</v>
      </c>
      <c r="D1734" s="32">
        <v>45146</v>
      </c>
      <c r="E1734" s="33">
        <v>4451.38</v>
      </c>
      <c r="F1734" s="34">
        <v>71</v>
      </c>
    </row>
    <row r="1735" spans="1:6" x14ac:dyDescent="0.3">
      <c r="A1735" s="35" t="s">
        <v>58</v>
      </c>
      <c r="B1735" s="36" t="s">
        <v>10</v>
      </c>
      <c r="C1735" s="36" t="s">
        <v>8</v>
      </c>
      <c r="D1735" s="36" t="s">
        <v>213</v>
      </c>
      <c r="E1735" s="38">
        <v>14691.77</v>
      </c>
      <c r="F1735" s="39">
        <v>143</v>
      </c>
    </row>
    <row r="1736" spans="1:6" x14ac:dyDescent="0.3">
      <c r="A1736" s="30" t="s">
        <v>31</v>
      </c>
      <c r="B1736" s="31" t="s">
        <v>10</v>
      </c>
      <c r="C1736" s="31" t="s">
        <v>90</v>
      </c>
      <c r="D1736" s="32">
        <v>45017</v>
      </c>
      <c r="E1736" s="33">
        <v>7042.98</v>
      </c>
      <c r="F1736" s="34">
        <v>107</v>
      </c>
    </row>
    <row r="1737" spans="1:6" x14ac:dyDescent="0.3">
      <c r="A1737" s="35" t="s">
        <v>28</v>
      </c>
      <c r="B1737" s="36" t="s">
        <v>10</v>
      </c>
      <c r="C1737" s="36" t="s">
        <v>46</v>
      </c>
      <c r="D1737" s="36" t="s">
        <v>228</v>
      </c>
      <c r="E1737" s="38">
        <v>15583</v>
      </c>
      <c r="F1737" s="39">
        <v>248</v>
      </c>
    </row>
    <row r="1738" spans="1:6" x14ac:dyDescent="0.3">
      <c r="A1738" s="30" t="s">
        <v>41</v>
      </c>
      <c r="B1738" s="31" t="s">
        <v>7</v>
      </c>
      <c r="C1738" s="31" t="s">
        <v>50</v>
      </c>
      <c r="D1738" s="31" t="s">
        <v>173</v>
      </c>
      <c r="E1738" s="33">
        <v>9059.82</v>
      </c>
      <c r="F1738" s="34">
        <v>268</v>
      </c>
    </row>
    <row r="1739" spans="1:6" x14ac:dyDescent="0.3">
      <c r="A1739" s="35" t="s">
        <v>31</v>
      </c>
      <c r="B1739" s="36" t="s">
        <v>32</v>
      </c>
      <c r="C1739" s="36" t="s">
        <v>65</v>
      </c>
      <c r="D1739" s="37">
        <v>44987</v>
      </c>
      <c r="E1739" s="38">
        <v>430.59</v>
      </c>
      <c r="F1739" s="39">
        <v>85</v>
      </c>
    </row>
    <row r="1740" spans="1:6" x14ac:dyDescent="0.3">
      <c r="A1740" s="30" t="s">
        <v>9</v>
      </c>
      <c r="B1740" s="31" t="s">
        <v>35</v>
      </c>
      <c r="C1740" s="31" t="s">
        <v>73</v>
      </c>
      <c r="D1740" s="31" t="s">
        <v>226</v>
      </c>
      <c r="E1740" s="33">
        <v>1264.25</v>
      </c>
      <c r="F1740" s="34">
        <v>137</v>
      </c>
    </row>
    <row r="1741" spans="1:6" x14ac:dyDescent="0.3">
      <c r="A1741" s="35" t="s">
        <v>64</v>
      </c>
      <c r="B1741" s="36" t="s">
        <v>15</v>
      </c>
      <c r="C1741" s="36" t="s">
        <v>87</v>
      </c>
      <c r="D1741" s="36" t="s">
        <v>164</v>
      </c>
      <c r="E1741" s="38">
        <v>2995.47</v>
      </c>
      <c r="F1741" s="39">
        <v>156</v>
      </c>
    </row>
    <row r="1742" spans="1:6" x14ac:dyDescent="0.3">
      <c r="A1742" s="30" t="s">
        <v>28</v>
      </c>
      <c r="B1742" s="31" t="s">
        <v>15</v>
      </c>
      <c r="C1742" s="31" t="s">
        <v>46</v>
      </c>
      <c r="D1742" s="31" t="s">
        <v>232</v>
      </c>
      <c r="E1742" s="33">
        <v>2117.8200000000002</v>
      </c>
      <c r="F1742" s="34">
        <v>56</v>
      </c>
    </row>
    <row r="1743" spans="1:6" x14ac:dyDescent="0.3">
      <c r="A1743" s="35" t="s">
        <v>53</v>
      </c>
      <c r="B1743" s="36" t="s">
        <v>15</v>
      </c>
      <c r="C1743" s="36" t="s">
        <v>57</v>
      </c>
      <c r="D1743" s="36" t="s">
        <v>210</v>
      </c>
      <c r="E1743" s="38">
        <v>8081.79</v>
      </c>
      <c r="F1743" s="39">
        <v>54</v>
      </c>
    </row>
    <row r="1744" spans="1:6" x14ac:dyDescent="0.3">
      <c r="A1744" s="30" t="s">
        <v>77</v>
      </c>
      <c r="B1744" s="31" t="s">
        <v>15</v>
      </c>
      <c r="C1744" s="31" t="s">
        <v>42</v>
      </c>
      <c r="D1744" s="32">
        <v>45053</v>
      </c>
      <c r="E1744" s="33">
        <v>11542.54</v>
      </c>
      <c r="F1744" s="34">
        <v>49</v>
      </c>
    </row>
    <row r="1745" spans="1:6" x14ac:dyDescent="0.3">
      <c r="A1745" s="35" t="s">
        <v>9</v>
      </c>
      <c r="B1745" s="36" t="s">
        <v>10</v>
      </c>
      <c r="C1745" s="36" t="s">
        <v>59</v>
      </c>
      <c r="D1745" s="36" t="s">
        <v>234</v>
      </c>
      <c r="E1745" s="38">
        <v>2183.6799999999998</v>
      </c>
      <c r="F1745" s="39">
        <v>46</v>
      </c>
    </row>
    <row r="1746" spans="1:6" x14ac:dyDescent="0.3">
      <c r="A1746" s="30" t="s">
        <v>22</v>
      </c>
      <c r="B1746" s="31" t="s">
        <v>35</v>
      </c>
      <c r="C1746" s="31" t="s">
        <v>23</v>
      </c>
      <c r="D1746" s="32">
        <v>45024</v>
      </c>
      <c r="E1746" s="33">
        <v>3125.34</v>
      </c>
      <c r="F1746" s="34">
        <v>191</v>
      </c>
    </row>
    <row r="1747" spans="1:6" x14ac:dyDescent="0.3">
      <c r="A1747" s="35" t="s">
        <v>14</v>
      </c>
      <c r="B1747" s="36" t="s">
        <v>32</v>
      </c>
      <c r="C1747" s="36" t="s">
        <v>57</v>
      </c>
      <c r="D1747" s="36" t="s">
        <v>172</v>
      </c>
      <c r="E1747" s="38">
        <v>4891.8599999999997</v>
      </c>
      <c r="F1747" s="39">
        <v>380</v>
      </c>
    </row>
    <row r="1748" spans="1:6" x14ac:dyDescent="0.3">
      <c r="A1748" s="30" t="s">
        <v>14</v>
      </c>
      <c r="B1748" s="31" t="s">
        <v>35</v>
      </c>
      <c r="C1748" s="31" t="s">
        <v>23</v>
      </c>
      <c r="D1748" s="31" t="s">
        <v>198</v>
      </c>
      <c r="E1748" s="33">
        <v>4881.32</v>
      </c>
      <c r="F1748" s="34">
        <v>183</v>
      </c>
    </row>
    <row r="1749" spans="1:6" x14ac:dyDescent="0.3">
      <c r="A1749" s="35" t="s">
        <v>31</v>
      </c>
      <c r="B1749" s="36" t="s">
        <v>25</v>
      </c>
      <c r="C1749" s="36" t="s">
        <v>60</v>
      </c>
      <c r="D1749" s="36" t="s">
        <v>163</v>
      </c>
      <c r="E1749" s="38">
        <v>5917.62</v>
      </c>
      <c r="F1749" s="39">
        <v>238</v>
      </c>
    </row>
    <row r="1750" spans="1:6" x14ac:dyDescent="0.3">
      <c r="A1750" s="30" t="s">
        <v>37</v>
      </c>
      <c r="B1750" s="31" t="s">
        <v>25</v>
      </c>
      <c r="C1750" s="31" t="s">
        <v>11</v>
      </c>
      <c r="D1750" s="31" t="s">
        <v>191</v>
      </c>
      <c r="E1750" s="33">
        <v>6312.53</v>
      </c>
      <c r="F1750" s="34">
        <v>60</v>
      </c>
    </row>
    <row r="1751" spans="1:6" x14ac:dyDescent="0.3">
      <c r="A1751" s="35" t="s">
        <v>19</v>
      </c>
      <c r="B1751" s="36" t="s">
        <v>15</v>
      </c>
      <c r="C1751" s="36" t="s">
        <v>11</v>
      </c>
      <c r="D1751" s="36" t="s">
        <v>180</v>
      </c>
      <c r="E1751" s="38">
        <v>7956.28</v>
      </c>
      <c r="F1751" s="39">
        <v>27</v>
      </c>
    </row>
    <row r="1752" spans="1:6" x14ac:dyDescent="0.3">
      <c r="A1752" s="30" t="s">
        <v>48</v>
      </c>
      <c r="B1752" s="31" t="s">
        <v>35</v>
      </c>
      <c r="C1752" s="31" t="s">
        <v>75</v>
      </c>
      <c r="D1752" s="31" t="s">
        <v>201</v>
      </c>
      <c r="E1752" s="33">
        <v>5895.88</v>
      </c>
      <c r="F1752" s="34">
        <v>7</v>
      </c>
    </row>
    <row r="1753" spans="1:6" x14ac:dyDescent="0.3">
      <c r="A1753" s="35" t="s">
        <v>55</v>
      </c>
      <c r="B1753" s="36" t="s">
        <v>10</v>
      </c>
      <c r="C1753" s="36" t="s">
        <v>100</v>
      </c>
      <c r="D1753" s="36" t="s">
        <v>209</v>
      </c>
      <c r="E1753" s="38">
        <v>13535.7</v>
      </c>
      <c r="F1753" s="39">
        <v>296</v>
      </c>
    </row>
    <row r="1754" spans="1:6" x14ac:dyDescent="0.3">
      <c r="A1754" s="30" t="s">
        <v>41</v>
      </c>
      <c r="B1754" s="31" t="s">
        <v>32</v>
      </c>
      <c r="C1754" s="31" t="s">
        <v>59</v>
      </c>
      <c r="D1754" s="32">
        <v>45233</v>
      </c>
      <c r="E1754" s="33">
        <v>5639.9</v>
      </c>
      <c r="F1754" s="34">
        <v>129</v>
      </c>
    </row>
    <row r="1755" spans="1:6" x14ac:dyDescent="0.3">
      <c r="A1755" s="35" t="s">
        <v>83</v>
      </c>
      <c r="B1755" s="36" t="s">
        <v>25</v>
      </c>
      <c r="C1755" s="36" t="s">
        <v>23</v>
      </c>
      <c r="D1755" s="36" t="s">
        <v>245</v>
      </c>
      <c r="E1755" s="38">
        <v>5813.44</v>
      </c>
      <c r="F1755" s="39">
        <v>356</v>
      </c>
    </row>
    <row r="1756" spans="1:6" x14ac:dyDescent="0.3">
      <c r="A1756" s="30" t="s">
        <v>53</v>
      </c>
      <c r="B1756" s="31" t="s">
        <v>10</v>
      </c>
      <c r="C1756" s="31" t="s">
        <v>50</v>
      </c>
      <c r="D1756" s="31" t="s">
        <v>186</v>
      </c>
      <c r="E1756" s="33">
        <v>2514.8200000000002</v>
      </c>
      <c r="F1756" s="34">
        <v>32</v>
      </c>
    </row>
    <row r="1757" spans="1:6" x14ac:dyDescent="0.3">
      <c r="A1757" s="35" t="s">
        <v>22</v>
      </c>
      <c r="B1757" s="36" t="s">
        <v>35</v>
      </c>
      <c r="C1757" s="36" t="s">
        <v>26</v>
      </c>
      <c r="D1757" s="37">
        <v>45017</v>
      </c>
      <c r="E1757" s="38">
        <v>3044.01</v>
      </c>
      <c r="F1757" s="39">
        <v>22</v>
      </c>
    </row>
    <row r="1758" spans="1:6" x14ac:dyDescent="0.3">
      <c r="A1758" s="30" t="s">
        <v>48</v>
      </c>
      <c r="B1758" s="31" t="s">
        <v>10</v>
      </c>
      <c r="C1758" s="31" t="s">
        <v>46</v>
      </c>
      <c r="D1758" s="32">
        <v>45050</v>
      </c>
      <c r="E1758" s="33">
        <v>3902.04</v>
      </c>
      <c r="F1758" s="34">
        <v>214</v>
      </c>
    </row>
    <row r="1759" spans="1:6" x14ac:dyDescent="0.3">
      <c r="A1759" s="35" t="s">
        <v>41</v>
      </c>
      <c r="B1759" s="36" t="s">
        <v>10</v>
      </c>
      <c r="C1759" s="36" t="s">
        <v>46</v>
      </c>
      <c r="D1759" s="36" t="s">
        <v>184</v>
      </c>
      <c r="E1759" s="38">
        <v>1928.74</v>
      </c>
      <c r="F1759" s="39">
        <v>354</v>
      </c>
    </row>
    <row r="1760" spans="1:6" x14ac:dyDescent="0.3">
      <c r="A1760" s="30" t="s">
        <v>53</v>
      </c>
      <c r="B1760" s="31" t="s">
        <v>15</v>
      </c>
      <c r="C1760" s="31" t="s">
        <v>59</v>
      </c>
      <c r="D1760" s="32">
        <v>45235</v>
      </c>
      <c r="E1760" s="33">
        <v>3251.53</v>
      </c>
      <c r="F1760" s="34">
        <v>241</v>
      </c>
    </row>
    <row r="1761" spans="1:6" x14ac:dyDescent="0.3">
      <c r="A1761" s="35" t="s">
        <v>67</v>
      </c>
      <c r="B1761" s="36" t="s">
        <v>35</v>
      </c>
      <c r="C1761" s="36" t="s">
        <v>60</v>
      </c>
      <c r="D1761" s="36" t="s">
        <v>244</v>
      </c>
      <c r="E1761" s="38">
        <v>5031.9399999999996</v>
      </c>
      <c r="F1761" s="39">
        <v>495</v>
      </c>
    </row>
    <row r="1762" spans="1:6" x14ac:dyDescent="0.3">
      <c r="A1762" s="30" t="s">
        <v>14</v>
      </c>
      <c r="B1762" s="31" t="s">
        <v>25</v>
      </c>
      <c r="C1762" s="31" t="s">
        <v>33</v>
      </c>
      <c r="D1762" s="32">
        <v>45232</v>
      </c>
      <c r="E1762" s="33">
        <v>1350.26</v>
      </c>
      <c r="F1762" s="34">
        <v>89</v>
      </c>
    </row>
    <row r="1763" spans="1:6" x14ac:dyDescent="0.3">
      <c r="A1763" s="35" t="s">
        <v>67</v>
      </c>
      <c r="B1763" s="36" t="s">
        <v>35</v>
      </c>
      <c r="C1763" s="36" t="s">
        <v>18</v>
      </c>
      <c r="D1763" s="37">
        <v>45145</v>
      </c>
      <c r="E1763" s="38">
        <v>1187.71</v>
      </c>
      <c r="F1763" s="39">
        <v>75</v>
      </c>
    </row>
    <row r="1764" spans="1:6" x14ac:dyDescent="0.3">
      <c r="A1764" s="30" t="s">
        <v>22</v>
      </c>
      <c r="B1764" s="31" t="s">
        <v>7</v>
      </c>
      <c r="C1764" s="31" t="s">
        <v>73</v>
      </c>
      <c r="D1764" s="32">
        <v>45238</v>
      </c>
      <c r="E1764" s="33">
        <v>7055.38</v>
      </c>
      <c r="F1764" s="34">
        <v>334</v>
      </c>
    </row>
    <row r="1765" spans="1:6" x14ac:dyDescent="0.3">
      <c r="A1765" s="35" t="s">
        <v>53</v>
      </c>
      <c r="B1765" s="36" t="s">
        <v>25</v>
      </c>
      <c r="C1765" s="36" t="s">
        <v>23</v>
      </c>
      <c r="D1765" s="37">
        <v>45024</v>
      </c>
      <c r="E1765" s="38">
        <v>7231.89</v>
      </c>
      <c r="F1765" s="39">
        <v>8</v>
      </c>
    </row>
    <row r="1766" spans="1:6" x14ac:dyDescent="0.3">
      <c r="A1766" s="30" t="s">
        <v>67</v>
      </c>
      <c r="B1766" s="31" t="s">
        <v>25</v>
      </c>
      <c r="C1766" s="31" t="s">
        <v>33</v>
      </c>
      <c r="D1766" s="31" t="s">
        <v>230</v>
      </c>
      <c r="E1766" s="33">
        <v>9295.83</v>
      </c>
      <c r="F1766" s="34">
        <v>93</v>
      </c>
    </row>
    <row r="1767" spans="1:6" x14ac:dyDescent="0.3">
      <c r="A1767" s="35" t="s">
        <v>58</v>
      </c>
      <c r="B1767" s="36" t="s">
        <v>7</v>
      </c>
      <c r="C1767" s="36" t="s">
        <v>87</v>
      </c>
      <c r="D1767" s="36" t="s">
        <v>255</v>
      </c>
      <c r="E1767" s="38">
        <v>2276.94</v>
      </c>
      <c r="F1767" s="39">
        <v>296</v>
      </c>
    </row>
    <row r="1768" spans="1:6" x14ac:dyDescent="0.3">
      <c r="A1768" s="30" t="s">
        <v>6</v>
      </c>
      <c r="B1768" s="31" t="s">
        <v>35</v>
      </c>
      <c r="C1768" s="31" t="s">
        <v>33</v>
      </c>
      <c r="D1768" s="31" t="s">
        <v>245</v>
      </c>
      <c r="E1768" s="33">
        <v>4229.79</v>
      </c>
      <c r="F1768" s="34">
        <v>548</v>
      </c>
    </row>
    <row r="1769" spans="1:6" x14ac:dyDescent="0.3">
      <c r="A1769" s="35" t="s">
        <v>6</v>
      </c>
      <c r="B1769" s="36" t="s">
        <v>7</v>
      </c>
      <c r="C1769" s="36" t="s">
        <v>18</v>
      </c>
      <c r="D1769" s="36" t="s">
        <v>182</v>
      </c>
      <c r="E1769" s="38">
        <v>1640.53</v>
      </c>
      <c r="F1769" s="39">
        <v>119</v>
      </c>
    </row>
    <row r="1770" spans="1:6" x14ac:dyDescent="0.3">
      <c r="A1770" s="30" t="s">
        <v>67</v>
      </c>
      <c r="B1770" s="31" t="s">
        <v>7</v>
      </c>
      <c r="C1770" s="31" t="s">
        <v>90</v>
      </c>
      <c r="D1770" s="32">
        <v>45113</v>
      </c>
      <c r="E1770" s="33">
        <v>8234.5</v>
      </c>
      <c r="F1770" s="34">
        <v>294</v>
      </c>
    </row>
    <row r="1771" spans="1:6" x14ac:dyDescent="0.3">
      <c r="A1771" s="35" t="s">
        <v>14</v>
      </c>
      <c r="B1771" s="36" t="s">
        <v>7</v>
      </c>
      <c r="C1771" s="36" t="s">
        <v>59</v>
      </c>
      <c r="D1771" s="36" t="s">
        <v>250</v>
      </c>
      <c r="E1771" s="38">
        <v>10087.040000000001</v>
      </c>
      <c r="F1771" s="39">
        <v>46</v>
      </c>
    </row>
    <row r="1772" spans="1:6" x14ac:dyDescent="0.3">
      <c r="A1772" s="30" t="s">
        <v>79</v>
      </c>
      <c r="B1772" s="31" t="s">
        <v>32</v>
      </c>
      <c r="C1772" s="31" t="s">
        <v>57</v>
      </c>
      <c r="D1772" s="31" t="s">
        <v>198</v>
      </c>
      <c r="E1772" s="33">
        <v>3169.26</v>
      </c>
      <c r="F1772" s="34">
        <v>281</v>
      </c>
    </row>
    <row r="1773" spans="1:6" x14ac:dyDescent="0.3">
      <c r="A1773" s="35" t="s">
        <v>70</v>
      </c>
      <c r="B1773" s="36" t="s">
        <v>7</v>
      </c>
      <c r="C1773" s="36" t="s">
        <v>75</v>
      </c>
      <c r="D1773" s="36" t="s">
        <v>178</v>
      </c>
      <c r="E1773" s="38">
        <v>10355.42</v>
      </c>
      <c r="F1773" s="39">
        <v>215</v>
      </c>
    </row>
    <row r="1774" spans="1:6" x14ac:dyDescent="0.3">
      <c r="A1774" s="30" t="s">
        <v>22</v>
      </c>
      <c r="B1774" s="31" t="s">
        <v>25</v>
      </c>
      <c r="C1774" s="31" t="s">
        <v>23</v>
      </c>
      <c r="D1774" s="32">
        <v>45177</v>
      </c>
      <c r="E1774" s="33">
        <v>7772.63</v>
      </c>
      <c r="F1774" s="34">
        <v>140</v>
      </c>
    </row>
    <row r="1775" spans="1:6" x14ac:dyDescent="0.3">
      <c r="A1775" s="35" t="s">
        <v>55</v>
      </c>
      <c r="B1775" s="36" t="s">
        <v>35</v>
      </c>
      <c r="C1775" s="36" t="s">
        <v>11</v>
      </c>
      <c r="D1775" s="37">
        <v>45081</v>
      </c>
      <c r="E1775" s="38">
        <v>1992.77</v>
      </c>
      <c r="F1775" s="39">
        <v>31</v>
      </c>
    </row>
    <row r="1776" spans="1:6" x14ac:dyDescent="0.3">
      <c r="A1776" s="30" t="s">
        <v>14</v>
      </c>
      <c r="B1776" s="31" t="s">
        <v>25</v>
      </c>
      <c r="C1776" s="31" t="s">
        <v>60</v>
      </c>
      <c r="D1776" s="31" t="s">
        <v>168</v>
      </c>
      <c r="E1776" s="33">
        <v>1815.56</v>
      </c>
      <c r="F1776" s="34">
        <v>266</v>
      </c>
    </row>
    <row r="1777" spans="1:6" x14ac:dyDescent="0.3">
      <c r="A1777" s="35" t="s">
        <v>22</v>
      </c>
      <c r="B1777" s="36" t="s">
        <v>25</v>
      </c>
      <c r="C1777" s="36" t="s">
        <v>73</v>
      </c>
      <c r="D1777" s="36" t="s">
        <v>182</v>
      </c>
      <c r="E1777" s="38">
        <v>727.11</v>
      </c>
      <c r="F1777" s="39">
        <v>50</v>
      </c>
    </row>
    <row r="1778" spans="1:6" x14ac:dyDescent="0.3">
      <c r="A1778" s="30" t="s">
        <v>9</v>
      </c>
      <c r="B1778" s="31" t="s">
        <v>15</v>
      </c>
      <c r="C1778" s="31" t="s">
        <v>20</v>
      </c>
      <c r="D1778" s="31" t="s">
        <v>255</v>
      </c>
      <c r="E1778" s="33">
        <v>114.96</v>
      </c>
      <c r="F1778" s="34">
        <v>132</v>
      </c>
    </row>
    <row r="1779" spans="1:6" x14ac:dyDescent="0.3">
      <c r="A1779" s="35" t="s">
        <v>48</v>
      </c>
      <c r="B1779" s="36" t="s">
        <v>32</v>
      </c>
      <c r="C1779" s="36" t="s">
        <v>38</v>
      </c>
      <c r="D1779" s="37">
        <v>45109</v>
      </c>
      <c r="E1779" s="38">
        <v>5378.09</v>
      </c>
      <c r="F1779" s="39">
        <v>142</v>
      </c>
    </row>
    <row r="1780" spans="1:6" x14ac:dyDescent="0.3">
      <c r="A1780" s="30" t="s">
        <v>28</v>
      </c>
      <c r="B1780" s="31" t="s">
        <v>15</v>
      </c>
      <c r="C1780" s="31" t="s">
        <v>50</v>
      </c>
      <c r="D1780" s="32">
        <v>45174</v>
      </c>
      <c r="E1780" s="33">
        <v>6707.63</v>
      </c>
      <c r="F1780" s="34">
        <v>269</v>
      </c>
    </row>
    <row r="1781" spans="1:6" x14ac:dyDescent="0.3">
      <c r="A1781" s="35" t="s">
        <v>34</v>
      </c>
      <c r="B1781" s="36" t="s">
        <v>25</v>
      </c>
      <c r="C1781" s="36" t="s">
        <v>11</v>
      </c>
      <c r="D1781" s="37">
        <v>45083</v>
      </c>
      <c r="E1781" s="38">
        <v>8167.18</v>
      </c>
      <c r="F1781" s="39">
        <v>102</v>
      </c>
    </row>
    <row r="1782" spans="1:6" x14ac:dyDescent="0.3">
      <c r="A1782" s="30" t="s">
        <v>64</v>
      </c>
      <c r="B1782" s="31" t="s">
        <v>32</v>
      </c>
      <c r="C1782" s="31" t="s">
        <v>75</v>
      </c>
      <c r="D1782" s="32">
        <v>45083</v>
      </c>
      <c r="E1782" s="33">
        <v>9950.14</v>
      </c>
      <c r="F1782" s="34">
        <v>6</v>
      </c>
    </row>
    <row r="1783" spans="1:6" x14ac:dyDescent="0.3">
      <c r="A1783" s="35" t="s">
        <v>41</v>
      </c>
      <c r="B1783" s="36" t="s">
        <v>25</v>
      </c>
      <c r="C1783" s="36" t="s">
        <v>42</v>
      </c>
      <c r="D1783" s="36" t="s">
        <v>178</v>
      </c>
      <c r="E1783" s="38">
        <v>7229.26</v>
      </c>
      <c r="F1783" s="39">
        <v>215</v>
      </c>
    </row>
    <row r="1784" spans="1:6" x14ac:dyDescent="0.3">
      <c r="A1784" s="30" t="s">
        <v>22</v>
      </c>
      <c r="B1784" s="31" t="s">
        <v>7</v>
      </c>
      <c r="C1784" s="31" t="s">
        <v>26</v>
      </c>
      <c r="D1784" s="31" t="s">
        <v>167</v>
      </c>
      <c r="E1784" s="33">
        <v>2260.21</v>
      </c>
      <c r="F1784" s="34">
        <v>128</v>
      </c>
    </row>
    <row r="1785" spans="1:6" x14ac:dyDescent="0.3">
      <c r="A1785" s="35" t="s">
        <v>40</v>
      </c>
      <c r="B1785" s="36" t="s">
        <v>32</v>
      </c>
      <c r="C1785" s="36" t="s">
        <v>73</v>
      </c>
      <c r="D1785" s="36" t="s">
        <v>239</v>
      </c>
      <c r="E1785" s="38">
        <v>6206.9</v>
      </c>
      <c r="F1785" s="39">
        <v>149</v>
      </c>
    </row>
    <row r="1786" spans="1:6" x14ac:dyDescent="0.3">
      <c r="A1786" s="30" t="s">
        <v>6</v>
      </c>
      <c r="B1786" s="31" t="s">
        <v>7</v>
      </c>
      <c r="C1786" s="31" t="s">
        <v>59</v>
      </c>
      <c r="D1786" s="31" t="s">
        <v>179</v>
      </c>
      <c r="E1786" s="33">
        <v>1889.83</v>
      </c>
      <c r="F1786" s="34">
        <v>286</v>
      </c>
    </row>
    <row r="1787" spans="1:6" x14ac:dyDescent="0.3">
      <c r="A1787" s="35" t="s">
        <v>6</v>
      </c>
      <c r="B1787" s="36" t="s">
        <v>25</v>
      </c>
      <c r="C1787" s="36" t="s">
        <v>11</v>
      </c>
      <c r="D1787" s="37">
        <v>45233</v>
      </c>
      <c r="E1787" s="38">
        <v>7797.24</v>
      </c>
      <c r="F1787" s="39">
        <v>88</v>
      </c>
    </row>
    <row r="1788" spans="1:6" x14ac:dyDescent="0.3">
      <c r="A1788" s="30" t="s">
        <v>79</v>
      </c>
      <c r="B1788" s="31" t="s">
        <v>32</v>
      </c>
      <c r="C1788" s="31" t="s">
        <v>11</v>
      </c>
      <c r="D1788" s="31" t="s">
        <v>217</v>
      </c>
      <c r="E1788" s="33">
        <v>11644.92</v>
      </c>
      <c r="F1788" s="34">
        <v>536</v>
      </c>
    </row>
    <row r="1789" spans="1:6" x14ac:dyDescent="0.3">
      <c r="A1789" s="35" t="s">
        <v>29</v>
      </c>
      <c r="B1789" s="36" t="s">
        <v>15</v>
      </c>
      <c r="C1789" s="36" t="s">
        <v>18</v>
      </c>
      <c r="D1789" s="36" t="s">
        <v>174</v>
      </c>
      <c r="E1789" s="38">
        <v>4207.22</v>
      </c>
      <c r="F1789" s="39">
        <v>255</v>
      </c>
    </row>
    <row r="1790" spans="1:6" x14ac:dyDescent="0.3">
      <c r="A1790" s="30" t="s">
        <v>48</v>
      </c>
      <c r="B1790" s="31" t="s">
        <v>10</v>
      </c>
      <c r="C1790" s="31" t="s">
        <v>60</v>
      </c>
      <c r="D1790" s="31" t="s">
        <v>239</v>
      </c>
      <c r="E1790" s="33">
        <v>1683.88</v>
      </c>
      <c r="F1790" s="34">
        <v>169</v>
      </c>
    </row>
    <row r="1791" spans="1:6" x14ac:dyDescent="0.3">
      <c r="A1791" s="35" t="s">
        <v>34</v>
      </c>
      <c r="B1791" s="36" t="s">
        <v>32</v>
      </c>
      <c r="C1791" s="36" t="s">
        <v>13</v>
      </c>
      <c r="D1791" s="36" t="s">
        <v>239</v>
      </c>
      <c r="E1791" s="38">
        <v>1337.36</v>
      </c>
      <c r="F1791" s="39">
        <v>18</v>
      </c>
    </row>
    <row r="1792" spans="1:6" x14ac:dyDescent="0.3">
      <c r="A1792" s="30" t="s">
        <v>9</v>
      </c>
      <c r="B1792" s="31" t="s">
        <v>35</v>
      </c>
      <c r="C1792" s="31" t="s">
        <v>13</v>
      </c>
      <c r="D1792" s="31" t="s">
        <v>246</v>
      </c>
      <c r="E1792" s="33">
        <v>7147.04</v>
      </c>
      <c r="F1792" s="34">
        <v>300</v>
      </c>
    </row>
    <row r="1793" spans="1:6" x14ac:dyDescent="0.3">
      <c r="A1793" s="35" t="s">
        <v>70</v>
      </c>
      <c r="B1793" s="36" t="s">
        <v>25</v>
      </c>
      <c r="C1793" s="36" t="s">
        <v>18</v>
      </c>
      <c r="D1793" s="37">
        <v>45233</v>
      </c>
      <c r="E1793" s="38">
        <v>12030.46</v>
      </c>
      <c r="F1793" s="39">
        <v>296</v>
      </c>
    </row>
    <row r="1794" spans="1:6" x14ac:dyDescent="0.3">
      <c r="A1794" s="30" t="s">
        <v>29</v>
      </c>
      <c r="B1794" s="31" t="s">
        <v>32</v>
      </c>
      <c r="C1794" s="31" t="s">
        <v>18</v>
      </c>
      <c r="D1794" s="31" t="s">
        <v>232</v>
      </c>
      <c r="E1794" s="33">
        <v>15844.58</v>
      </c>
      <c r="F1794" s="34">
        <v>232</v>
      </c>
    </row>
    <row r="1795" spans="1:6" x14ac:dyDescent="0.3">
      <c r="A1795" s="35" t="s">
        <v>29</v>
      </c>
      <c r="B1795" s="36" t="s">
        <v>32</v>
      </c>
      <c r="C1795" s="36" t="s">
        <v>59</v>
      </c>
      <c r="D1795" s="36" t="s">
        <v>259</v>
      </c>
      <c r="E1795" s="38">
        <v>5025.84</v>
      </c>
      <c r="F1795" s="39">
        <v>133</v>
      </c>
    </row>
    <row r="1796" spans="1:6" x14ac:dyDescent="0.3">
      <c r="A1796" s="30" t="s">
        <v>45</v>
      </c>
      <c r="B1796" s="31" t="s">
        <v>35</v>
      </c>
      <c r="C1796" s="31" t="s">
        <v>18</v>
      </c>
      <c r="D1796" s="32">
        <v>45110</v>
      </c>
      <c r="E1796" s="33">
        <v>9902.0300000000007</v>
      </c>
      <c r="F1796" s="34">
        <v>12</v>
      </c>
    </row>
    <row r="1797" spans="1:6" x14ac:dyDescent="0.3">
      <c r="A1797" s="35" t="s">
        <v>48</v>
      </c>
      <c r="B1797" s="36" t="s">
        <v>25</v>
      </c>
      <c r="C1797" s="36" t="s">
        <v>23</v>
      </c>
      <c r="D1797" s="37">
        <v>45050</v>
      </c>
      <c r="E1797" s="38">
        <v>7944.07</v>
      </c>
      <c r="F1797" s="39">
        <v>33</v>
      </c>
    </row>
    <row r="1798" spans="1:6" x14ac:dyDescent="0.3">
      <c r="A1798" s="30" t="s">
        <v>71</v>
      </c>
      <c r="B1798" s="31" t="s">
        <v>10</v>
      </c>
      <c r="C1798" s="31" t="s">
        <v>11</v>
      </c>
      <c r="D1798" s="32">
        <v>45021</v>
      </c>
      <c r="E1798" s="33">
        <v>9523.65</v>
      </c>
      <c r="F1798" s="34">
        <v>55</v>
      </c>
    </row>
    <row r="1799" spans="1:6" x14ac:dyDescent="0.3">
      <c r="A1799" s="35" t="s">
        <v>83</v>
      </c>
      <c r="B1799" s="36" t="s">
        <v>32</v>
      </c>
      <c r="C1799" s="36" t="s">
        <v>75</v>
      </c>
      <c r="D1799" s="37">
        <v>45017</v>
      </c>
      <c r="E1799" s="38">
        <v>16240.71</v>
      </c>
      <c r="F1799" s="39">
        <v>93</v>
      </c>
    </row>
    <row r="1800" spans="1:6" x14ac:dyDescent="0.3">
      <c r="A1800" s="30" t="s">
        <v>40</v>
      </c>
      <c r="B1800" s="31" t="s">
        <v>15</v>
      </c>
      <c r="C1800" s="31" t="s">
        <v>87</v>
      </c>
      <c r="D1800" s="31" t="s">
        <v>167</v>
      </c>
      <c r="E1800" s="33">
        <v>5891.94</v>
      </c>
      <c r="F1800" s="34">
        <v>109</v>
      </c>
    </row>
    <row r="1801" spans="1:6" x14ac:dyDescent="0.3">
      <c r="A1801" s="35" t="s">
        <v>64</v>
      </c>
      <c r="B1801" s="36" t="s">
        <v>25</v>
      </c>
      <c r="C1801" s="36" t="s">
        <v>57</v>
      </c>
      <c r="D1801" s="37">
        <v>45237</v>
      </c>
      <c r="E1801" s="38">
        <v>6924.52</v>
      </c>
      <c r="F1801" s="39">
        <v>94</v>
      </c>
    </row>
    <row r="1802" spans="1:6" x14ac:dyDescent="0.3">
      <c r="A1802" s="30" t="s">
        <v>55</v>
      </c>
      <c r="B1802" s="31" t="s">
        <v>15</v>
      </c>
      <c r="C1802" s="31" t="s">
        <v>8</v>
      </c>
      <c r="D1802" s="31" t="s">
        <v>247</v>
      </c>
      <c r="E1802" s="33">
        <v>4552.57</v>
      </c>
      <c r="F1802" s="34">
        <v>158</v>
      </c>
    </row>
    <row r="1803" spans="1:6" x14ac:dyDescent="0.3">
      <c r="A1803" s="35" t="s">
        <v>71</v>
      </c>
      <c r="B1803" s="36" t="s">
        <v>25</v>
      </c>
      <c r="C1803" s="36" t="s">
        <v>13</v>
      </c>
      <c r="D1803" s="36" t="s">
        <v>244</v>
      </c>
      <c r="E1803" s="38">
        <v>1724.91</v>
      </c>
      <c r="F1803" s="39">
        <v>60</v>
      </c>
    </row>
    <row r="1804" spans="1:6" x14ac:dyDescent="0.3">
      <c r="A1804" s="30" t="s">
        <v>48</v>
      </c>
      <c r="B1804" s="31" t="s">
        <v>35</v>
      </c>
      <c r="C1804" s="31" t="s">
        <v>42</v>
      </c>
      <c r="D1804" s="31" t="s">
        <v>228</v>
      </c>
      <c r="E1804" s="33">
        <v>897.3</v>
      </c>
      <c r="F1804" s="34">
        <v>21</v>
      </c>
    </row>
    <row r="1805" spans="1:6" x14ac:dyDescent="0.3">
      <c r="A1805" s="35" t="s">
        <v>14</v>
      </c>
      <c r="B1805" s="36" t="s">
        <v>10</v>
      </c>
      <c r="C1805" s="36" t="s">
        <v>20</v>
      </c>
      <c r="D1805" s="36" t="s">
        <v>239</v>
      </c>
      <c r="E1805" s="38">
        <v>10283.9</v>
      </c>
      <c r="F1805" s="39">
        <v>178</v>
      </c>
    </row>
    <row r="1806" spans="1:6" x14ac:dyDescent="0.3">
      <c r="A1806" s="30" t="s">
        <v>29</v>
      </c>
      <c r="B1806" s="31" t="s">
        <v>35</v>
      </c>
      <c r="C1806" s="31" t="s">
        <v>38</v>
      </c>
      <c r="D1806" s="32">
        <v>45267</v>
      </c>
      <c r="E1806" s="33">
        <v>10415.77</v>
      </c>
      <c r="F1806" s="34">
        <v>200</v>
      </c>
    </row>
    <row r="1807" spans="1:6" x14ac:dyDescent="0.3">
      <c r="A1807" s="35" t="s">
        <v>14</v>
      </c>
      <c r="B1807" s="36" t="s">
        <v>7</v>
      </c>
      <c r="C1807" s="36" t="s">
        <v>33</v>
      </c>
      <c r="D1807" s="36" t="s">
        <v>177</v>
      </c>
      <c r="E1807" s="38">
        <v>4220.83</v>
      </c>
      <c r="F1807" s="39">
        <v>193</v>
      </c>
    </row>
    <row r="1808" spans="1:6" x14ac:dyDescent="0.3">
      <c r="A1808" s="30" t="s">
        <v>31</v>
      </c>
      <c r="B1808" s="31" t="s">
        <v>25</v>
      </c>
      <c r="C1808" s="31" t="s">
        <v>26</v>
      </c>
      <c r="D1808" s="31" t="s">
        <v>245</v>
      </c>
      <c r="E1808" s="33">
        <v>4909.8599999999997</v>
      </c>
      <c r="F1808" s="34">
        <v>304</v>
      </c>
    </row>
    <row r="1809" spans="1:6" x14ac:dyDescent="0.3">
      <c r="A1809" s="35" t="s">
        <v>48</v>
      </c>
      <c r="B1809" s="36" t="s">
        <v>15</v>
      </c>
      <c r="C1809" s="36" t="s">
        <v>36</v>
      </c>
      <c r="D1809" s="36" t="s">
        <v>235</v>
      </c>
      <c r="E1809" s="38">
        <v>6549.62</v>
      </c>
      <c r="F1809" s="39">
        <v>53</v>
      </c>
    </row>
    <row r="1810" spans="1:6" x14ac:dyDescent="0.3">
      <c r="A1810" s="30" t="s">
        <v>14</v>
      </c>
      <c r="B1810" s="31" t="s">
        <v>10</v>
      </c>
      <c r="C1810" s="31" t="s">
        <v>90</v>
      </c>
      <c r="D1810" s="40">
        <v>45389</v>
      </c>
      <c r="E1810" s="33">
        <v>99.5</v>
      </c>
      <c r="F1810" s="34">
        <v>161</v>
      </c>
    </row>
    <row r="1811" spans="1:6" x14ac:dyDescent="0.3">
      <c r="A1811" s="35" t="s">
        <v>67</v>
      </c>
      <c r="B1811" s="36" t="s">
        <v>7</v>
      </c>
      <c r="C1811" s="36" t="s">
        <v>59</v>
      </c>
      <c r="D1811" s="37">
        <v>45265</v>
      </c>
      <c r="E1811" s="38">
        <v>9793.16</v>
      </c>
      <c r="F1811" s="39">
        <v>110</v>
      </c>
    </row>
    <row r="1812" spans="1:6" x14ac:dyDescent="0.3">
      <c r="A1812" s="30" t="s">
        <v>71</v>
      </c>
      <c r="B1812" s="31" t="s">
        <v>25</v>
      </c>
      <c r="C1812" s="31" t="s">
        <v>73</v>
      </c>
      <c r="D1812" s="32">
        <v>45020</v>
      </c>
      <c r="E1812" s="33">
        <v>4823.6499999999996</v>
      </c>
      <c r="F1812" s="34">
        <v>143</v>
      </c>
    </row>
    <row r="1813" spans="1:6" x14ac:dyDescent="0.3">
      <c r="A1813" s="35" t="s">
        <v>77</v>
      </c>
      <c r="B1813" s="36" t="s">
        <v>15</v>
      </c>
      <c r="C1813" s="36" t="s">
        <v>33</v>
      </c>
      <c r="D1813" s="36" t="s">
        <v>184</v>
      </c>
      <c r="E1813" s="38">
        <v>7556.55</v>
      </c>
      <c r="F1813" s="39">
        <v>404</v>
      </c>
    </row>
    <row r="1814" spans="1:6" x14ac:dyDescent="0.3">
      <c r="A1814" s="30" t="s">
        <v>45</v>
      </c>
      <c r="B1814" s="31" t="s">
        <v>35</v>
      </c>
      <c r="C1814" s="31" t="s">
        <v>36</v>
      </c>
      <c r="D1814" s="32">
        <v>45141</v>
      </c>
      <c r="E1814" s="33">
        <v>7082.03</v>
      </c>
      <c r="F1814" s="34">
        <v>95</v>
      </c>
    </row>
    <row r="1815" spans="1:6" x14ac:dyDescent="0.3">
      <c r="A1815" s="35" t="s">
        <v>37</v>
      </c>
      <c r="B1815" s="36" t="s">
        <v>10</v>
      </c>
      <c r="C1815" s="36" t="s">
        <v>59</v>
      </c>
      <c r="D1815" s="36" t="s">
        <v>255</v>
      </c>
      <c r="E1815" s="38">
        <v>8361.4699999999993</v>
      </c>
      <c r="F1815" s="39">
        <v>231</v>
      </c>
    </row>
    <row r="1816" spans="1:6" x14ac:dyDescent="0.3">
      <c r="A1816" s="30" t="s">
        <v>64</v>
      </c>
      <c r="B1816" s="31" t="s">
        <v>10</v>
      </c>
      <c r="C1816" s="31" t="s">
        <v>8</v>
      </c>
      <c r="D1816" s="31" t="s">
        <v>186</v>
      </c>
      <c r="E1816" s="33">
        <v>1310.5</v>
      </c>
      <c r="F1816" s="34">
        <v>52</v>
      </c>
    </row>
    <row r="1817" spans="1:6" x14ac:dyDescent="0.3">
      <c r="A1817" s="35" t="s">
        <v>67</v>
      </c>
      <c r="B1817" s="36" t="s">
        <v>7</v>
      </c>
      <c r="C1817" s="36" t="s">
        <v>20</v>
      </c>
      <c r="D1817" s="36" t="s">
        <v>216</v>
      </c>
      <c r="E1817" s="38">
        <v>1288.0999999999999</v>
      </c>
      <c r="F1817" s="39">
        <v>67</v>
      </c>
    </row>
    <row r="1818" spans="1:6" x14ac:dyDescent="0.3">
      <c r="A1818" s="30" t="s">
        <v>40</v>
      </c>
      <c r="B1818" s="31" t="s">
        <v>7</v>
      </c>
      <c r="C1818" s="31" t="s">
        <v>26</v>
      </c>
      <c r="D1818" s="31" t="s">
        <v>230</v>
      </c>
      <c r="E1818" s="33">
        <v>3288.29</v>
      </c>
      <c r="F1818" s="34">
        <v>133</v>
      </c>
    </row>
    <row r="1819" spans="1:6" x14ac:dyDescent="0.3">
      <c r="A1819" s="35" t="s">
        <v>83</v>
      </c>
      <c r="B1819" s="36" t="s">
        <v>10</v>
      </c>
      <c r="C1819" s="36" t="s">
        <v>75</v>
      </c>
      <c r="D1819" s="37">
        <v>45050</v>
      </c>
      <c r="E1819" s="38">
        <v>10669.09</v>
      </c>
      <c r="F1819" s="39">
        <v>85</v>
      </c>
    </row>
    <row r="1820" spans="1:6" x14ac:dyDescent="0.3">
      <c r="A1820" s="30" t="s">
        <v>77</v>
      </c>
      <c r="B1820" s="31" t="s">
        <v>7</v>
      </c>
      <c r="C1820" s="31" t="s">
        <v>73</v>
      </c>
      <c r="D1820" s="31" t="s">
        <v>197</v>
      </c>
      <c r="E1820" s="33">
        <v>7361.93</v>
      </c>
      <c r="F1820" s="34">
        <v>344</v>
      </c>
    </row>
    <row r="1821" spans="1:6" x14ac:dyDescent="0.3">
      <c r="A1821" s="35" t="s">
        <v>64</v>
      </c>
      <c r="B1821" s="36" t="s">
        <v>15</v>
      </c>
      <c r="C1821" s="36" t="s">
        <v>26</v>
      </c>
      <c r="D1821" s="37">
        <v>44993</v>
      </c>
      <c r="E1821" s="38">
        <v>10336.219999999999</v>
      </c>
      <c r="F1821" s="39">
        <v>123</v>
      </c>
    </row>
    <row r="1822" spans="1:6" x14ac:dyDescent="0.3">
      <c r="A1822" s="30" t="s">
        <v>12</v>
      </c>
      <c r="B1822" s="31" t="s">
        <v>35</v>
      </c>
      <c r="C1822" s="31" t="s">
        <v>59</v>
      </c>
      <c r="D1822" s="32">
        <v>45237</v>
      </c>
      <c r="E1822" s="33">
        <v>6985.95</v>
      </c>
      <c r="F1822" s="34">
        <v>4</v>
      </c>
    </row>
    <row r="1823" spans="1:6" x14ac:dyDescent="0.3">
      <c r="A1823" s="35" t="s">
        <v>64</v>
      </c>
      <c r="B1823" s="36" t="s">
        <v>25</v>
      </c>
      <c r="C1823" s="36" t="s">
        <v>36</v>
      </c>
      <c r="D1823" s="37">
        <v>45233</v>
      </c>
      <c r="E1823" s="38">
        <v>3394.46</v>
      </c>
      <c r="F1823" s="39">
        <v>21</v>
      </c>
    </row>
    <row r="1824" spans="1:6" x14ac:dyDescent="0.3">
      <c r="A1824" s="30" t="s">
        <v>28</v>
      </c>
      <c r="B1824" s="31" t="s">
        <v>7</v>
      </c>
      <c r="C1824" s="31" t="s">
        <v>13</v>
      </c>
      <c r="D1824" s="32">
        <v>45200</v>
      </c>
      <c r="E1824" s="33">
        <v>15337.23</v>
      </c>
      <c r="F1824" s="34">
        <v>31</v>
      </c>
    </row>
    <row r="1825" spans="1:6" x14ac:dyDescent="0.3">
      <c r="A1825" s="35" t="s">
        <v>45</v>
      </c>
      <c r="B1825" s="36" t="s">
        <v>7</v>
      </c>
      <c r="C1825" s="36" t="s">
        <v>87</v>
      </c>
      <c r="D1825" s="37">
        <v>45020</v>
      </c>
      <c r="E1825" s="38">
        <v>15925.17</v>
      </c>
      <c r="F1825" s="39">
        <v>378</v>
      </c>
    </row>
    <row r="1826" spans="1:6" x14ac:dyDescent="0.3">
      <c r="A1826" s="30" t="s">
        <v>37</v>
      </c>
      <c r="B1826" s="31" t="s">
        <v>15</v>
      </c>
      <c r="C1826" s="31" t="s">
        <v>26</v>
      </c>
      <c r="D1826" s="31" t="s">
        <v>255</v>
      </c>
      <c r="E1826" s="33">
        <v>7355.77</v>
      </c>
      <c r="F1826" s="34">
        <v>772</v>
      </c>
    </row>
    <row r="1827" spans="1:6" x14ac:dyDescent="0.3">
      <c r="A1827" s="35" t="s">
        <v>40</v>
      </c>
      <c r="B1827" s="36" t="s">
        <v>25</v>
      </c>
      <c r="C1827" s="36" t="s">
        <v>42</v>
      </c>
      <c r="D1827" s="37">
        <v>45145</v>
      </c>
      <c r="E1827" s="38">
        <v>9489.27</v>
      </c>
      <c r="F1827" s="39">
        <v>54</v>
      </c>
    </row>
    <row r="1828" spans="1:6" x14ac:dyDescent="0.3">
      <c r="A1828" s="30" t="s">
        <v>14</v>
      </c>
      <c r="B1828" s="31" t="s">
        <v>7</v>
      </c>
      <c r="C1828" s="31" t="s">
        <v>42</v>
      </c>
      <c r="D1828" s="32">
        <v>45264</v>
      </c>
      <c r="E1828" s="33">
        <v>1281.32</v>
      </c>
      <c r="F1828" s="34">
        <v>354</v>
      </c>
    </row>
    <row r="1829" spans="1:6" x14ac:dyDescent="0.3">
      <c r="A1829" s="35" t="s">
        <v>29</v>
      </c>
      <c r="B1829" s="36" t="s">
        <v>35</v>
      </c>
      <c r="C1829" s="36" t="s">
        <v>57</v>
      </c>
      <c r="D1829" s="36" t="s">
        <v>182</v>
      </c>
      <c r="E1829" s="38">
        <v>518.07000000000005</v>
      </c>
      <c r="F1829" s="39">
        <v>192</v>
      </c>
    </row>
    <row r="1830" spans="1:6" x14ac:dyDescent="0.3">
      <c r="A1830" s="30" t="s">
        <v>83</v>
      </c>
      <c r="B1830" s="31" t="s">
        <v>7</v>
      </c>
      <c r="C1830" s="31" t="s">
        <v>75</v>
      </c>
      <c r="D1830" s="32">
        <v>45113</v>
      </c>
      <c r="E1830" s="33">
        <v>1933.56</v>
      </c>
      <c r="F1830" s="34">
        <v>239</v>
      </c>
    </row>
    <row r="1831" spans="1:6" x14ac:dyDescent="0.3">
      <c r="A1831" s="35" t="s">
        <v>22</v>
      </c>
      <c r="B1831" s="36" t="s">
        <v>35</v>
      </c>
      <c r="C1831" s="36" t="s">
        <v>65</v>
      </c>
      <c r="D1831" s="36" t="s">
        <v>168</v>
      </c>
      <c r="E1831" s="38">
        <v>1308.52</v>
      </c>
      <c r="F1831" s="39">
        <v>30</v>
      </c>
    </row>
    <row r="1832" spans="1:6" x14ac:dyDescent="0.3">
      <c r="A1832" s="30" t="s">
        <v>53</v>
      </c>
      <c r="B1832" s="31" t="s">
        <v>32</v>
      </c>
      <c r="C1832" s="31" t="s">
        <v>20</v>
      </c>
      <c r="D1832" s="31" t="s">
        <v>212</v>
      </c>
      <c r="E1832" s="33">
        <v>9878.5</v>
      </c>
      <c r="F1832" s="34">
        <v>111</v>
      </c>
    </row>
    <row r="1833" spans="1:6" x14ac:dyDescent="0.3">
      <c r="A1833" s="35" t="s">
        <v>58</v>
      </c>
      <c r="B1833" s="36" t="s">
        <v>35</v>
      </c>
      <c r="C1833" s="36" t="s">
        <v>8</v>
      </c>
      <c r="D1833" s="37">
        <v>45142</v>
      </c>
      <c r="E1833" s="38">
        <v>1943.7</v>
      </c>
      <c r="F1833" s="39">
        <v>297</v>
      </c>
    </row>
    <row r="1834" spans="1:6" x14ac:dyDescent="0.3">
      <c r="A1834" s="30" t="s">
        <v>6</v>
      </c>
      <c r="B1834" s="31" t="s">
        <v>10</v>
      </c>
      <c r="C1834" s="31" t="s">
        <v>13</v>
      </c>
      <c r="D1834" s="40" t="s">
        <v>91</v>
      </c>
      <c r="E1834" s="33">
        <v>28</v>
      </c>
      <c r="F1834" s="34">
        <v>446</v>
      </c>
    </row>
    <row r="1835" spans="1:6" x14ac:dyDescent="0.3">
      <c r="A1835" s="35" t="s">
        <v>9</v>
      </c>
      <c r="B1835" s="36" t="s">
        <v>7</v>
      </c>
      <c r="C1835" s="36" t="s">
        <v>87</v>
      </c>
      <c r="D1835" s="36" t="s">
        <v>165</v>
      </c>
      <c r="E1835" s="38">
        <v>2678.37</v>
      </c>
      <c r="F1835" s="39">
        <v>20</v>
      </c>
    </row>
    <row r="1836" spans="1:6" x14ac:dyDescent="0.3">
      <c r="A1836" s="30" t="s">
        <v>31</v>
      </c>
      <c r="B1836" s="31" t="s">
        <v>15</v>
      </c>
      <c r="C1836" s="31" t="s">
        <v>90</v>
      </c>
      <c r="D1836" s="31" t="s">
        <v>223</v>
      </c>
      <c r="E1836" s="33">
        <v>2931.1</v>
      </c>
      <c r="F1836" s="34">
        <v>60</v>
      </c>
    </row>
    <row r="1837" spans="1:6" x14ac:dyDescent="0.3">
      <c r="A1837" s="35" t="s">
        <v>58</v>
      </c>
      <c r="B1837" s="36" t="s">
        <v>32</v>
      </c>
      <c r="C1837" s="36" t="s">
        <v>36</v>
      </c>
      <c r="D1837" s="36" t="s">
        <v>203</v>
      </c>
      <c r="E1837" s="38">
        <v>2316.09</v>
      </c>
      <c r="F1837" s="39">
        <v>90</v>
      </c>
    </row>
    <row r="1838" spans="1:6" x14ac:dyDescent="0.3">
      <c r="A1838" s="30" t="s">
        <v>12</v>
      </c>
      <c r="B1838" s="31" t="s">
        <v>15</v>
      </c>
      <c r="C1838" s="31" t="s">
        <v>73</v>
      </c>
      <c r="D1838" s="31" t="s">
        <v>258</v>
      </c>
      <c r="E1838" s="33">
        <v>6722.22</v>
      </c>
      <c r="F1838" s="34">
        <v>330</v>
      </c>
    </row>
    <row r="1839" spans="1:6" x14ac:dyDescent="0.3">
      <c r="A1839" s="35" t="s">
        <v>58</v>
      </c>
      <c r="B1839" s="36" t="s">
        <v>32</v>
      </c>
      <c r="C1839" s="36" t="s">
        <v>42</v>
      </c>
      <c r="D1839" s="36" t="s">
        <v>248</v>
      </c>
      <c r="E1839" s="38">
        <v>14528.51</v>
      </c>
      <c r="F1839" s="39">
        <v>134</v>
      </c>
    </row>
    <row r="1840" spans="1:6" x14ac:dyDescent="0.3">
      <c r="A1840" s="30" t="s">
        <v>41</v>
      </c>
      <c r="B1840" s="31" t="s">
        <v>35</v>
      </c>
      <c r="C1840" s="31" t="s">
        <v>33</v>
      </c>
      <c r="D1840" s="32">
        <v>45204</v>
      </c>
      <c r="E1840" s="33">
        <v>9390.2800000000007</v>
      </c>
      <c r="F1840" s="34">
        <v>104</v>
      </c>
    </row>
    <row r="1841" spans="1:6" x14ac:dyDescent="0.3">
      <c r="A1841" s="35" t="s">
        <v>34</v>
      </c>
      <c r="B1841" s="36" t="s">
        <v>15</v>
      </c>
      <c r="C1841" s="36" t="s">
        <v>75</v>
      </c>
      <c r="D1841" s="36" t="s">
        <v>236</v>
      </c>
      <c r="E1841" s="38">
        <v>16230.41</v>
      </c>
      <c r="F1841" s="39">
        <v>94</v>
      </c>
    </row>
    <row r="1842" spans="1:6" x14ac:dyDescent="0.3">
      <c r="A1842" s="30" t="s">
        <v>83</v>
      </c>
      <c r="B1842" s="31" t="s">
        <v>10</v>
      </c>
      <c r="C1842" s="31" t="s">
        <v>90</v>
      </c>
      <c r="D1842" s="31" t="s">
        <v>177</v>
      </c>
      <c r="E1842" s="33">
        <v>7224.39</v>
      </c>
      <c r="F1842" s="34">
        <v>55</v>
      </c>
    </row>
    <row r="1843" spans="1:6" x14ac:dyDescent="0.3">
      <c r="A1843" s="35" t="s">
        <v>9</v>
      </c>
      <c r="B1843" s="36" t="s">
        <v>35</v>
      </c>
      <c r="C1843" s="36" t="s">
        <v>26</v>
      </c>
      <c r="D1843" s="37">
        <v>45265</v>
      </c>
      <c r="E1843" s="38">
        <v>15567.58</v>
      </c>
      <c r="F1843" s="39">
        <v>57</v>
      </c>
    </row>
    <row r="1844" spans="1:6" x14ac:dyDescent="0.3">
      <c r="A1844" s="30" t="s">
        <v>70</v>
      </c>
      <c r="B1844" s="31" t="s">
        <v>25</v>
      </c>
      <c r="C1844" s="31" t="s">
        <v>87</v>
      </c>
      <c r="D1844" s="31" t="s">
        <v>245</v>
      </c>
      <c r="E1844" s="33">
        <v>2964.2</v>
      </c>
      <c r="F1844" s="34">
        <v>105</v>
      </c>
    </row>
    <row r="1845" spans="1:6" x14ac:dyDescent="0.3">
      <c r="A1845" s="35" t="s">
        <v>41</v>
      </c>
      <c r="B1845" s="36" t="s">
        <v>10</v>
      </c>
      <c r="C1845" s="36" t="s">
        <v>50</v>
      </c>
      <c r="D1845" s="36" t="s">
        <v>241</v>
      </c>
      <c r="E1845" s="38">
        <v>3357.08</v>
      </c>
      <c r="F1845" s="39">
        <v>186</v>
      </c>
    </row>
    <row r="1846" spans="1:6" x14ac:dyDescent="0.3">
      <c r="A1846" s="30" t="s">
        <v>12</v>
      </c>
      <c r="B1846" s="31" t="s">
        <v>15</v>
      </c>
      <c r="C1846" s="31" t="s">
        <v>65</v>
      </c>
      <c r="D1846" s="31" t="s">
        <v>238</v>
      </c>
      <c r="E1846" s="33">
        <v>1010.37</v>
      </c>
      <c r="F1846" s="34">
        <v>127</v>
      </c>
    </row>
    <row r="1847" spans="1:6" x14ac:dyDescent="0.3">
      <c r="A1847" s="35" t="s">
        <v>29</v>
      </c>
      <c r="B1847" s="36" t="s">
        <v>25</v>
      </c>
      <c r="C1847" s="36" t="s">
        <v>36</v>
      </c>
      <c r="D1847" s="37">
        <v>45109</v>
      </c>
      <c r="E1847" s="38">
        <v>20470.43</v>
      </c>
      <c r="F1847" s="39">
        <v>54</v>
      </c>
    </row>
    <row r="1848" spans="1:6" x14ac:dyDescent="0.3">
      <c r="A1848" s="30" t="s">
        <v>70</v>
      </c>
      <c r="B1848" s="31" t="s">
        <v>35</v>
      </c>
      <c r="C1848" s="31" t="s">
        <v>18</v>
      </c>
      <c r="D1848" s="31" t="s">
        <v>226</v>
      </c>
      <c r="E1848" s="33">
        <v>8762.75</v>
      </c>
      <c r="F1848" s="34">
        <v>115</v>
      </c>
    </row>
    <row r="1849" spans="1:6" x14ac:dyDescent="0.3">
      <c r="A1849" s="35" t="s">
        <v>14</v>
      </c>
      <c r="B1849" s="36" t="s">
        <v>10</v>
      </c>
      <c r="C1849" s="36" t="s">
        <v>87</v>
      </c>
      <c r="D1849" s="37">
        <v>44934</v>
      </c>
      <c r="E1849" s="38">
        <v>14613.52</v>
      </c>
      <c r="F1849" s="39">
        <v>85</v>
      </c>
    </row>
    <row r="1850" spans="1:6" x14ac:dyDescent="0.3">
      <c r="A1850" s="30" t="s">
        <v>6</v>
      </c>
      <c r="B1850" s="31" t="s">
        <v>15</v>
      </c>
      <c r="C1850" s="31" t="s">
        <v>46</v>
      </c>
      <c r="D1850" s="31" t="s">
        <v>236</v>
      </c>
      <c r="E1850" s="33">
        <v>9839.4599999999991</v>
      </c>
      <c r="F1850" s="34">
        <v>31</v>
      </c>
    </row>
    <row r="1851" spans="1:6" x14ac:dyDescent="0.3">
      <c r="A1851" s="35" t="s">
        <v>12</v>
      </c>
      <c r="B1851" s="36" t="s">
        <v>35</v>
      </c>
      <c r="C1851" s="36" t="s">
        <v>57</v>
      </c>
      <c r="D1851" s="36" t="s">
        <v>230</v>
      </c>
      <c r="E1851" s="38">
        <v>6633.23</v>
      </c>
      <c r="F1851" s="39">
        <v>103</v>
      </c>
    </row>
    <row r="1852" spans="1:6" x14ac:dyDescent="0.3">
      <c r="A1852" s="30" t="s">
        <v>41</v>
      </c>
      <c r="B1852" s="31" t="s">
        <v>7</v>
      </c>
      <c r="C1852" s="31" t="s">
        <v>36</v>
      </c>
      <c r="D1852" s="31" t="s">
        <v>237</v>
      </c>
      <c r="E1852" s="33">
        <v>9749.07</v>
      </c>
      <c r="F1852" s="34">
        <v>169</v>
      </c>
    </row>
    <row r="1853" spans="1:6" x14ac:dyDescent="0.3">
      <c r="A1853" s="35" t="s">
        <v>40</v>
      </c>
      <c r="B1853" s="36" t="s">
        <v>25</v>
      </c>
      <c r="C1853" s="36" t="s">
        <v>36</v>
      </c>
      <c r="D1853" s="36" t="s">
        <v>218</v>
      </c>
      <c r="E1853" s="38">
        <v>5254.38</v>
      </c>
      <c r="F1853" s="39">
        <v>31</v>
      </c>
    </row>
    <row r="1854" spans="1:6" x14ac:dyDescent="0.3">
      <c r="A1854" s="30" t="s">
        <v>53</v>
      </c>
      <c r="B1854" s="31" t="s">
        <v>15</v>
      </c>
      <c r="C1854" s="31" t="s">
        <v>20</v>
      </c>
      <c r="D1854" s="31" t="s">
        <v>197</v>
      </c>
      <c r="E1854" s="33">
        <v>3430.43</v>
      </c>
      <c r="F1854" s="34">
        <v>123</v>
      </c>
    </row>
    <row r="1855" spans="1:6" x14ac:dyDescent="0.3">
      <c r="A1855" s="35" t="s">
        <v>22</v>
      </c>
      <c r="B1855" s="36" t="s">
        <v>25</v>
      </c>
      <c r="C1855" s="36" t="s">
        <v>57</v>
      </c>
      <c r="D1855" s="37">
        <v>45205</v>
      </c>
      <c r="E1855" s="38">
        <v>10454.549999999999</v>
      </c>
      <c r="F1855" s="39">
        <v>434</v>
      </c>
    </row>
    <row r="1856" spans="1:6" x14ac:dyDescent="0.3">
      <c r="A1856" s="30" t="s">
        <v>48</v>
      </c>
      <c r="B1856" s="31" t="s">
        <v>35</v>
      </c>
      <c r="C1856" s="31" t="s">
        <v>100</v>
      </c>
      <c r="D1856" s="31" t="s">
        <v>200</v>
      </c>
      <c r="E1856" s="33">
        <v>2413.87</v>
      </c>
      <c r="F1856" s="34">
        <v>7</v>
      </c>
    </row>
    <row r="1857" spans="1:6" x14ac:dyDescent="0.3">
      <c r="A1857" s="35" t="s">
        <v>70</v>
      </c>
      <c r="B1857" s="36" t="s">
        <v>25</v>
      </c>
      <c r="C1857" s="36" t="s">
        <v>60</v>
      </c>
      <c r="D1857" s="37">
        <v>45142</v>
      </c>
      <c r="E1857" s="38">
        <v>1445.14</v>
      </c>
      <c r="F1857" s="39">
        <v>108</v>
      </c>
    </row>
    <row r="1858" spans="1:6" x14ac:dyDescent="0.3">
      <c r="A1858" s="30" t="s">
        <v>79</v>
      </c>
      <c r="B1858" s="31" t="s">
        <v>15</v>
      </c>
      <c r="C1858" s="31" t="s">
        <v>87</v>
      </c>
      <c r="D1858" s="32">
        <v>45113</v>
      </c>
      <c r="E1858" s="33">
        <v>4022.64</v>
      </c>
      <c r="F1858" s="34">
        <v>71</v>
      </c>
    </row>
    <row r="1859" spans="1:6" x14ac:dyDescent="0.3">
      <c r="A1859" s="35" t="s">
        <v>31</v>
      </c>
      <c r="B1859" s="36" t="s">
        <v>15</v>
      </c>
      <c r="C1859" s="36" t="s">
        <v>11</v>
      </c>
      <c r="D1859" s="37">
        <v>45201</v>
      </c>
      <c r="E1859" s="38">
        <v>8651.2000000000007</v>
      </c>
      <c r="F1859" s="39">
        <v>43</v>
      </c>
    </row>
    <row r="1860" spans="1:6" x14ac:dyDescent="0.3">
      <c r="A1860" s="30" t="s">
        <v>41</v>
      </c>
      <c r="B1860" s="31" t="s">
        <v>15</v>
      </c>
      <c r="C1860" s="31" t="s">
        <v>26</v>
      </c>
      <c r="D1860" s="31" t="s">
        <v>192</v>
      </c>
      <c r="E1860" s="33">
        <v>725.16</v>
      </c>
      <c r="F1860" s="34">
        <v>453</v>
      </c>
    </row>
    <row r="1861" spans="1:6" x14ac:dyDescent="0.3">
      <c r="A1861" s="35" t="s">
        <v>22</v>
      </c>
      <c r="B1861" s="36" t="s">
        <v>10</v>
      </c>
      <c r="C1861" s="36" t="s">
        <v>87</v>
      </c>
      <c r="D1861" s="36" t="s">
        <v>236</v>
      </c>
      <c r="E1861" s="38">
        <v>2385.4</v>
      </c>
      <c r="F1861" s="39">
        <v>540</v>
      </c>
    </row>
    <row r="1862" spans="1:6" x14ac:dyDescent="0.3">
      <c r="A1862" s="30" t="s">
        <v>9</v>
      </c>
      <c r="B1862" s="31" t="s">
        <v>15</v>
      </c>
      <c r="C1862" s="31" t="s">
        <v>26</v>
      </c>
      <c r="D1862" s="31" t="s">
        <v>198</v>
      </c>
      <c r="E1862" s="33">
        <v>726.04</v>
      </c>
      <c r="F1862" s="34">
        <v>131</v>
      </c>
    </row>
    <row r="1863" spans="1:6" x14ac:dyDescent="0.3">
      <c r="A1863" s="35" t="s">
        <v>19</v>
      </c>
      <c r="B1863" s="36" t="s">
        <v>32</v>
      </c>
      <c r="C1863" s="36" t="s">
        <v>60</v>
      </c>
      <c r="D1863" s="36" t="s">
        <v>216</v>
      </c>
      <c r="E1863" s="38">
        <v>4742.3500000000004</v>
      </c>
      <c r="F1863" s="39">
        <v>83</v>
      </c>
    </row>
    <row r="1864" spans="1:6" x14ac:dyDescent="0.3">
      <c r="A1864" s="30" t="s">
        <v>9</v>
      </c>
      <c r="B1864" s="31" t="s">
        <v>35</v>
      </c>
      <c r="C1864" s="31" t="s">
        <v>75</v>
      </c>
      <c r="D1864" s="31" t="s">
        <v>240</v>
      </c>
      <c r="E1864" s="33">
        <v>2556.96</v>
      </c>
      <c r="F1864" s="34">
        <v>312</v>
      </c>
    </row>
    <row r="1865" spans="1:6" x14ac:dyDescent="0.3">
      <c r="A1865" s="35" t="s">
        <v>37</v>
      </c>
      <c r="B1865" s="36" t="s">
        <v>35</v>
      </c>
      <c r="C1865" s="36" t="s">
        <v>100</v>
      </c>
      <c r="D1865" s="36" t="s">
        <v>246</v>
      </c>
      <c r="E1865" s="38">
        <v>8376.69</v>
      </c>
      <c r="F1865" s="39">
        <v>646</v>
      </c>
    </row>
    <row r="1866" spans="1:6" x14ac:dyDescent="0.3">
      <c r="A1866" s="30" t="s">
        <v>70</v>
      </c>
      <c r="B1866" s="31" t="s">
        <v>35</v>
      </c>
      <c r="C1866" s="31" t="s">
        <v>57</v>
      </c>
      <c r="D1866" s="31" t="s">
        <v>196</v>
      </c>
      <c r="E1866" s="33">
        <v>840.71</v>
      </c>
      <c r="F1866" s="34">
        <v>162</v>
      </c>
    </row>
    <row r="1867" spans="1:6" x14ac:dyDescent="0.3">
      <c r="A1867" s="35" t="s">
        <v>71</v>
      </c>
      <c r="B1867" s="36" t="s">
        <v>10</v>
      </c>
      <c r="C1867" s="36" t="s">
        <v>20</v>
      </c>
      <c r="D1867" s="37">
        <v>44965</v>
      </c>
      <c r="E1867" s="38">
        <v>207.87</v>
      </c>
      <c r="F1867" s="39">
        <v>216</v>
      </c>
    </row>
    <row r="1868" spans="1:6" x14ac:dyDescent="0.3">
      <c r="A1868" s="30" t="s">
        <v>77</v>
      </c>
      <c r="B1868" s="31" t="s">
        <v>25</v>
      </c>
      <c r="C1868" s="31" t="s">
        <v>100</v>
      </c>
      <c r="D1868" s="31" t="s">
        <v>228</v>
      </c>
      <c r="E1868" s="33">
        <v>13370.34</v>
      </c>
      <c r="F1868" s="34">
        <v>94</v>
      </c>
    </row>
    <row r="1869" spans="1:6" x14ac:dyDescent="0.3">
      <c r="A1869" s="35" t="s">
        <v>34</v>
      </c>
      <c r="B1869" s="36" t="s">
        <v>25</v>
      </c>
      <c r="C1869" s="36" t="s">
        <v>33</v>
      </c>
      <c r="D1869" s="37">
        <v>44928</v>
      </c>
      <c r="E1869" s="38">
        <v>6811.37</v>
      </c>
      <c r="F1869" s="39">
        <v>25</v>
      </c>
    </row>
    <row r="1870" spans="1:6" x14ac:dyDescent="0.3">
      <c r="A1870" s="30" t="s">
        <v>14</v>
      </c>
      <c r="B1870" s="31" t="s">
        <v>35</v>
      </c>
      <c r="C1870" s="31" t="s">
        <v>100</v>
      </c>
      <c r="D1870" s="31" t="s">
        <v>170</v>
      </c>
      <c r="E1870" s="33">
        <v>6096.52</v>
      </c>
      <c r="F1870" s="34">
        <v>300</v>
      </c>
    </row>
    <row r="1871" spans="1:6" x14ac:dyDescent="0.3">
      <c r="A1871" s="35" t="s">
        <v>70</v>
      </c>
      <c r="B1871" s="36" t="s">
        <v>15</v>
      </c>
      <c r="C1871" s="36" t="s">
        <v>46</v>
      </c>
      <c r="D1871" s="36" t="s">
        <v>163</v>
      </c>
      <c r="E1871" s="38">
        <v>8684.58</v>
      </c>
      <c r="F1871" s="39">
        <v>120</v>
      </c>
    </row>
    <row r="1872" spans="1:6" x14ac:dyDescent="0.3">
      <c r="A1872" s="30" t="s">
        <v>58</v>
      </c>
      <c r="B1872" s="31" t="s">
        <v>10</v>
      </c>
      <c r="C1872" s="31" t="s">
        <v>33</v>
      </c>
      <c r="D1872" s="31" t="s">
        <v>236</v>
      </c>
      <c r="E1872" s="33">
        <v>873.26</v>
      </c>
      <c r="F1872" s="34">
        <v>140</v>
      </c>
    </row>
    <row r="1873" spans="1:6" x14ac:dyDescent="0.3">
      <c r="A1873" s="35" t="s">
        <v>53</v>
      </c>
      <c r="B1873" s="36" t="s">
        <v>7</v>
      </c>
      <c r="C1873" s="36" t="s">
        <v>36</v>
      </c>
      <c r="D1873" s="36" t="s">
        <v>243</v>
      </c>
      <c r="E1873" s="38">
        <v>1912.66</v>
      </c>
      <c r="F1873" s="39">
        <v>253</v>
      </c>
    </row>
    <row r="1874" spans="1:6" x14ac:dyDescent="0.3">
      <c r="A1874" s="30" t="s">
        <v>12</v>
      </c>
      <c r="B1874" s="31" t="s">
        <v>32</v>
      </c>
      <c r="C1874" s="31" t="s">
        <v>13</v>
      </c>
      <c r="D1874" s="32">
        <v>45174</v>
      </c>
      <c r="E1874" s="33">
        <v>321.61</v>
      </c>
      <c r="F1874" s="34">
        <v>76</v>
      </c>
    </row>
    <row r="1875" spans="1:6" x14ac:dyDescent="0.3">
      <c r="A1875" s="35" t="s">
        <v>64</v>
      </c>
      <c r="B1875" s="36" t="s">
        <v>32</v>
      </c>
      <c r="C1875" s="36" t="s">
        <v>18</v>
      </c>
      <c r="D1875" s="36" t="s">
        <v>218</v>
      </c>
      <c r="E1875" s="38">
        <v>511.12</v>
      </c>
      <c r="F1875" s="39">
        <v>96</v>
      </c>
    </row>
    <row r="1876" spans="1:6" x14ac:dyDescent="0.3">
      <c r="A1876" s="30" t="s">
        <v>48</v>
      </c>
      <c r="B1876" s="31" t="s">
        <v>10</v>
      </c>
      <c r="C1876" s="31" t="s">
        <v>59</v>
      </c>
      <c r="D1876" s="32">
        <v>45023</v>
      </c>
      <c r="E1876" s="33">
        <v>7887.15</v>
      </c>
      <c r="F1876" s="34">
        <v>335</v>
      </c>
    </row>
    <row r="1877" spans="1:6" x14ac:dyDescent="0.3">
      <c r="A1877" s="35" t="s">
        <v>19</v>
      </c>
      <c r="B1877" s="36" t="s">
        <v>25</v>
      </c>
      <c r="C1877" s="36" t="s">
        <v>50</v>
      </c>
      <c r="D1877" s="37">
        <v>44991</v>
      </c>
      <c r="E1877" s="38">
        <v>1793.67</v>
      </c>
      <c r="F1877" s="39">
        <v>13</v>
      </c>
    </row>
    <row r="1878" spans="1:6" x14ac:dyDescent="0.3">
      <c r="A1878" s="30" t="s">
        <v>41</v>
      </c>
      <c r="B1878" s="31" t="s">
        <v>25</v>
      </c>
      <c r="C1878" s="31" t="s">
        <v>13</v>
      </c>
      <c r="D1878" s="31" t="s">
        <v>185</v>
      </c>
      <c r="E1878" s="33">
        <v>12129.42</v>
      </c>
      <c r="F1878" s="34">
        <v>29</v>
      </c>
    </row>
    <row r="1879" spans="1:6" x14ac:dyDescent="0.3">
      <c r="A1879" s="35" t="s">
        <v>79</v>
      </c>
      <c r="B1879" s="36" t="s">
        <v>25</v>
      </c>
      <c r="C1879" s="36" t="s">
        <v>20</v>
      </c>
      <c r="D1879" s="37">
        <v>45174</v>
      </c>
      <c r="E1879" s="38">
        <v>11749.75</v>
      </c>
      <c r="F1879" s="39">
        <v>213</v>
      </c>
    </row>
    <row r="1880" spans="1:6" x14ac:dyDescent="0.3">
      <c r="A1880" s="30" t="s">
        <v>70</v>
      </c>
      <c r="B1880" s="31" t="s">
        <v>10</v>
      </c>
      <c r="C1880" s="31" t="s">
        <v>100</v>
      </c>
      <c r="D1880" s="32">
        <v>45083</v>
      </c>
      <c r="E1880" s="33">
        <v>3967.25</v>
      </c>
      <c r="F1880" s="34">
        <v>101</v>
      </c>
    </row>
    <row r="1881" spans="1:6" x14ac:dyDescent="0.3">
      <c r="A1881" s="35" t="s">
        <v>70</v>
      </c>
      <c r="B1881" s="36" t="s">
        <v>10</v>
      </c>
      <c r="C1881" s="36" t="s">
        <v>38</v>
      </c>
      <c r="D1881" s="37">
        <v>45023</v>
      </c>
      <c r="E1881" s="38">
        <v>8105.37</v>
      </c>
      <c r="F1881" s="39">
        <v>255</v>
      </c>
    </row>
    <row r="1882" spans="1:6" x14ac:dyDescent="0.3">
      <c r="A1882" s="30" t="s">
        <v>28</v>
      </c>
      <c r="B1882" s="31" t="s">
        <v>25</v>
      </c>
      <c r="C1882" s="31" t="s">
        <v>38</v>
      </c>
      <c r="D1882" s="32">
        <v>45083</v>
      </c>
      <c r="E1882" s="33">
        <v>1614.17</v>
      </c>
      <c r="F1882" s="34">
        <v>106</v>
      </c>
    </row>
    <row r="1883" spans="1:6" x14ac:dyDescent="0.3">
      <c r="A1883" s="35" t="s">
        <v>79</v>
      </c>
      <c r="B1883" s="36" t="s">
        <v>15</v>
      </c>
      <c r="C1883" s="36" t="s">
        <v>65</v>
      </c>
      <c r="D1883" s="36" t="s">
        <v>233</v>
      </c>
      <c r="E1883" s="38">
        <v>1613.3</v>
      </c>
      <c r="F1883" s="39">
        <v>91</v>
      </c>
    </row>
    <row r="1884" spans="1:6" x14ac:dyDescent="0.3">
      <c r="A1884" s="30" t="s">
        <v>64</v>
      </c>
      <c r="B1884" s="31" t="s">
        <v>25</v>
      </c>
      <c r="C1884" s="31" t="s">
        <v>42</v>
      </c>
      <c r="D1884" s="31" t="s">
        <v>200</v>
      </c>
      <c r="E1884" s="33">
        <v>2155.64</v>
      </c>
      <c r="F1884" s="34">
        <v>281</v>
      </c>
    </row>
    <row r="1885" spans="1:6" x14ac:dyDescent="0.3">
      <c r="A1885" s="35" t="s">
        <v>83</v>
      </c>
      <c r="B1885" s="36" t="s">
        <v>25</v>
      </c>
      <c r="C1885" s="36" t="s">
        <v>90</v>
      </c>
      <c r="D1885" s="36" t="s">
        <v>180</v>
      </c>
      <c r="E1885" s="38">
        <v>8184.37</v>
      </c>
      <c r="F1885" s="39">
        <v>43</v>
      </c>
    </row>
    <row r="1886" spans="1:6" x14ac:dyDescent="0.3">
      <c r="A1886" s="30" t="s">
        <v>31</v>
      </c>
      <c r="B1886" s="31" t="s">
        <v>35</v>
      </c>
      <c r="C1886" s="31" t="s">
        <v>60</v>
      </c>
      <c r="D1886" s="31" t="s">
        <v>206</v>
      </c>
      <c r="E1886" s="33">
        <v>3613.32</v>
      </c>
      <c r="F1886" s="34">
        <v>251</v>
      </c>
    </row>
    <row r="1887" spans="1:6" x14ac:dyDescent="0.3">
      <c r="A1887" s="35" t="s">
        <v>12</v>
      </c>
      <c r="B1887" s="36" t="s">
        <v>25</v>
      </c>
      <c r="C1887" s="36" t="s">
        <v>18</v>
      </c>
      <c r="D1887" s="37">
        <v>45200</v>
      </c>
      <c r="E1887" s="38">
        <v>801.09</v>
      </c>
      <c r="F1887" s="39">
        <v>101</v>
      </c>
    </row>
    <row r="1888" spans="1:6" x14ac:dyDescent="0.3">
      <c r="A1888" s="30" t="s">
        <v>28</v>
      </c>
      <c r="B1888" s="31" t="s">
        <v>32</v>
      </c>
      <c r="C1888" s="31" t="s">
        <v>60</v>
      </c>
      <c r="D1888" s="31" t="s">
        <v>186</v>
      </c>
      <c r="E1888" s="33">
        <v>2069.48</v>
      </c>
      <c r="F1888" s="34">
        <v>8</v>
      </c>
    </row>
    <row r="1889" spans="1:6" x14ac:dyDescent="0.3">
      <c r="A1889" s="35" t="s">
        <v>45</v>
      </c>
      <c r="B1889" s="36" t="s">
        <v>25</v>
      </c>
      <c r="C1889" s="36" t="s">
        <v>11</v>
      </c>
      <c r="D1889" s="36" t="s">
        <v>195</v>
      </c>
      <c r="E1889" s="38">
        <v>5096.21</v>
      </c>
      <c r="F1889" s="39">
        <v>284</v>
      </c>
    </row>
    <row r="1890" spans="1:6" x14ac:dyDescent="0.3">
      <c r="A1890" s="30" t="s">
        <v>19</v>
      </c>
      <c r="B1890" s="31" t="s">
        <v>7</v>
      </c>
      <c r="C1890" s="31" t="s">
        <v>18</v>
      </c>
      <c r="D1890" s="31" t="s">
        <v>229</v>
      </c>
      <c r="E1890" s="33">
        <v>10573.5</v>
      </c>
      <c r="F1890" s="34">
        <v>338</v>
      </c>
    </row>
    <row r="1891" spans="1:6" x14ac:dyDescent="0.3">
      <c r="A1891" s="35" t="s">
        <v>19</v>
      </c>
      <c r="B1891" s="36" t="s">
        <v>7</v>
      </c>
      <c r="C1891" s="36" t="s">
        <v>73</v>
      </c>
      <c r="D1891" s="37">
        <v>45142</v>
      </c>
      <c r="E1891" s="38">
        <v>4611.37</v>
      </c>
      <c r="F1891" s="39">
        <v>322</v>
      </c>
    </row>
    <row r="1892" spans="1:6" x14ac:dyDescent="0.3">
      <c r="A1892" s="30" t="s">
        <v>45</v>
      </c>
      <c r="B1892" s="31" t="s">
        <v>32</v>
      </c>
      <c r="C1892" s="31" t="s">
        <v>38</v>
      </c>
      <c r="D1892" s="31" t="s">
        <v>212</v>
      </c>
      <c r="E1892" s="33">
        <v>3288.77</v>
      </c>
      <c r="F1892" s="34">
        <v>148</v>
      </c>
    </row>
    <row r="1893" spans="1:6" x14ac:dyDescent="0.3">
      <c r="A1893" s="35" t="s">
        <v>67</v>
      </c>
      <c r="B1893" s="36" t="s">
        <v>15</v>
      </c>
      <c r="C1893" s="36" t="s">
        <v>60</v>
      </c>
      <c r="D1893" s="36" t="s">
        <v>258</v>
      </c>
      <c r="E1893" s="38">
        <v>10883.13</v>
      </c>
      <c r="F1893" s="39">
        <v>394</v>
      </c>
    </row>
    <row r="1894" spans="1:6" x14ac:dyDescent="0.3">
      <c r="A1894" s="30" t="s">
        <v>34</v>
      </c>
      <c r="B1894" s="31" t="s">
        <v>10</v>
      </c>
      <c r="C1894" s="31" t="s">
        <v>73</v>
      </c>
      <c r="D1894" s="32">
        <v>44960</v>
      </c>
      <c r="E1894" s="33">
        <v>1516.56</v>
      </c>
      <c r="F1894" s="34">
        <v>2</v>
      </c>
    </row>
    <row r="1895" spans="1:6" x14ac:dyDescent="0.3">
      <c r="A1895" s="35" t="s">
        <v>6</v>
      </c>
      <c r="B1895" s="36" t="s">
        <v>32</v>
      </c>
      <c r="C1895" s="36" t="s">
        <v>33</v>
      </c>
      <c r="D1895" s="36" t="s">
        <v>168</v>
      </c>
      <c r="E1895" s="38">
        <v>391.33</v>
      </c>
      <c r="F1895" s="39">
        <v>184</v>
      </c>
    </row>
    <row r="1896" spans="1:6" x14ac:dyDescent="0.3">
      <c r="A1896" s="30" t="s">
        <v>55</v>
      </c>
      <c r="B1896" s="31" t="s">
        <v>25</v>
      </c>
      <c r="C1896" s="31" t="s">
        <v>100</v>
      </c>
      <c r="D1896" s="31" t="s">
        <v>165</v>
      </c>
      <c r="E1896" s="33">
        <v>7969.08</v>
      </c>
      <c r="F1896" s="34">
        <v>38</v>
      </c>
    </row>
    <row r="1897" spans="1:6" x14ac:dyDescent="0.3">
      <c r="A1897" s="35" t="s">
        <v>6</v>
      </c>
      <c r="B1897" s="36" t="s">
        <v>10</v>
      </c>
      <c r="C1897" s="36" t="s">
        <v>13</v>
      </c>
      <c r="D1897" s="41" t="s">
        <v>195</v>
      </c>
      <c r="E1897" s="38">
        <v>31.15</v>
      </c>
      <c r="F1897" s="39">
        <v>451</v>
      </c>
    </row>
    <row r="1898" spans="1:6" x14ac:dyDescent="0.3">
      <c r="A1898" s="30" t="s">
        <v>53</v>
      </c>
      <c r="B1898" s="31" t="s">
        <v>7</v>
      </c>
      <c r="C1898" s="31" t="s">
        <v>65</v>
      </c>
      <c r="D1898" s="31" t="s">
        <v>247</v>
      </c>
      <c r="E1898" s="33">
        <v>8832.33</v>
      </c>
      <c r="F1898" s="34">
        <v>175</v>
      </c>
    </row>
    <row r="1899" spans="1:6" x14ac:dyDescent="0.3">
      <c r="A1899" s="35" t="s">
        <v>55</v>
      </c>
      <c r="B1899" s="36" t="s">
        <v>35</v>
      </c>
      <c r="C1899" s="36" t="s">
        <v>75</v>
      </c>
      <c r="D1899" s="36" t="s">
        <v>190</v>
      </c>
      <c r="E1899" s="38">
        <v>3542.19</v>
      </c>
      <c r="F1899" s="39">
        <v>180</v>
      </c>
    </row>
    <row r="1900" spans="1:6" x14ac:dyDescent="0.3">
      <c r="A1900" s="30" t="s">
        <v>45</v>
      </c>
      <c r="B1900" s="31" t="s">
        <v>7</v>
      </c>
      <c r="C1900" s="31" t="s">
        <v>13</v>
      </c>
      <c r="D1900" s="31" t="s">
        <v>238</v>
      </c>
      <c r="E1900" s="33">
        <v>6052.07</v>
      </c>
      <c r="F1900" s="34">
        <v>173</v>
      </c>
    </row>
    <row r="1901" spans="1:6" x14ac:dyDescent="0.3">
      <c r="A1901" s="35" t="s">
        <v>83</v>
      </c>
      <c r="B1901" s="36" t="s">
        <v>25</v>
      </c>
      <c r="C1901" s="36" t="s">
        <v>36</v>
      </c>
      <c r="D1901" s="37">
        <v>45020</v>
      </c>
      <c r="E1901" s="38">
        <v>543.20000000000005</v>
      </c>
      <c r="F1901" s="39">
        <v>54</v>
      </c>
    </row>
    <row r="1902" spans="1:6" x14ac:dyDescent="0.3">
      <c r="A1902" s="30" t="s">
        <v>28</v>
      </c>
      <c r="B1902" s="31" t="s">
        <v>10</v>
      </c>
      <c r="C1902" s="31" t="s">
        <v>11</v>
      </c>
      <c r="D1902" s="32">
        <v>45177</v>
      </c>
      <c r="E1902" s="33">
        <v>18894.919999999998</v>
      </c>
      <c r="F1902" s="34">
        <v>201</v>
      </c>
    </row>
    <row r="1903" spans="1:6" x14ac:dyDescent="0.3">
      <c r="A1903" s="35" t="s">
        <v>28</v>
      </c>
      <c r="B1903" s="36" t="s">
        <v>25</v>
      </c>
      <c r="C1903" s="36" t="s">
        <v>42</v>
      </c>
      <c r="D1903" s="36" t="s">
        <v>255</v>
      </c>
      <c r="E1903" s="38">
        <v>689.4</v>
      </c>
      <c r="F1903" s="39">
        <v>331</v>
      </c>
    </row>
    <row r="1904" spans="1:6" x14ac:dyDescent="0.3">
      <c r="A1904" s="30" t="s">
        <v>67</v>
      </c>
      <c r="B1904" s="31" t="s">
        <v>35</v>
      </c>
      <c r="C1904" s="31" t="s">
        <v>59</v>
      </c>
      <c r="D1904" s="31" t="s">
        <v>170</v>
      </c>
      <c r="E1904" s="33">
        <v>4435.95</v>
      </c>
      <c r="F1904" s="34">
        <v>31</v>
      </c>
    </row>
    <row r="1905" spans="1:6" x14ac:dyDescent="0.3">
      <c r="A1905" s="35" t="s">
        <v>12</v>
      </c>
      <c r="B1905" s="36" t="s">
        <v>25</v>
      </c>
      <c r="C1905" s="36" t="s">
        <v>33</v>
      </c>
      <c r="D1905" s="36" t="s">
        <v>192</v>
      </c>
      <c r="E1905" s="38">
        <v>9111.34</v>
      </c>
      <c r="F1905" s="39">
        <v>324</v>
      </c>
    </row>
    <row r="1906" spans="1:6" x14ac:dyDescent="0.3">
      <c r="A1906" s="30" t="s">
        <v>83</v>
      </c>
      <c r="B1906" s="31" t="s">
        <v>35</v>
      </c>
      <c r="C1906" s="31" t="s">
        <v>18</v>
      </c>
      <c r="D1906" s="31" t="s">
        <v>211</v>
      </c>
      <c r="E1906" s="33">
        <v>10369.709999999999</v>
      </c>
      <c r="F1906" s="34">
        <v>129</v>
      </c>
    </row>
    <row r="1907" spans="1:6" x14ac:dyDescent="0.3">
      <c r="A1907" s="35" t="s">
        <v>53</v>
      </c>
      <c r="B1907" s="36" t="s">
        <v>35</v>
      </c>
      <c r="C1907" s="36" t="s">
        <v>100</v>
      </c>
      <c r="D1907" s="36" t="s">
        <v>200</v>
      </c>
      <c r="E1907" s="38">
        <v>5833.2</v>
      </c>
      <c r="F1907" s="39">
        <v>290</v>
      </c>
    </row>
    <row r="1908" spans="1:6" x14ac:dyDescent="0.3">
      <c r="A1908" s="30" t="s">
        <v>31</v>
      </c>
      <c r="B1908" s="31" t="s">
        <v>35</v>
      </c>
      <c r="C1908" s="31" t="s">
        <v>42</v>
      </c>
      <c r="D1908" s="32">
        <v>45202</v>
      </c>
      <c r="E1908" s="33">
        <v>1229.96</v>
      </c>
      <c r="F1908" s="34">
        <v>219</v>
      </c>
    </row>
    <row r="1909" spans="1:6" x14ac:dyDescent="0.3">
      <c r="A1909" s="35" t="s">
        <v>19</v>
      </c>
      <c r="B1909" s="36" t="s">
        <v>7</v>
      </c>
      <c r="C1909" s="36" t="s">
        <v>42</v>
      </c>
      <c r="D1909" s="36" t="s">
        <v>180</v>
      </c>
      <c r="E1909" s="38">
        <v>8839.7199999999993</v>
      </c>
      <c r="F1909" s="39">
        <v>170</v>
      </c>
    </row>
    <row r="1910" spans="1:6" x14ac:dyDescent="0.3">
      <c r="A1910" s="30" t="s">
        <v>9</v>
      </c>
      <c r="B1910" s="31" t="s">
        <v>25</v>
      </c>
      <c r="C1910" s="31" t="s">
        <v>36</v>
      </c>
      <c r="D1910" s="32">
        <v>44929</v>
      </c>
      <c r="E1910" s="33">
        <v>5747.66</v>
      </c>
      <c r="F1910" s="34">
        <v>176</v>
      </c>
    </row>
    <row r="1911" spans="1:6" x14ac:dyDescent="0.3">
      <c r="A1911" s="35" t="s">
        <v>34</v>
      </c>
      <c r="B1911" s="36" t="s">
        <v>7</v>
      </c>
      <c r="C1911" s="36" t="s">
        <v>38</v>
      </c>
      <c r="D1911" s="36" t="s">
        <v>194</v>
      </c>
      <c r="E1911" s="38">
        <v>3666.04</v>
      </c>
      <c r="F1911" s="39">
        <v>107</v>
      </c>
    </row>
    <row r="1912" spans="1:6" x14ac:dyDescent="0.3">
      <c r="A1912" s="30" t="s">
        <v>19</v>
      </c>
      <c r="B1912" s="31" t="s">
        <v>7</v>
      </c>
      <c r="C1912" s="31" t="s">
        <v>46</v>
      </c>
      <c r="D1912" s="32">
        <v>45237</v>
      </c>
      <c r="E1912" s="33">
        <v>6853.82</v>
      </c>
      <c r="F1912" s="34">
        <v>220</v>
      </c>
    </row>
    <row r="1913" spans="1:6" x14ac:dyDescent="0.3">
      <c r="A1913" s="35" t="s">
        <v>37</v>
      </c>
      <c r="B1913" s="36" t="s">
        <v>25</v>
      </c>
      <c r="C1913" s="36" t="s">
        <v>8</v>
      </c>
      <c r="D1913" s="37">
        <v>44960</v>
      </c>
      <c r="E1913" s="38">
        <v>4361.01</v>
      </c>
      <c r="F1913" s="39">
        <v>59</v>
      </c>
    </row>
    <row r="1914" spans="1:6" x14ac:dyDescent="0.3">
      <c r="A1914" s="30" t="s">
        <v>6</v>
      </c>
      <c r="B1914" s="31" t="s">
        <v>32</v>
      </c>
      <c r="C1914" s="31" t="s">
        <v>73</v>
      </c>
      <c r="D1914" s="32">
        <v>45019</v>
      </c>
      <c r="E1914" s="33">
        <v>7686.15</v>
      </c>
      <c r="F1914" s="34">
        <v>141</v>
      </c>
    </row>
    <row r="1915" spans="1:6" x14ac:dyDescent="0.3">
      <c r="A1915" s="35" t="s">
        <v>70</v>
      </c>
      <c r="B1915" s="36" t="s">
        <v>7</v>
      </c>
      <c r="C1915" s="36" t="s">
        <v>11</v>
      </c>
      <c r="D1915" s="36" t="s">
        <v>245</v>
      </c>
      <c r="E1915" s="38">
        <v>4188.43</v>
      </c>
      <c r="F1915" s="39">
        <v>235</v>
      </c>
    </row>
    <row r="1916" spans="1:6" x14ac:dyDescent="0.3">
      <c r="A1916" s="30" t="s">
        <v>70</v>
      </c>
      <c r="B1916" s="31" t="s">
        <v>32</v>
      </c>
      <c r="C1916" s="31" t="s">
        <v>65</v>
      </c>
      <c r="D1916" s="31" t="s">
        <v>199</v>
      </c>
      <c r="E1916" s="33">
        <v>5425.24</v>
      </c>
      <c r="F1916" s="34">
        <v>234</v>
      </c>
    </row>
    <row r="1917" spans="1:6" x14ac:dyDescent="0.3">
      <c r="A1917" s="35" t="s">
        <v>40</v>
      </c>
      <c r="B1917" s="36" t="s">
        <v>35</v>
      </c>
      <c r="C1917" s="36" t="s">
        <v>33</v>
      </c>
      <c r="D1917" s="36" t="s">
        <v>225</v>
      </c>
      <c r="E1917" s="38">
        <v>2896.97</v>
      </c>
      <c r="F1917" s="39">
        <v>456</v>
      </c>
    </row>
    <row r="1918" spans="1:6" x14ac:dyDescent="0.3">
      <c r="A1918" s="30" t="s">
        <v>58</v>
      </c>
      <c r="B1918" s="31" t="s">
        <v>10</v>
      </c>
      <c r="C1918" s="31" t="s">
        <v>57</v>
      </c>
      <c r="D1918" s="31" t="s">
        <v>223</v>
      </c>
      <c r="E1918" s="33">
        <v>1071.31</v>
      </c>
      <c r="F1918" s="34">
        <v>23</v>
      </c>
    </row>
    <row r="1919" spans="1:6" x14ac:dyDescent="0.3">
      <c r="A1919" s="35" t="s">
        <v>28</v>
      </c>
      <c r="B1919" s="36" t="s">
        <v>35</v>
      </c>
      <c r="C1919" s="36" t="s">
        <v>18</v>
      </c>
      <c r="D1919" s="36" t="s">
        <v>233</v>
      </c>
      <c r="E1919" s="38">
        <v>6417.05</v>
      </c>
      <c r="F1919" s="39">
        <v>497</v>
      </c>
    </row>
    <row r="1920" spans="1:6" x14ac:dyDescent="0.3">
      <c r="A1920" s="30" t="s">
        <v>31</v>
      </c>
      <c r="B1920" s="31" t="s">
        <v>35</v>
      </c>
      <c r="C1920" s="31" t="s">
        <v>87</v>
      </c>
      <c r="D1920" s="32">
        <v>44987</v>
      </c>
      <c r="E1920" s="33">
        <v>10967.31</v>
      </c>
      <c r="F1920" s="34">
        <v>172</v>
      </c>
    </row>
    <row r="1921" spans="1:6" x14ac:dyDescent="0.3">
      <c r="A1921" s="35" t="s">
        <v>28</v>
      </c>
      <c r="B1921" s="36" t="s">
        <v>10</v>
      </c>
      <c r="C1921" s="36" t="s">
        <v>18</v>
      </c>
      <c r="D1921" s="36" t="s">
        <v>194</v>
      </c>
      <c r="E1921" s="38">
        <v>6345.02</v>
      </c>
      <c r="F1921" s="39">
        <v>28</v>
      </c>
    </row>
    <row r="1922" spans="1:6" x14ac:dyDescent="0.3">
      <c r="A1922" s="30" t="s">
        <v>14</v>
      </c>
      <c r="B1922" s="31" t="s">
        <v>15</v>
      </c>
      <c r="C1922" s="31" t="s">
        <v>38</v>
      </c>
      <c r="D1922" s="31" t="s">
        <v>260</v>
      </c>
      <c r="E1922" s="33">
        <v>2824.71</v>
      </c>
      <c r="F1922" s="34">
        <v>25</v>
      </c>
    </row>
    <row r="1923" spans="1:6" x14ac:dyDescent="0.3">
      <c r="A1923" s="35" t="s">
        <v>28</v>
      </c>
      <c r="B1923" s="36" t="s">
        <v>10</v>
      </c>
      <c r="C1923" s="36" t="s">
        <v>50</v>
      </c>
      <c r="D1923" s="36" t="s">
        <v>210</v>
      </c>
      <c r="E1923" s="38">
        <v>1463.67</v>
      </c>
      <c r="F1923" s="39">
        <v>34</v>
      </c>
    </row>
    <row r="1924" spans="1:6" x14ac:dyDescent="0.3">
      <c r="A1924" s="30" t="s">
        <v>9</v>
      </c>
      <c r="B1924" s="31" t="s">
        <v>7</v>
      </c>
      <c r="C1924" s="31" t="s">
        <v>36</v>
      </c>
      <c r="D1924" s="31" t="s">
        <v>179</v>
      </c>
      <c r="E1924" s="33">
        <v>5856.52</v>
      </c>
      <c r="F1924" s="34">
        <v>115</v>
      </c>
    </row>
    <row r="1925" spans="1:6" x14ac:dyDescent="0.3">
      <c r="A1925" s="35" t="s">
        <v>64</v>
      </c>
      <c r="B1925" s="36" t="s">
        <v>10</v>
      </c>
      <c r="C1925" s="36" t="s">
        <v>90</v>
      </c>
      <c r="D1925" s="36" t="s">
        <v>167</v>
      </c>
      <c r="E1925" s="38">
        <v>4303.8599999999997</v>
      </c>
      <c r="F1925" s="39">
        <v>282</v>
      </c>
    </row>
    <row r="1926" spans="1:6" x14ac:dyDescent="0.3">
      <c r="A1926" s="30" t="s">
        <v>6</v>
      </c>
      <c r="B1926" s="31" t="s">
        <v>7</v>
      </c>
      <c r="C1926" s="31" t="s">
        <v>23</v>
      </c>
      <c r="D1926" s="31" t="s">
        <v>172</v>
      </c>
      <c r="E1926" s="33">
        <v>2047.77</v>
      </c>
      <c r="F1926" s="34">
        <v>169</v>
      </c>
    </row>
    <row r="1927" spans="1:6" x14ac:dyDescent="0.3">
      <c r="A1927" s="35" t="s">
        <v>31</v>
      </c>
      <c r="B1927" s="36" t="s">
        <v>35</v>
      </c>
      <c r="C1927" s="36" t="s">
        <v>59</v>
      </c>
      <c r="D1927" s="36" t="s">
        <v>221</v>
      </c>
      <c r="E1927" s="38">
        <v>4692.3599999999997</v>
      </c>
      <c r="F1927" s="39">
        <v>1</v>
      </c>
    </row>
    <row r="1928" spans="1:6" x14ac:dyDescent="0.3">
      <c r="A1928" s="30" t="s">
        <v>22</v>
      </c>
      <c r="B1928" s="31" t="s">
        <v>10</v>
      </c>
      <c r="C1928" s="31" t="s">
        <v>42</v>
      </c>
      <c r="D1928" s="32">
        <v>44991</v>
      </c>
      <c r="E1928" s="33">
        <v>7302.42</v>
      </c>
      <c r="F1928" s="34">
        <v>153</v>
      </c>
    </row>
    <row r="1929" spans="1:6" x14ac:dyDescent="0.3">
      <c r="A1929" s="35" t="s">
        <v>34</v>
      </c>
      <c r="B1929" s="36" t="s">
        <v>35</v>
      </c>
      <c r="C1929" s="36" t="s">
        <v>18</v>
      </c>
      <c r="D1929" s="36" t="s">
        <v>251</v>
      </c>
      <c r="E1929" s="38">
        <v>2056.92</v>
      </c>
      <c r="F1929" s="39">
        <v>103</v>
      </c>
    </row>
    <row r="1930" spans="1:6" x14ac:dyDescent="0.3">
      <c r="A1930" s="30" t="s">
        <v>34</v>
      </c>
      <c r="B1930" s="31" t="s">
        <v>10</v>
      </c>
      <c r="C1930" s="31" t="s">
        <v>36</v>
      </c>
      <c r="D1930" s="32">
        <v>45264</v>
      </c>
      <c r="E1930" s="33">
        <v>11032.79</v>
      </c>
      <c r="F1930" s="34">
        <v>49</v>
      </c>
    </row>
    <row r="1931" spans="1:6" x14ac:dyDescent="0.3">
      <c r="A1931" s="35" t="s">
        <v>29</v>
      </c>
      <c r="B1931" s="36" t="s">
        <v>15</v>
      </c>
      <c r="C1931" s="36" t="s">
        <v>73</v>
      </c>
      <c r="D1931" s="36" t="s">
        <v>208</v>
      </c>
      <c r="E1931" s="38">
        <v>7773.64</v>
      </c>
      <c r="F1931" s="39">
        <v>247</v>
      </c>
    </row>
    <row r="1932" spans="1:6" x14ac:dyDescent="0.3">
      <c r="A1932" s="30" t="s">
        <v>37</v>
      </c>
      <c r="B1932" s="31" t="s">
        <v>7</v>
      </c>
      <c r="C1932" s="31" t="s">
        <v>26</v>
      </c>
      <c r="D1932" s="32">
        <v>45081</v>
      </c>
      <c r="E1932" s="33">
        <v>3843.01</v>
      </c>
      <c r="F1932" s="34">
        <v>295</v>
      </c>
    </row>
    <row r="1933" spans="1:6" x14ac:dyDescent="0.3">
      <c r="A1933" s="35" t="s">
        <v>55</v>
      </c>
      <c r="B1933" s="36" t="s">
        <v>15</v>
      </c>
      <c r="C1933" s="36" t="s">
        <v>26</v>
      </c>
      <c r="D1933" s="37">
        <v>44965</v>
      </c>
      <c r="E1933" s="38">
        <v>9163.7900000000009</v>
      </c>
      <c r="F1933" s="39">
        <v>81</v>
      </c>
    </row>
    <row r="1934" spans="1:6" x14ac:dyDescent="0.3">
      <c r="A1934" s="30" t="s">
        <v>12</v>
      </c>
      <c r="B1934" s="31" t="s">
        <v>15</v>
      </c>
      <c r="C1934" s="31" t="s">
        <v>36</v>
      </c>
      <c r="D1934" s="32">
        <v>45264</v>
      </c>
      <c r="E1934" s="33">
        <v>7628.59</v>
      </c>
      <c r="F1934" s="34">
        <v>146</v>
      </c>
    </row>
    <row r="1935" spans="1:6" x14ac:dyDescent="0.3">
      <c r="A1935" s="35" t="s">
        <v>19</v>
      </c>
      <c r="B1935" s="36" t="s">
        <v>10</v>
      </c>
      <c r="C1935" s="36" t="s">
        <v>38</v>
      </c>
      <c r="D1935" s="36" t="s">
        <v>244</v>
      </c>
      <c r="E1935" s="38">
        <v>18220.59</v>
      </c>
      <c r="F1935" s="39">
        <v>139</v>
      </c>
    </row>
    <row r="1936" spans="1:6" x14ac:dyDescent="0.3">
      <c r="A1936" s="30" t="s">
        <v>9</v>
      </c>
      <c r="B1936" s="31" t="s">
        <v>25</v>
      </c>
      <c r="C1936" s="31" t="s">
        <v>87</v>
      </c>
      <c r="D1936" s="31" t="s">
        <v>242</v>
      </c>
      <c r="E1936" s="33">
        <v>9828.94</v>
      </c>
      <c r="F1936" s="34">
        <v>24</v>
      </c>
    </row>
    <row r="1937" spans="1:6" x14ac:dyDescent="0.3">
      <c r="A1937" s="35" t="s">
        <v>53</v>
      </c>
      <c r="B1937" s="36" t="s">
        <v>10</v>
      </c>
      <c r="C1937" s="36" t="s">
        <v>13</v>
      </c>
      <c r="D1937" s="37">
        <v>45174</v>
      </c>
      <c r="E1937" s="38">
        <v>4726.6499999999996</v>
      </c>
      <c r="F1937" s="39">
        <v>5</v>
      </c>
    </row>
    <row r="1938" spans="1:6" x14ac:dyDescent="0.3">
      <c r="A1938" s="30" t="s">
        <v>67</v>
      </c>
      <c r="B1938" s="31" t="s">
        <v>15</v>
      </c>
      <c r="C1938" s="31" t="s">
        <v>87</v>
      </c>
      <c r="D1938" s="32">
        <v>45177</v>
      </c>
      <c r="E1938" s="33">
        <v>344.82</v>
      </c>
      <c r="F1938" s="34">
        <v>118</v>
      </c>
    </row>
    <row r="1939" spans="1:6" x14ac:dyDescent="0.3">
      <c r="A1939" s="35" t="s">
        <v>77</v>
      </c>
      <c r="B1939" s="36" t="s">
        <v>35</v>
      </c>
      <c r="C1939" s="36" t="s">
        <v>75</v>
      </c>
      <c r="D1939" s="36" t="s">
        <v>261</v>
      </c>
      <c r="E1939" s="38">
        <v>3451.24</v>
      </c>
      <c r="F1939" s="39">
        <v>283</v>
      </c>
    </row>
    <row r="1940" spans="1:6" x14ac:dyDescent="0.3">
      <c r="A1940" s="30" t="s">
        <v>28</v>
      </c>
      <c r="B1940" s="31" t="s">
        <v>10</v>
      </c>
      <c r="C1940" s="31" t="s">
        <v>100</v>
      </c>
      <c r="D1940" s="31" t="s">
        <v>195</v>
      </c>
      <c r="E1940" s="33">
        <v>5071.49</v>
      </c>
      <c r="F1940" s="34">
        <v>439</v>
      </c>
    </row>
    <row r="1941" spans="1:6" x14ac:dyDescent="0.3">
      <c r="A1941" s="35" t="s">
        <v>6</v>
      </c>
      <c r="B1941" s="36" t="s">
        <v>35</v>
      </c>
      <c r="C1941" s="36" t="s">
        <v>59</v>
      </c>
      <c r="D1941" s="36" t="s">
        <v>164</v>
      </c>
      <c r="E1941" s="38">
        <v>4719.38</v>
      </c>
      <c r="F1941" s="39">
        <v>132</v>
      </c>
    </row>
    <row r="1942" spans="1:6" x14ac:dyDescent="0.3">
      <c r="A1942" s="30" t="s">
        <v>67</v>
      </c>
      <c r="B1942" s="31" t="s">
        <v>15</v>
      </c>
      <c r="C1942" s="31" t="s">
        <v>65</v>
      </c>
      <c r="D1942" s="31" t="s">
        <v>217</v>
      </c>
      <c r="E1942" s="33">
        <v>3430.58</v>
      </c>
      <c r="F1942" s="34">
        <v>174</v>
      </c>
    </row>
    <row r="1943" spans="1:6" x14ac:dyDescent="0.3">
      <c r="A1943" s="35" t="s">
        <v>79</v>
      </c>
      <c r="B1943" s="36" t="s">
        <v>35</v>
      </c>
      <c r="C1943" s="36" t="s">
        <v>23</v>
      </c>
      <c r="D1943" s="36" t="s">
        <v>255</v>
      </c>
      <c r="E1943" s="38">
        <v>268.3</v>
      </c>
      <c r="F1943" s="39">
        <v>239</v>
      </c>
    </row>
    <row r="1944" spans="1:6" x14ac:dyDescent="0.3">
      <c r="A1944" s="30" t="s">
        <v>37</v>
      </c>
      <c r="B1944" s="31" t="s">
        <v>32</v>
      </c>
      <c r="C1944" s="31" t="s">
        <v>36</v>
      </c>
      <c r="D1944" s="31" t="s">
        <v>215</v>
      </c>
      <c r="E1944" s="33">
        <v>991.46</v>
      </c>
      <c r="F1944" s="34">
        <v>133</v>
      </c>
    </row>
    <row r="1945" spans="1:6" x14ac:dyDescent="0.3">
      <c r="A1945" s="35" t="s">
        <v>37</v>
      </c>
      <c r="B1945" s="36" t="s">
        <v>35</v>
      </c>
      <c r="C1945" s="36" t="s">
        <v>57</v>
      </c>
      <c r="D1945" s="37">
        <v>44963</v>
      </c>
      <c r="E1945" s="38">
        <v>213.45</v>
      </c>
      <c r="F1945" s="39">
        <v>17</v>
      </c>
    </row>
    <row r="1946" spans="1:6" x14ac:dyDescent="0.3">
      <c r="A1946" s="30" t="s">
        <v>22</v>
      </c>
      <c r="B1946" s="31" t="s">
        <v>32</v>
      </c>
      <c r="C1946" s="31" t="s">
        <v>11</v>
      </c>
      <c r="D1946" s="31" t="s">
        <v>180</v>
      </c>
      <c r="E1946" s="33">
        <v>7586.38</v>
      </c>
      <c r="F1946" s="34">
        <v>131</v>
      </c>
    </row>
    <row r="1947" spans="1:6" x14ac:dyDescent="0.3">
      <c r="A1947" s="35" t="s">
        <v>79</v>
      </c>
      <c r="B1947" s="36" t="s">
        <v>25</v>
      </c>
      <c r="C1947" s="36" t="s">
        <v>73</v>
      </c>
      <c r="D1947" s="37">
        <v>45201</v>
      </c>
      <c r="E1947" s="38">
        <v>6192.19</v>
      </c>
      <c r="F1947" s="39">
        <v>99</v>
      </c>
    </row>
    <row r="1948" spans="1:6" x14ac:dyDescent="0.3">
      <c r="A1948" s="30" t="s">
        <v>40</v>
      </c>
      <c r="B1948" s="31" t="s">
        <v>35</v>
      </c>
      <c r="C1948" s="31" t="s">
        <v>90</v>
      </c>
      <c r="D1948" s="31" t="s">
        <v>185</v>
      </c>
      <c r="E1948" s="33">
        <v>1510.58</v>
      </c>
      <c r="F1948" s="34">
        <v>602</v>
      </c>
    </row>
    <row r="1949" spans="1:6" x14ac:dyDescent="0.3">
      <c r="A1949" s="35" t="s">
        <v>58</v>
      </c>
      <c r="B1949" s="36" t="s">
        <v>10</v>
      </c>
      <c r="C1949" s="36" t="s">
        <v>42</v>
      </c>
      <c r="D1949" s="36" t="s">
        <v>199</v>
      </c>
      <c r="E1949" s="38">
        <v>8693.31</v>
      </c>
      <c r="F1949" s="39">
        <v>209</v>
      </c>
    </row>
    <row r="1950" spans="1:6" x14ac:dyDescent="0.3">
      <c r="A1950" s="30" t="s">
        <v>71</v>
      </c>
      <c r="B1950" s="31" t="s">
        <v>7</v>
      </c>
      <c r="C1950" s="31" t="s">
        <v>8</v>
      </c>
      <c r="D1950" s="31" t="s">
        <v>193</v>
      </c>
      <c r="E1950" s="33">
        <v>5509.77</v>
      </c>
      <c r="F1950" s="34">
        <v>307</v>
      </c>
    </row>
    <row r="1951" spans="1:6" x14ac:dyDescent="0.3">
      <c r="A1951" s="35" t="s">
        <v>28</v>
      </c>
      <c r="B1951" s="36" t="s">
        <v>32</v>
      </c>
      <c r="C1951" s="36" t="s">
        <v>100</v>
      </c>
      <c r="D1951" s="36" t="s">
        <v>195</v>
      </c>
      <c r="E1951" s="38">
        <v>1863.2</v>
      </c>
      <c r="F1951" s="39">
        <v>22</v>
      </c>
    </row>
    <row r="1952" spans="1:6" x14ac:dyDescent="0.3">
      <c r="A1952" s="30" t="s">
        <v>77</v>
      </c>
      <c r="B1952" s="31" t="s">
        <v>15</v>
      </c>
      <c r="C1952" s="31" t="s">
        <v>20</v>
      </c>
      <c r="D1952" s="32">
        <v>44934</v>
      </c>
      <c r="E1952" s="33">
        <v>4822.5</v>
      </c>
      <c r="F1952" s="34">
        <v>159</v>
      </c>
    </row>
    <row r="1953" spans="1:6" x14ac:dyDescent="0.3">
      <c r="A1953" s="35" t="s">
        <v>34</v>
      </c>
      <c r="B1953" s="36" t="s">
        <v>15</v>
      </c>
      <c r="C1953" s="36" t="s">
        <v>36</v>
      </c>
      <c r="D1953" s="36" t="s">
        <v>186</v>
      </c>
      <c r="E1953" s="38">
        <v>10856.55</v>
      </c>
      <c r="F1953" s="39">
        <v>229</v>
      </c>
    </row>
    <row r="1954" spans="1:6" x14ac:dyDescent="0.3">
      <c r="A1954" s="30" t="s">
        <v>40</v>
      </c>
      <c r="B1954" s="31" t="s">
        <v>10</v>
      </c>
      <c r="C1954" s="31" t="s">
        <v>20</v>
      </c>
      <c r="D1954" s="31" t="s">
        <v>181</v>
      </c>
      <c r="E1954" s="33">
        <v>11252.11</v>
      </c>
      <c r="F1954" s="34">
        <v>159</v>
      </c>
    </row>
    <row r="1955" spans="1:6" x14ac:dyDescent="0.3">
      <c r="A1955" s="35" t="s">
        <v>53</v>
      </c>
      <c r="B1955" s="36" t="s">
        <v>32</v>
      </c>
      <c r="C1955" s="36" t="s">
        <v>57</v>
      </c>
      <c r="D1955" s="36" t="s">
        <v>262</v>
      </c>
      <c r="E1955" s="38">
        <v>1387.72</v>
      </c>
      <c r="F1955" s="39">
        <v>27</v>
      </c>
    </row>
    <row r="1956" spans="1:6" x14ac:dyDescent="0.3">
      <c r="A1956" s="30" t="s">
        <v>70</v>
      </c>
      <c r="B1956" s="31" t="s">
        <v>15</v>
      </c>
      <c r="C1956" s="31" t="s">
        <v>65</v>
      </c>
      <c r="D1956" s="31" t="s">
        <v>174</v>
      </c>
      <c r="E1956" s="33">
        <v>5509.22</v>
      </c>
      <c r="F1956" s="34">
        <v>341</v>
      </c>
    </row>
    <row r="1957" spans="1:6" x14ac:dyDescent="0.3">
      <c r="A1957" s="35" t="s">
        <v>83</v>
      </c>
      <c r="B1957" s="36" t="s">
        <v>32</v>
      </c>
      <c r="C1957" s="36" t="s">
        <v>46</v>
      </c>
      <c r="D1957" s="36" t="s">
        <v>244</v>
      </c>
      <c r="E1957" s="38">
        <v>2444.25</v>
      </c>
      <c r="F1957" s="39">
        <v>155</v>
      </c>
    </row>
    <row r="1958" spans="1:6" x14ac:dyDescent="0.3">
      <c r="A1958" s="30" t="s">
        <v>14</v>
      </c>
      <c r="B1958" s="31" t="s">
        <v>7</v>
      </c>
      <c r="C1958" s="31" t="s">
        <v>90</v>
      </c>
      <c r="D1958" s="32">
        <v>44965</v>
      </c>
      <c r="E1958" s="33">
        <v>3175.62</v>
      </c>
      <c r="F1958" s="34">
        <v>507</v>
      </c>
    </row>
    <row r="1959" spans="1:6" x14ac:dyDescent="0.3">
      <c r="A1959" s="35" t="s">
        <v>28</v>
      </c>
      <c r="B1959" s="36" t="s">
        <v>25</v>
      </c>
      <c r="C1959" s="36" t="s">
        <v>100</v>
      </c>
      <c r="D1959" s="36" t="s">
        <v>177</v>
      </c>
      <c r="E1959" s="38">
        <v>7900.42</v>
      </c>
      <c r="F1959" s="39">
        <v>143</v>
      </c>
    </row>
    <row r="1960" spans="1:6" x14ac:dyDescent="0.3">
      <c r="A1960" s="30" t="s">
        <v>19</v>
      </c>
      <c r="B1960" s="31" t="s">
        <v>10</v>
      </c>
      <c r="C1960" s="31" t="s">
        <v>11</v>
      </c>
      <c r="D1960" s="32">
        <v>45053</v>
      </c>
      <c r="E1960" s="33">
        <v>9072.4599999999991</v>
      </c>
      <c r="F1960" s="34">
        <v>142</v>
      </c>
    </row>
    <row r="1961" spans="1:6" x14ac:dyDescent="0.3">
      <c r="A1961" s="35" t="s">
        <v>6</v>
      </c>
      <c r="B1961" s="36" t="s">
        <v>10</v>
      </c>
      <c r="C1961" s="36" t="s">
        <v>13</v>
      </c>
      <c r="D1961" s="41" t="s">
        <v>298</v>
      </c>
      <c r="E1961" s="38">
        <v>33.68</v>
      </c>
      <c r="F1961" s="39">
        <v>487</v>
      </c>
    </row>
    <row r="1962" spans="1:6" x14ac:dyDescent="0.3">
      <c r="A1962" s="30" t="s">
        <v>12</v>
      </c>
      <c r="B1962" s="31" t="s">
        <v>15</v>
      </c>
      <c r="C1962" s="31" t="s">
        <v>100</v>
      </c>
      <c r="D1962" s="31" t="s">
        <v>201</v>
      </c>
      <c r="E1962" s="33">
        <v>1548.54</v>
      </c>
      <c r="F1962" s="34">
        <v>104</v>
      </c>
    </row>
    <row r="1963" spans="1:6" x14ac:dyDescent="0.3">
      <c r="A1963" s="35" t="s">
        <v>14</v>
      </c>
      <c r="B1963" s="36" t="s">
        <v>7</v>
      </c>
      <c r="C1963" s="36" t="s">
        <v>26</v>
      </c>
      <c r="D1963" s="37">
        <v>45261</v>
      </c>
      <c r="E1963" s="38">
        <v>5501.67</v>
      </c>
      <c r="F1963" s="39">
        <v>298</v>
      </c>
    </row>
    <row r="1964" spans="1:6" x14ac:dyDescent="0.3">
      <c r="A1964" s="30" t="s">
        <v>22</v>
      </c>
      <c r="B1964" s="31" t="s">
        <v>35</v>
      </c>
      <c r="C1964" s="31" t="s">
        <v>59</v>
      </c>
      <c r="D1964" s="32">
        <v>45238</v>
      </c>
      <c r="E1964" s="33">
        <v>7685.42</v>
      </c>
      <c r="F1964" s="34">
        <v>15</v>
      </c>
    </row>
    <row r="1965" spans="1:6" x14ac:dyDescent="0.3">
      <c r="A1965" s="35" t="s">
        <v>6</v>
      </c>
      <c r="B1965" s="36" t="s">
        <v>15</v>
      </c>
      <c r="C1965" s="36" t="s">
        <v>50</v>
      </c>
      <c r="D1965" s="36" t="s">
        <v>167</v>
      </c>
      <c r="E1965" s="38">
        <v>5147.7700000000004</v>
      </c>
      <c r="F1965" s="39">
        <v>402</v>
      </c>
    </row>
    <row r="1966" spans="1:6" x14ac:dyDescent="0.3">
      <c r="A1966" s="30" t="s">
        <v>53</v>
      </c>
      <c r="B1966" s="31" t="s">
        <v>7</v>
      </c>
      <c r="C1966" s="31" t="s">
        <v>87</v>
      </c>
      <c r="D1966" s="31" t="s">
        <v>219</v>
      </c>
      <c r="E1966" s="33">
        <v>3070.43</v>
      </c>
      <c r="F1966" s="34">
        <v>143</v>
      </c>
    </row>
    <row r="1967" spans="1:6" x14ac:dyDescent="0.3">
      <c r="A1967" s="35" t="s">
        <v>29</v>
      </c>
      <c r="B1967" s="36" t="s">
        <v>25</v>
      </c>
      <c r="C1967" s="36" t="s">
        <v>23</v>
      </c>
      <c r="D1967" s="37">
        <v>45114</v>
      </c>
      <c r="E1967" s="38">
        <v>1127.5</v>
      </c>
      <c r="F1967" s="39">
        <v>88</v>
      </c>
    </row>
    <row r="1968" spans="1:6" x14ac:dyDescent="0.3">
      <c r="A1968" s="30" t="s">
        <v>77</v>
      </c>
      <c r="B1968" s="31" t="s">
        <v>25</v>
      </c>
      <c r="C1968" s="31" t="s">
        <v>8</v>
      </c>
      <c r="D1968" s="32">
        <v>45233</v>
      </c>
      <c r="E1968" s="33">
        <v>8502.77</v>
      </c>
      <c r="F1968" s="34">
        <v>4</v>
      </c>
    </row>
    <row r="1969" spans="1:6" x14ac:dyDescent="0.3">
      <c r="A1969" s="35" t="s">
        <v>77</v>
      </c>
      <c r="B1969" s="36" t="s">
        <v>7</v>
      </c>
      <c r="C1969" s="36" t="s">
        <v>100</v>
      </c>
      <c r="D1969" s="36" t="s">
        <v>171</v>
      </c>
      <c r="E1969" s="38">
        <v>5961.02</v>
      </c>
      <c r="F1969" s="39">
        <v>241</v>
      </c>
    </row>
    <row r="1970" spans="1:6" x14ac:dyDescent="0.3">
      <c r="A1970" s="30" t="s">
        <v>31</v>
      </c>
      <c r="B1970" s="31" t="s">
        <v>15</v>
      </c>
      <c r="C1970" s="31" t="s">
        <v>42</v>
      </c>
      <c r="D1970" s="32">
        <v>45108</v>
      </c>
      <c r="E1970" s="33">
        <v>2478.33</v>
      </c>
      <c r="F1970" s="34">
        <v>33</v>
      </c>
    </row>
    <row r="1971" spans="1:6" x14ac:dyDescent="0.3">
      <c r="A1971" s="35" t="s">
        <v>41</v>
      </c>
      <c r="B1971" s="36" t="s">
        <v>25</v>
      </c>
      <c r="C1971" s="36" t="s">
        <v>38</v>
      </c>
      <c r="D1971" s="37">
        <v>45261</v>
      </c>
      <c r="E1971" s="38">
        <v>1269.56</v>
      </c>
      <c r="F1971" s="39">
        <v>497</v>
      </c>
    </row>
    <row r="1972" spans="1:6" x14ac:dyDescent="0.3">
      <c r="A1972" s="30" t="s">
        <v>41</v>
      </c>
      <c r="B1972" s="31" t="s">
        <v>10</v>
      </c>
      <c r="C1972" s="31" t="s">
        <v>36</v>
      </c>
      <c r="D1972" s="32">
        <v>45175</v>
      </c>
      <c r="E1972" s="33">
        <v>11130.52</v>
      </c>
      <c r="F1972" s="34">
        <v>144</v>
      </c>
    </row>
    <row r="1973" spans="1:6" x14ac:dyDescent="0.3">
      <c r="A1973" s="35" t="s">
        <v>67</v>
      </c>
      <c r="B1973" s="36" t="s">
        <v>10</v>
      </c>
      <c r="C1973" s="36" t="s">
        <v>36</v>
      </c>
      <c r="D1973" s="36" t="s">
        <v>192</v>
      </c>
      <c r="E1973" s="38">
        <v>2455.09</v>
      </c>
      <c r="F1973" s="39">
        <v>83</v>
      </c>
    </row>
    <row r="1974" spans="1:6" x14ac:dyDescent="0.3">
      <c r="A1974" s="30" t="s">
        <v>12</v>
      </c>
      <c r="B1974" s="31" t="s">
        <v>7</v>
      </c>
      <c r="C1974" s="31" t="s">
        <v>11</v>
      </c>
      <c r="D1974" s="31" t="s">
        <v>245</v>
      </c>
      <c r="E1974" s="33">
        <v>12764.94</v>
      </c>
      <c r="F1974" s="34">
        <v>100</v>
      </c>
    </row>
    <row r="1975" spans="1:6" x14ac:dyDescent="0.3">
      <c r="A1975" s="35" t="s">
        <v>45</v>
      </c>
      <c r="B1975" s="36" t="s">
        <v>7</v>
      </c>
      <c r="C1975" s="36" t="s">
        <v>73</v>
      </c>
      <c r="D1975" s="36" t="s">
        <v>210</v>
      </c>
      <c r="E1975" s="38">
        <v>13351.42</v>
      </c>
      <c r="F1975" s="39">
        <v>198</v>
      </c>
    </row>
    <row r="1976" spans="1:6" x14ac:dyDescent="0.3">
      <c r="A1976" s="30" t="s">
        <v>79</v>
      </c>
      <c r="B1976" s="31" t="s">
        <v>7</v>
      </c>
      <c r="C1976" s="31" t="s">
        <v>8</v>
      </c>
      <c r="D1976" s="31" t="s">
        <v>263</v>
      </c>
      <c r="E1976" s="33">
        <v>2763.22</v>
      </c>
      <c r="F1976" s="34">
        <v>223</v>
      </c>
    </row>
    <row r="1977" spans="1:6" x14ac:dyDescent="0.3">
      <c r="A1977" s="35" t="s">
        <v>31</v>
      </c>
      <c r="B1977" s="36" t="s">
        <v>35</v>
      </c>
      <c r="C1977" s="36" t="s">
        <v>38</v>
      </c>
      <c r="D1977" s="36" t="s">
        <v>257</v>
      </c>
      <c r="E1977" s="38">
        <v>6523.34</v>
      </c>
      <c r="F1977" s="39">
        <v>245</v>
      </c>
    </row>
    <row r="1978" spans="1:6" x14ac:dyDescent="0.3">
      <c r="A1978" s="30" t="s">
        <v>19</v>
      </c>
      <c r="B1978" s="31" t="s">
        <v>32</v>
      </c>
      <c r="C1978" s="31" t="s">
        <v>46</v>
      </c>
      <c r="D1978" s="31" t="s">
        <v>230</v>
      </c>
      <c r="E1978" s="33">
        <v>1868.25</v>
      </c>
      <c r="F1978" s="34">
        <v>82</v>
      </c>
    </row>
    <row r="1979" spans="1:6" x14ac:dyDescent="0.3">
      <c r="A1979" s="35" t="s">
        <v>19</v>
      </c>
      <c r="B1979" s="36" t="s">
        <v>7</v>
      </c>
      <c r="C1979" s="36" t="s">
        <v>33</v>
      </c>
      <c r="D1979" s="36" t="s">
        <v>184</v>
      </c>
      <c r="E1979" s="38">
        <v>8431.83</v>
      </c>
      <c r="F1979" s="39">
        <v>251</v>
      </c>
    </row>
    <row r="1980" spans="1:6" x14ac:dyDescent="0.3">
      <c r="A1980" s="30" t="s">
        <v>48</v>
      </c>
      <c r="B1980" s="31" t="s">
        <v>35</v>
      </c>
      <c r="C1980" s="31" t="s">
        <v>13</v>
      </c>
      <c r="D1980" s="31" t="s">
        <v>183</v>
      </c>
      <c r="E1980" s="33">
        <v>5646.99</v>
      </c>
      <c r="F1980" s="34">
        <v>64</v>
      </c>
    </row>
    <row r="1981" spans="1:6" x14ac:dyDescent="0.3">
      <c r="A1981" s="35" t="s">
        <v>12</v>
      </c>
      <c r="B1981" s="36" t="s">
        <v>10</v>
      </c>
      <c r="C1981" s="36" t="s">
        <v>59</v>
      </c>
      <c r="D1981" s="36" t="s">
        <v>224</v>
      </c>
      <c r="E1981" s="38">
        <v>1484.67</v>
      </c>
      <c r="F1981" s="39">
        <v>180</v>
      </c>
    </row>
    <row r="1982" spans="1:6" x14ac:dyDescent="0.3">
      <c r="A1982" s="30" t="s">
        <v>53</v>
      </c>
      <c r="B1982" s="31" t="s">
        <v>35</v>
      </c>
      <c r="C1982" s="31" t="s">
        <v>75</v>
      </c>
      <c r="D1982" s="31" t="s">
        <v>215</v>
      </c>
      <c r="E1982" s="33">
        <v>3859.95</v>
      </c>
      <c r="F1982" s="34">
        <v>395</v>
      </c>
    </row>
    <row r="1983" spans="1:6" x14ac:dyDescent="0.3">
      <c r="A1983" s="35" t="s">
        <v>64</v>
      </c>
      <c r="B1983" s="36" t="s">
        <v>10</v>
      </c>
      <c r="C1983" s="36" t="s">
        <v>75</v>
      </c>
      <c r="D1983" s="36" t="s">
        <v>186</v>
      </c>
      <c r="E1983" s="38">
        <v>3237.3</v>
      </c>
      <c r="F1983" s="39">
        <v>227</v>
      </c>
    </row>
    <row r="1984" spans="1:6" x14ac:dyDescent="0.3">
      <c r="A1984" s="30" t="s">
        <v>64</v>
      </c>
      <c r="B1984" s="31" t="s">
        <v>25</v>
      </c>
      <c r="C1984" s="31" t="s">
        <v>87</v>
      </c>
      <c r="D1984" s="31" t="s">
        <v>237</v>
      </c>
      <c r="E1984" s="33">
        <v>4072.43</v>
      </c>
      <c r="F1984" s="34">
        <v>64</v>
      </c>
    </row>
    <row r="1985" spans="1:6" x14ac:dyDescent="0.3">
      <c r="A1985" s="35" t="s">
        <v>55</v>
      </c>
      <c r="B1985" s="36" t="s">
        <v>7</v>
      </c>
      <c r="C1985" s="36" t="s">
        <v>75</v>
      </c>
      <c r="D1985" s="37">
        <v>44993</v>
      </c>
      <c r="E1985" s="38">
        <v>8054.87</v>
      </c>
      <c r="F1985" s="39">
        <v>118</v>
      </c>
    </row>
    <row r="1986" spans="1:6" x14ac:dyDescent="0.3">
      <c r="A1986" s="30" t="s">
        <v>58</v>
      </c>
      <c r="B1986" s="31" t="s">
        <v>25</v>
      </c>
      <c r="C1986" s="31" t="s">
        <v>42</v>
      </c>
      <c r="D1986" s="32">
        <v>45017</v>
      </c>
      <c r="E1986" s="33">
        <v>420.3</v>
      </c>
      <c r="F1986" s="34">
        <v>224</v>
      </c>
    </row>
    <row r="1987" spans="1:6" x14ac:dyDescent="0.3">
      <c r="A1987" s="35" t="s">
        <v>70</v>
      </c>
      <c r="B1987" s="36" t="s">
        <v>35</v>
      </c>
      <c r="C1987" s="36" t="s">
        <v>23</v>
      </c>
      <c r="D1987" s="36" t="s">
        <v>167</v>
      </c>
      <c r="E1987" s="38">
        <v>17073.990000000002</v>
      </c>
      <c r="F1987" s="39">
        <v>218</v>
      </c>
    </row>
    <row r="1988" spans="1:6" x14ac:dyDescent="0.3">
      <c r="A1988" s="30" t="s">
        <v>9</v>
      </c>
      <c r="B1988" s="31" t="s">
        <v>15</v>
      </c>
      <c r="C1988" s="31" t="s">
        <v>87</v>
      </c>
      <c r="D1988" s="32">
        <v>45235</v>
      </c>
      <c r="E1988" s="33">
        <v>13624.31</v>
      </c>
      <c r="F1988" s="34">
        <v>33</v>
      </c>
    </row>
    <row r="1989" spans="1:6" x14ac:dyDescent="0.3">
      <c r="A1989" s="35" t="s">
        <v>53</v>
      </c>
      <c r="B1989" s="36" t="s">
        <v>25</v>
      </c>
      <c r="C1989" s="36" t="s">
        <v>13</v>
      </c>
      <c r="D1989" s="36" t="s">
        <v>171</v>
      </c>
      <c r="E1989" s="38">
        <v>2318.46</v>
      </c>
      <c r="F1989" s="39">
        <v>235</v>
      </c>
    </row>
    <row r="1990" spans="1:6" x14ac:dyDescent="0.3">
      <c r="A1990" s="30" t="s">
        <v>55</v>
      </c>
      <c r="B1990" s="31" t="s">
        <v>7</v>
      </c>
      <c r="C1990" s="31" t="s">
        <v>90</v>
      </c>
      <c r="D1990" s="31" t="s">
        <v>222</v>
      </c>
      <c r="E1990" s="33">
        <v>10740.05</v>
      </c>
      <c r="F1990" s="34">
        <v>67</v>
      </c>
    </row>
    <row r="1991" spans="1:6" x14ac:dyDescent="0.3">
      <c r="A1991" s="35" t="s">
        <v>6</v>
      </c>
      <c r="B1991" s="36" t="s">
        <v>7</v>
      </c>
      <c r="C1991" s="36" t="s">
        <v>38</v>
      </c>
      <c r="D1991" s="37">
        <v>44987</v>
      </c>
      <c r="E1991" s="38">
        <v>7624.67</v>
      </c>
      <c r="F1991" s="39">
        <v>422</v>
      </c>
    </row>
    <row r="1992" spans="1:6" x14ac:dyDescent="0.3">
      <c r="A1992" s="30" t="s">
        <v>41</v>
      </c>
      <c r="B1992" s="31" t="s">
        <v>10</v>
      </c>
      <c r="C1992" s="31" t="s">
        <v>60</v>
      </c>
      <c r="D1992" s="32">
        <v>45082</v>
      </c>
      <c r="E1992" s="33">
        <v>10168.32</v>
      </c>
      <c r="F1992" s="34">
        <v>159</v>
      </c>
    </row>
    <row r="1993" spans="1:6" x14ac:dyDescent="0.3">
      <c r="A1993" s="35" t="s">
        <v>22</v>
      </c>
      <c r="B1993" s="36" t="s">
        <v>7</v>
      </c>
      <c r="C1993" s="36" t="s">
        <v>75</v>
      </c>
      <c r="D1993" s="36" t="s">
        <v>180</v>
      </c>
      <c r="E1993" s="38">
        <v>6635.15</v>
      </c>
      <c r="F1993" s="39">
        <v>141</v>
      </c>
    </row>
    <row r="1994" spans="1:6" x14ac:dyDescent="0.3">
      <c r="A1994" s="30" t="s">
        <v>22</v>
      </c>
      <c r="B1994" s="31" t="s">
        <v>7</v>
      </c>
      <c r="C1994" s="31" t="s">
        <v>18</v>
      </c>
      <c r="D1994" s="31" t="s">
        <v>242</v>
      </c>
      <c r="E1994" s="33">
        <v>860.12</v>
      </c>
      <c r="F1994" s="34">
        <v>158</v>
      </c>
    </row>
    <row r="1995" spans="1:6" x14ac:dyDescent="0.3">
      <c r="A1995" s="35" t="s">
        <v>71</v>
      </c>
      <c r="B1995" s="36" t="s">
        <v>35</v>
      </c>
      <c r="C1995" s="36" t="s">
        <v>33</v>
      </c>
      <c r="D1995" s="36" t="s">
        <v>173</v>
      </c>
      <c r="E1995" s="38">
        <v>8671.2099999999991</v>
      </c>
      <c r="F1995" s="39">
        <v>52</v>
      </c>
    </row>
    <row r="1996" spans="1:6" x14ac:dyDescent="0.3">
      <c r="A1996" s="30" t="s">
        <v>6</v>
      </c>
      <c r="B1996" s="31" t="s">
        <v>7</v>
      </c>
      <c r="C1996" s="31" t="s">
        <v>11</v>
      </c>
      <c r="D1996" s="32">
        <v>45114</v>
      </c>
      <c r="E1996" s="33">
        <v>5534.11</v>
      </c>
      <c r="F1996" s="34">
        <v>63</v>
      </c>
    </row>
    <row r="1997" spans="1:6" x14ac:dyDescent="0.3">
      <c r="A1997" s="35" t="s">
        <v>19</v>
      </c>
      <c r="B1997" s="36" t="s">
        <v>7</v>
      </c>
      <c r="C1997" s="36" t="s">
        <v>100</v>
      </c>
      <c r="D1997" s="36" t="s">
        <v>211</v>
      </c>
      <c r="E1997" s="38">
        <v>6800.26</v>
      </c>
      <c r="F1997" s="39">
        <v>187</v>
      </c>
    </row>
    <row r="1998" spans="1:6" x14ac:dyDescent="0.3">
      <c r="A1998" s="30" t="s">
        <v>70</v>
      </c>
      <c r="B1998" s="31" t="s">
        <v>7</v>
      </c>
      <c r="C1998" s="31" t="s">
        <v>20</v>
      </c>
      <c r="D1998" s="32">
        <v>45268</v>
      </c>
      <c r="E1998" s="33">
        <v>3927.83</v>
      </c>
      <c r="F1998" s="34">
        <v>123</v>
      </c>
    </row>
    <row r="1999" spans="1:6" x14ac:dyDescent="0.3">
      <c r="A1999" s="35" t="s">
        <v>12</v>
      </c>
      <c r="B1999" s="36" t="s">
        <v>25</v>
      </c>
      <c r="C1999" s="36" t="s">
        <v>23</v>
      </c>
      <c r="D1999" s="36" t="s">
        <v>227</v>
      </c>
      <c r="E1999" s="38">
        <v>5833.8</v>
      </c>
      <c r="F1999" s="39">
        <v>196</v>
      </c>
    </row>
    <row r="2000" spans="1:6" x14ac:dyDescent="0.3">
      <c r="A2000" s="30" t="s">
        <v>19</v>
      </c>
      <c r="B2000" s="31" t="s">
        <v>15</v>
      </c>
      <c r="C2000" s="31" t="s">
        <v>26</v>
      </c>
      <c r="D2000" s="32">
        <v>45082</v>
      </c>
      <c r="E2000" s="33">
        <v>733.08</v>
      </c>
      <c r="F2000" s="34">
        <v>147</v>
      </c>
    </row>
    <row r="2001" spans="1:6" x14ac:dyDescent="0.3">
      <c r="A2001" s="35" t="s">
        <v>19</v>
      </c>
      <c r="B2001" s="36" t="s">
        <v>35</v>
      </c>
      <c r="C2001" s="36" t="s">
        <v>26</v>
      </c>
      <c r="D2001" s="36" t="s">
        <v>246</v>
      </c>
      <c r="E2001" s="38">
        <v>7164.51</v>
      </c>
      <c r="F2001" s="39">
        <v>140</v>
      </c>
    </row>
    <row r="2002" spans="1:6" x14ac:dyDescent="0.3">
      <c r="A2002" s="30" t="s">
        <v>31</v>
      </c>
      <c r="B2002" s="31" t="s">
        <v>32</v>
      </c>
      <c r="C2002" s="31" t="s">
        <v>59</v>
      </c>
      <c r="D2002" s="32">
        <v>45051</v>
      </c>
      <c r="E2002" s="33">
        <v>7900.52</v>
      </c>
      <c r="F2002" s="34">
        <v>175</v>
      </c>
    </row>
    <row r="2003" spans="1:6" x14ac:dyDescent="0.3">
      <c r="A2003" s="35" t="s">
        <v>29</v>
      </c>
      <c r="B2003" s="36" t="s">
        <v>25</v>
      </c>
      <c r="C2003" s="36" t="s">
        <v>20</v>
      </c>
      <c r="D2003" s="36" t="s">
        <v>235</v>
      </c>
      <c r="E2003" s="38">
        <v>3550.76</v>
      </c>
      <c r="F2003" s="39">
        <v>85</v>
      </c>
    </row>
    <row r="2004" spans="1:6" x14ac:dyDescent="0.3">
      <c r="A2004" s="30" t="s">
        <v>48</v>
      </c>
      <c r="B2004" s="31" t="s">
        <v>15</v>
      </c>
      <c r="C2004" s="31" t="s">
        <v>90</v>
      </c>
      <c r="D2004" s="31" t="s">
        <v>170</v>
      </c>
      <c r="E2004" s="33">
        <v>10281.51</v>
      </c>
      <c r="F2004" s="34">
        <v>136</v>
      </c>
    </row>
    <row r="2005" spans="1:6" x14ac:dyDescent="0.3">
      <c r="A2005" s="35" t="s">
        <v>48</v>
      </c>
      <c r="B2005" s="36" t="s">
        <v>25</v>
      </c>
      <c r="C2005" s="36" t="s">
        <v>11</v>
      </c>
      <c r="D2005" s="37">
        <v>45265</v>
      </c>
      <c r="E2005" s="38">
        <v>5936.81</v>
      </c>
      <c r="F2005" s="39">
        <v>180</v>
      </c>
    </row>
    <row r="2006" spans="1:6" x14ac:dyDescent="0.3">
      <c r="A2006" s="30" t="s">
        <v>31</v>
      </c>
      <c r="B2006" s="31" t="s">
        <v>25</v>
      </c>
      <c r="C2006" s="31" t="s">
        <v>18</v>
      </c>
      <c r="D2006" s="31" t="s">
        <v>164</v>
      </c>
      <c r="E2006" s="33">
        <v>4552.1499999999996</v>
      </c>
      <c r="F2006" s="34">
        <v>172</v>
      </c>
    </row>
    <row r="2007" spans="1:6" x14ac:dyDescent="0.3">
      <c r="A2007" s="35" t="s">
        <v>83</v>
      </c>
      <c r="B2007" s="36" t="s">
        <v>7</v>
      </c>
      <c r="C2007" s="36" t="s">
        <v>11</v>
      </c>
      <c r="D2007" s="36" t="s">
        <v>191</v>
      </c>
      <c r="E2007" s="38">
        <v>15944.86</v>
      </c>
      <c r="F2007" s="39">
        <v>11</v>
      </c>
    </row>
    <row r="2008" spans="1:6" x14ac:dyDescent="0.3">
      <c r="A2008" s="30" t="s">
        <v>58</v>
      </c>
      <c r="B2008" s="31" t="s">
        <v>15</v>
      </c>
      <c r="C2008" s="31" t="s">
        <v>38</v>
      </c>
      <c r="D2008" s="31" t="s">
        <v>198</v>
      </c>
      <c r="E2008" s="33">
        <v>7722.58</v>
      </c>
      <c r="F2008" s="34">
        <v>188</v>
      </c>
    </row>
    <row r="2009" spans="1:6" x14ac:dyDescent="0.3">
      <c r="A2009" s="35" t="s">
        <v>45</v>
      </c>
      <c r="B2009" s="36" t="s">
        <v>32</v>
      </c>
      <c r="C2009" s="36" t="s">
        <v>46</v>
      </c>
      <c r="D2009" s="36" t="s">
        <v>192</v>
      </c>
      <c r="E2009" s="38">
        <v>3105.38</v>
      </c>
      <c r="F2009" s="39">
        <v>268</v>
      </c>
    </row>
    <row r="2010" spans="1:6" x14ac:dyDescent="0.3">
      <c r="A2010" s="30" t="s">
        <v>14</v>
      </c>
      <c r="B2010" s="31" t="s">
        <v>10</v>
      </c>
      <c r="C2010" s="31" t="s">
        <v>23</v>
      </c>
      <c r="D2010" s="31" t="s">
        <v>175</v>
      </c>
      <c r="E2010" s="33">
        <v>6994.35</v>
      </c>
      <c r="F2010" s="34">
        <v>179</v>
      </c>
    </row>
    <row r="2011" spans="1:6" x14ac:dyDescent="0.3">
      <c r="A2011" s="35" t="s">
        <v>22</v>
      </c>
      <c r="B2011" s="36" t="s">
        <v>32</v>
      </c>
      <c r="C2011" s="36" t="s">
        <v>23</v>
      </c>
      <c r="D2011" s="36" t="s">
        <v>215</v>
      </c>
      <c r="E2011" s="38">
        <v>4264.49</v>
      </c>
      <c r="F2011" s="39">
        <v>252</v>
      </c>
    </row>
    <row r="2012" spans="1:6" x14ac:dyDescent="0.3">
      <c r="A2012" s="30" t="s">
        <v>83</v>
      </c>
      <c r="B2012" s="31" t="s">
        <v>10</v>
      </c>
      <c r="C2012" s="31" t="s">
        <v>33</v>
      </c>
      <c r="D2012" s="31" t="s">
        <v>171</v>
      </c>
      <c r="E2012" s="33">
        <v>1215.3</v>
      </c>
      <c r="F2012" s="34">
        <v>271</v>
      </c>
    </row>
    <row r="2013" spans="1:6" x14ac:dyDescent="0.3">
      <c r="A2013" s="35" t="s">
        <v>34</v>
      </c>
      <c r="B2013" s="36" t="s">
        <v>7</v>
      </c>
      <c r="C2013" s="36" t="s">
        <v>60</v>
      </c>
      <c r="D2013" s="36" t="s">
        <v>177</v>
      </c>
      <c r="E2013" s="38">
        <v>8519.3700000000008</v>
      </c>
      <c r="F2013" s="39">
        <v>45</v>
      </c>
    </row>
    <row r="2014" spans="1:6" x14ac:dyDescent="0.3">
      <c r="A2014" s="30" t="s">
        <v>31</v>
      </c>
      <c r="B2014" s="31" t="s">
        <v>15</v>
      </c>
      <c r="C2014" s="31" t="s">
        <v>73</v>
      </c>
      <c r="D2014" s="31" t="s">
        <v>194</v>
      </c>
      <c r="E2014" s="33">
        <v>9810.9500000000007</v>
      </c>
      <c r="F2014" s="34">
        <v>105</v>
      </c>
    </row>
    <row r="2015" spans="1:6" x14ac:dyDescent="0.3">
      <c r="A2015" s="35" t="s">
        <v>64</v>
      </c>
      <c r="B2015" s="36" t="s">
        <v>32</v>
      </c>
      <c r="C2015" s="36" t="s">
        <v>38</v>
      </c>
      <c r="D2015" s="36" t="s">
        <v>230</v>
      </c>
      <c r="E2015" s="38">
        <v>1065.6300000000001</v>
      </c>
      <c r="F2015" s="39">
        <v>107</v>
      </c>
    </row>
    <row r="2016" spans="1:6" x14ac:dyDescent="0.3">
      <c r="A2016" s="30" t="s">
        <v>64</v>
      </c>
      <c r="B2016" s="31" t="s">
        <v>10</v>
      </c>
      <c r="C2016" s="31" t="s">
        <v>36</v>
      </c>
      <c r="D2016" s="31" t="s">
        <v>207</v>
      </c>
      <c r="E2016" s="33">
        <v>3894.68</v>
      </c>
      <c r="F2016" s="34">
        <v>80</v>
      </c>
    </row>
    <row r="2017" spans="1:6" x14ac:dyDescent="0.3">
      <c r="A2017" s="35" t="s">
        <v>64</v>
      </c>
      <c r="B2017" s="36" t="s">
        <v>10</v>
      </c>
      <c r="C2017" s="36" t="s">
        <v>23</v>
      </c>
      <c r="D2017" s="37">
        <v>45024</v>
      </c>
      <c r="E2017" s="38">
        <v>12194.27</v>
      </c>
      <c r="F2017" s="39">
        <v>252</v>
      </c>
    </row>
    <row r="2018" spans="1:6" x14ac:dyDescent="0.3">
      <c r="A2018" s="30" t="s">
        <v>70</v>
      </c>
      <c r="B2018" s="31" t="s">
        <v>10</v>
      </c>
      <c r="C2018" s="31" t="s">
        <v>20</v>
      </c>
      <c r="D2018" s="31" t="s">
        <v>191</v>
      </c>
      <c r="E2018" s="33">
        <v>2455.13</v>
      </c>
      <c r="F2018" s="34">
        <v>236</v>
      </c>
    </row>
    <row r="2019" spans="1:6" x14ac:dyDescent="0.3">
      <c r="A2019" s="35" t="s">
        <v>22</v>
      </c>
      <c r="B2019" s="36" t="s">
        <v>35</v>
      </c>
      <c r="C2019" s="36" t="s">
        <v>50</v>
      </c>
      <c r="D2019" s="37">
        <v>45050</v>
      </c>
      <c r="E2019" s="38">
        <v>14887.76</v>
      </c>
      <c r="F2019" s="39">
        <v>12</v>
      </c>
    </row>
    <row r="2020" spans="1:6" x14ac:dyDescent="0.3">
      <c r="A2020" s="30" t="s">
        <v>77</v>
      </c>
      <c r="B2020" s="31" t="s">
        <v>35</v>
      </c>
      <c r="C2020" s="31" t="s">
        <v>13</v>
      </c>
      <c r="D2020" s="32">
        <v>45053</v>
      </c>
      <c r="E2020" s="33">
        <v>15276.46</v>
      </c>
      <c r="F2020" s="34">
        <v>121</v>
      </c>
    </row>
    <row r="2021" spans="1:6" x14ac:dyDescent="0.3">
      <c r="A2021" s="35" t="s">
        <v>55</v>
      </c>
      <c r="B2021" s="36" t="s">
        <v>25</v>
      </c>
      <c r="C2021" s="36" t="s">
        <v>36</v>
      </c>
      <c r="D2021" s="36" t="s">
        <v>264</v>
      </c>
      <c r="E2021" s="38">
        <v>13520.48</v>
      </c>
      <c r="F2021" s="39">
        <v>47</v>
      </c>
    </row>
    <row r="2022" spans="1:6" x14ac:dyDescent="0.3">
      <c r="A2022" s="30" t="s">
        <v>83</v>
      </c>
      <c r="B2022" s="31" t="s">
        <v>25</v>
      </c>
      <c r="C2022" s="31" t="s">
        <v>38</v>
      </c>
      <c r="D2022" s="31" t="s">
        <v>171</v>
      </c>
      <c r="E2022" s="33">
        <v>9195.5300000000007</v>
      </c>
      <c r="F2022" s="34">
        <v>127</v>
      </c>
    </row>
    <row r="2023" spans="1:6" x14ac:dyDescent="0.3">
      <c r="A2023" s="35" t="s">
        <v>48</v>
      </c>
      <c r="B2023" s="36" t="s">
        <v>7</v>
      </c>
      <c r="C2023" s="36" t="s">
        <v>38</v>
      </c>
      <c r="D2023" s="37">
        <v>45267</v>
      </c>
      <c r="E2023" s="38">
        <v>460.98</v>
      </c>
      <c r="F2023" s="39">
        <v>182</v>
      </c>
    </row>
    <row r="2024" spans="1:6" x14ac:dyDescent="0.3">
      <c r="A2024" s="30" t="s">
        <v>70</v>
      </c>
      <c r="B2024" s="31" t="s">
        <v>10</v>
      </c>
      <c r="C2024" s="31" t="s">
        <v>73</v>
      </c>
      <c r="D2024" s="31" t="s">
        <v>214</v>
      </c>
      <c r="E2024" s="33">
        <v>8216.56</v>
      </c>
      <c r="F2024" s="34">
        <v>257</v>
      </c>
    </row>
    <row r="2025" spans="1:6" x14ac:dyDescent="0.3">
      <c r="A2025" s="35" t="s">
        <v>79</v>
      </c>
      <c r="B2025" s="36" t="s">
        <v>15</v>
      </c>
      <c r="C2025" s="36" t="s">
        <v>75</v>
      </c>
      <c r="D2025" s="36" t="s">
        <v>224</v>
      </c>
      <c r="E2025" s="38">
        <v>1863.54</v>
      </c>
      <c r="F2025" s="39">
        <v>277</v>
      </c>
    </row>
    <row r="2026" spans="1:6" x14ac:dyDescent="0.3">
      <c r="A2026" s="30" t="s">
        <v>55</v>
      </c>
      <c r="B2026" s="31" t="s">
        <v>7</v>
      </c>
      <c r="C2026" s="31" t="s">
        <v>26</v>
      </c>
      <c r="D2026" s="31" t="s">
        <v>212</v>
      </c>
      <c r="E2026" s="33">
        <v>3283</v>
      </c>
      <c r="F2026" s="34">
        <v>72</v>
      </c>
    </row>
    <row r="2027" spans="1:6" x14ac:dyDescent="0.3">
      <c r="A2027" s="35" t="s">
        <v>45</v>
      </c>
      <c r="B2027" s="36" t="s">
        <v>35</v>
      </c>
      <c r="C2027" s="36" t="s">
        <v>75</v>
      </c>
      <c r="D2027" s="37">
        <v>45235</v>
      </c>
      <c r="E2027" s="38">
        <v>5967.18</v>
      </c>
      <c r="F2027" s="39">
        <v>247</v>
      </c>
    </row>
    <row r="2028" spans="1:6" x14ac:dyDescent="0.3">
      <c r="A2028" s="30" t="s">
        <v>83</v>
      </c>
      <c r="B2028" s="31" t="s">
        <v>10</v>
      </c>
      <c r="C2028" s="31" t="s">
        <v>26</v>
      </c>
      <c r="D2028" s="31" t="s">
        <v>184</v>
      </c>
      <c r="E2028" s="33">
        <v>12083.5</v>
      </c>
      <c r="F2028" s="34">
        <v>334</v>
      </c>
    </row>
    <row r="2029" spans="1:6" x14ac:dyDescent="0.3">
      <c r="A2029" s="35" t="s">
        <v>19</v>
      </c>
      <c r="B2029" s="36" t="s">
        <v>35</v>
      </c>
      <c r="C2029" s="36" t="s">
        <v>13</v>
      </c>
      <c r="D2029" s="37">
        <v>45113</v>
      </c>
      <c r="E2029" s="38">
        <v>12397.06</v>
      </c>
      <c r="F2029" s="39">
        <v>179</v>
      </c>
    </row>
    <row r="2030" spans="1:6" x14ac:dyDescent="0.3">
      <c r="A2030" s="30" t="s">
        <v>19</v>
      </c>
      <c r="B2030" s="31" t="s">
        <v>7</v>
      </c>
      <c r="C2030" s="31" t="s">
        <v>59</v>
      </c>
      <c r="D2030" s="31" t="s">
        <v>172</v>
      </c>
      <c r="E2030" s="33">
        <v>1746.01</v>
      </c>
      <c r="F2030" s="34">
        <v>280</v>
      </c>
    </row>
    <row r="2031" spans="1:6" x14ac:dyDescent="0.3">
      <c r="A2031" s="35" t="s">
        <v>31</v>
      </c>
      <c r="B2031" s="36" t="s">
        <v>10</v>
      </c>
      <c r="C2031" s="36" t="s">
        <v>23</v>
      </c>
      <c r="D2031" s="36" t="s">
        <v>223</v>
      </c>
      <c r="E2031" s="38">
        <v>9021.65</v>
      </c>
      <c r="F2031" s="39">
        <v>104</v>
      </c>
    </row>
    <row r="2032" spans="1:6" x14ac:dyDescent="0.3">
      <c r="A2032" s="30" t="s">
        <v>64</v>
      </c>
      <c r="B2032" s="31" t="s">
        <v>35</v>
      </c>
      <c r="C2032" s="31" t="s">
        <v>18</v>
      </c>
      <c r="D2032" s="32">
        <v>44963</v>
      </c>
      <c r="E2032" s="33">
        <v>5263.45</v>
      </c>
      <c r="F2032" s="34">
        <v>165</v>
      </c>
    </row>
    <row r="2033" spans="1:6" x14ac:dyDescent="0.3">
      <c r="A2033" s="35" t="s">
        <v>29</v>
      </c>
      <c r="B2033" s="36" t="s">
        <v>10</v>
      </c>
      <c r="C2033" s="36" t="s">
        <v>8</v>
      </c>
      <c r="D2033" s="36" t="s">
        <v>169</v>
      </c>
      <c r="E2033" s="38">
        <v>15473</v>
      </c>
      <c r="F2033" s="39">
        <v>91</v>
      </c>
    </row>
    <row r="2034" spans="1:6" x14ac:dyDescent="0.3">
      <c r="A2034" s="30" t="s">
        <v>29</v>
      </c>
      <c r="B2034" s="31" t="s">
        <v>35</v>
      </c>
      <c r="C2034" s="31" t="s">
        <v>20</v>
      </c>
      <c r="D2034" s="32">
        <v>44960</v>
      </c>
      <c r="E2034" s="33">
        <v>5566.57</v>
      </c>
      <c r="F2034" s="34">
        <v>140</v>
      </c>
    </row>
    <row r="2035" spans="1:6" x14ac:dyDescent="0.3">
      <c r="A2035" s="35" t="s">
        <v>9</v>
      </c>
      <c r="B2035" s="36" t="s">
        <v>15</v>
      </c>
      <c r="C2035" s="36" t="s">
        <v>100</v>
      </c>
      <c r="D2035" s="37">
        <v>45200</v>
      </c>
      <c r="E2035" s="38">
        <v>8111.43</v>
      </c>
      <c r="F2035" s="39">
        <v>111</v>
      </c>
    </row>
    <row r="2036" spans="1:6" x14ac:dyDescent="0.3">
      <c r="A2036" s="30" t="s">
        <v>41</v>
      </c>
      <c r="B2036" s="31" t="s">
        <v>32</v>
      </c>
      <c r="C2036" s="31" t="s">
        <v>100</v>
      </c>
      <c r="D2036" s="31" t="s">
        <v>172</v>
      </c>
      <c r="E2036" s="33">
        <v>2341.8000000000002</v>
      </c>
      <c r="F2036" s="34">
        <v>117</v>
      </c>
    </row>
    <row r="2037" spans="1:6" x14ac:dyDescent="0.3">
      <c r="A2037" s="35" t="s">
        <v>31</v>
      </c>
      <c r="B2037" s="36" t="s">
        <v>35</v>
      </c>
      <c r="C2037" s="36" t="s">
        <v>33</v>
      </c>
      <c r="D2037" s="36" t="s">
        <v>180</v>
      </c>
      <c r="E2037" s="38">
        <v>8650.42</v>
      </c>
      <c r="F2037" s="39">
        <v>19</v>
      </c>
    </row>
    <row r="2038" spans="1:6" x14ac:dyDescent="0.3">
      <c r="A2038" s="30" t="s">
        <v>45</v>
      </c>
      <c r="B2038" s="31" t="s">
        <v>15</v>
      </c>
      <c r="C2038" s="31" t="s">
        <v>11</v>
      </c>
      <c r="D2038" s="32">
        <v>45145</v>
      </c>
      <c r="E2038" s="33">
        <v>4444.72</v>
      </c>
      <c r="F2038" s="34">
        <v>77</v>
      </c>
    </row>
    <row r="2039" spans="1:6" x14ac:dyDescent="0.3">
      <c r="A2039" s="35" t="s">
        <v>19</v>
      </c>
      <c r="B2039" s="36" t="s">
        <v>10</v>
      </c>
      <c r="C2039" s="36" t="s">
        <v>50</v>
      </c>
      <c r="D2039" s="37">
        <v>45144</v>
      </c>
      <c r="E2039" s="38">
        <v>12531.37</v>
      </c>
      <c r="F2039" s="39">
        <v>86</v>
      </c>
    </row>
    <row r="2040" spans="1:6" x14ac:dyDescent="0.3">
      <c r="A2040" s="30" t="s">
        <v>14</v>
      </c>
      <c r="B2040" s="31" t="s">
        <v>7</v>
      </c>
      <c r="C2040" s="31" t="s">
        <v>60</v>
      </c>
      <c r="D2040" s="31" t="s">
        <v>201</v>
      </c>
      <c r="E2040" s="33">
        <v>3558.89</v>
      </c>
      <c r="F2040" s="34">
        <v>231</v>
      </c>
    </row>
    <row r="2041" spans="1:6" x14ac:dyDescent="0.3">
      <c r="A2041" s="35" t="s">
        <v>55</v>
      </c>
      <c r="B2041" s="36" t="s">
        <v>15</v>
      </c>
      <c r="C2041" s="36" t="s">
        <v>23</v>
      </c>
      <c r="D2041" s="37">
        <v>45142</v>
      </c>
      <c r="E2041" s="38">
        <v>7889.9</v>
      </c>
      <c r="F2041" s="39">
        <v>300</v>
      </c>
    </row>
    <row r="2042" spans="1:6" x14ac:dyDescent="0.3">
      <c r="A2042" s="30" t="s">
        <v>64</v>
      </c>
      <c r="B2042" s="31" t="s">
        <v>35</v>
      </c>
      <c r="C2042" s="31" t="s">
        <v>57</v>
      </c>
      <c r="D2042" s="32">
        <v>45146</v>
      </c>
      <c r="E2042" s="33">
        <v>3589.18</v>
      </c>
      <c r="F2042" s="34">
        <v>176</v>
      </c>
    </row>
    <row r="2043" spans="1:6" x14ac:dyDescent="0.3">
      <c r="A2043" s="35" t="s">
        <v>64</v>
      </c>
      <c r="B2043" s="36" t="s">
        <v>7</v>
      </c>
      <c r="C2043" s="36" t="s">
        <v>46</v>
      </c>
      <c r="D2043" s="36" t="s">
        <v>197</v>
      </c>
      <c r="E2043" s="38">
        <v>305.39</v>
      </c>
      <c r="F2043" s="39">
        <v>62</v>
      </c>
    </row>
    <row r="2044" spans="1:6" x14ac:dyDescent="0.3">
      <c r="A2044" s="30" t="s">
        <v>19</v>
      </c>
      <c r="B2044" s="31" t="s">
        <v>35</v>
      </c>
      <c r="C2044" s="31" t="s">
        <v>57</v>
      </c>
      <c r="D2044" s="31" t="s">
        <v>225</v>
      </c>
      <c r="E2044" s="33">
        <v>1896.64</v>
      </c>
      <c r="F2044" s="34">
        <v>161</v>
      </c>
    </row>
    <row r="2045" spans="1:6" x14ac:dyDescent="0.3">
      <c r="A2045" s="35" t="s">
        <v>58</v>
      </c>
      <c r="B2045" s="36" t="s">
        <v>32</v>
      </c>
      <c r="C2045" s="36" t="s">
        <v>87</v>
      </c>
      <c r="D2045" s="37">
        <v>45238</v>
      </c>
      <c r="E2045" s="38">
        <v>18494.72</v>
      </c>
      <c r="F2045" s="39">
        <v>298</v>
      </c>
    </row>
    <row r="2046" spans="1:6" x14ac:dyDescent="0.3">
      <c r="A2046" s="30" t="s">
        <v>77</v>
      </c>
      <c r="B2046" s="31" t="s">
        <v>32</v>
      </c>
      <c r="C2046" s="31" t="s">
        <v>65</v>
      </c>
      <c r="D2046" s="31" t="s">
        <v>229</v>
      </c>
      <c r="E2046" s="33">
        <v>11103.47</v>
      </c>
      <c r="F2046" s="34">
        <v>24</v>
      </c>
    </row>
    <row r="2047" spans="1:6" x14ac:dyDescent="0.3">
      <c r="A2047" s="35" t="s">
        <v>9</v>
      </c>
      <c r="B2047" s="36" t="s">
        <v>25</v>
      </c>
      <c r="C2047" s="36" t="s">
        <v>26</v>
      </c>
      <c r="D2047" s="37">
        <v>45237</v>
      </c>
      <c r="E2047" s="38">
        <v>4162.28</v>
      </c>
      <c r="F2047" s="39">
        <v>11</v>
      </c>
    </row>
    <row r="2048" spans="1:6" x14ac:dyDescent="0.3">
      <c r="A2048" s="30" t="s">
        <v>37</v>
      </c>
      <c r="B2048" s="31" t="s">
        <v>35</v>
      </c>
      <c r="C2048" s="31" t="s">
        <v>90</v>
      </c>
      <c r="D2048" s="32">
        <v>44960</v>
      </c>
      <c r="E2048" s="33">
        <v>3357.3</v>
      </c>
      <c r="F2048" s="34">
        <v>308</v>
      </c>
    </row>
    <row r="2049" spans="1:6" x14ac:dyDescent="0.3">
      <c r="A2049" s="35" t="s">
        <v>77</v>
      </c>
      <c r="B2049" s="36" t="s">
        <v>15</v>
      </c>
      <c r="C2049" s="36" t="s">
        <v>73</v>
      </c>
      <c r="D2049" s="36" t="s">
        <v>198</v>
      </c>
      <c r="E2049" s="38">
        <v>7033.52</v>
      </c>
      <c r="F2049" s="39">
        <v>94</v>
      </c>
    </row>
    <row r="2050" spans="1:6" x14ac:dyDescent="0.3">
      <c r="A2050" s="30" t="s">
        <v>29</v>
      </c>
      <c r="B2050" s="31" t="s">
        <v>7</v>
      </c>
      <c r="C2050" s="31" t="s">
        <v>50</v>
      </c>
      <c r="D2050" s="32">
        <v>44993</v>
      </c>
      <c r="E2050" s="33">
        <v>9896.7999999999993</v>
      </c>
      <c r="F2050" s="34">
        <v>143</v>
      </c>
    </row>
    <row r="2051" spans="1:6" x14ac:dyDescent="0.3">
      <c r="A2051" s="35" t="s">
        <v>48</v>
      </c>
      <c r="B2051" s="36" t="s">
        <v>7</v>
      </c>
      <c r="C2051" s="36" t="s">
        <v>13</v>
      </c>
      <c r="D2051" s="37">
        <v>44929</v>
      </c>
      <c r="E2051" s="38">
        <v>15653.44</v>
      </c>
      <c r="F2051" s="39">
        <v>175</v>
      </c>
    </row>
    <row r="2052" spans="1:6" x14ac:dyDescent="0.3">
      <c r="A2052" s="30" t="s">
        <v>70</v>
      </c>
      <c r="B2052" s="31" t="s">
        <v>25</v>
      </c>
      <c r="C2052" s="31" t="s">
        <v>59</v>
      </c>
      <c r="D2052" s="31" t="s">
        <v>224</v>
      </c>
      <c r="E2052" s="33">
        <v>7899.31</v>
      </c>
      <c r="F2052" s="34">
        <v>148</v>
      </c>
    </row>
    <row r="2053" spans="1:6" x14ac:dyDescent="0.3">
      <c r="A2053" s="35" t="s">
        <v>41</v>
      </c>
      <c r="B2053" s="36" t="s">
        <v>35</v>
      </c>
      <c r="C2053" s="36" t="s">
        <v>57</v>
      </c>
      <c r="D2053" s="36" t="s">
        <v>170</v>
      </c>
      <c r="E2053" s="38">
        <v>10644.74</v>
      </c>
      <c r="F2053" s="39">
        <v>172</v>
      </c>
    </row>
    <row r="2054" spans="1:6" x14ac:dyDescent="0.3">
      <c r="A2054" s="30" t="s">
        <v>34</v>
      </c>
      <c r="B2054" s="31" t="s">
        <v>10</v>
      </c>
      <c r="C2054" s="31" t="s">
        <v>59</v>
      </c>
      <c r="D2054" s="31" t="s">
        <v>204</v>
      </c>
      <c r="E2054" s="33">
        <v>872.83</v>
      </c>
      <c r="F2054" s="34">
        <v>224</v>
      </c>
    </row>
    <row r="2055" spans="1:6" x14ac:dyDescent="0.3">
      <c r="A2055" s="35" t="s">
        <v>28</v>
      </c>
      <c r="B2055" s="36" t="s">
        <v>7</v>
      </c>
      <c r="C2055" s="36" t="s">
        <v>38</v>
      </c>
      <c r="D2055" s="36" t="s">
        <v>199</v>
      </c>
      <c r="E2055" s="38">
        <v>6337.94</v>
      </c>
      <c r="F2055" s="39">
        <v>128</v>
      </c>
    </row>
    <row r="2056" spans="1:6" x14ac:dyDescent="0.3">
      <c r="A2056" s="30" t="s">
        <v>55</v>
      </c>
      <c r="B2056" s="31" t="s">
        <v>25</v>
      </c>
      <c r="C2056" s="31" t="s">
        <v>18</v>
      </c>
      <c r="D2056" s="40">
        <v>44899</v>
      </c>
      <c r="E2056" s="33">
        <v>7</v>
      </c>
      <c r="F2056" s="34">
        <v>518</v>
      </c>
    </row>
    <row r="2057" spans="1:6" x14ac:dyDescent="0.3">
      <c r="A2057" s="35" t="s">
        <v>19</v>
      </c>
      <c r="B2057" s="36" t="s">
        <v>32</v>
      </c>
      <c r="C2057" s="36" t="s">
        <v>65</v>
      </c>
      <c r="D2057" s="36" t="s">
        <v>183</v>
      </c>
      <c r="E2057" s="38">
        <v>7107.55</v>
      </c>
      <c r="F2057" s="39">
        <v>142</v>
      </c>
    </row>
    <row r="2058" spans="1:6" x14ac:dyDescent="0.3">
      <c r="A2058" s="30" t="s">
        <v>53</v>
      </c>
      <c r="B2058" s="31" t="s">
        <v>10</v>
      </c>
      <c r="C2058" s="31" t="s">
        <v>36</v>
      </c>
      <c r="D2058" s="32">
        <v>45171</v>
      </c>
      <c r="E2058" s="33">
        <v>5465.85</v>
      </c>
      <c r="F2058" s="34">
        <v>56</v>
      </c>
    </row>
    <row r="2059" spans="1:6" x14ac:dyDescent="0.3">
      <c r="A2059" s="35" t="s">
        <v>28</v>
      </c>
      <c r="B2059" s="36" t="s">
        <v>7</v>
      </c>
      <c r="C2059" s="36" t="s">
        <v>50</v>
      </c>
      <c r="D2059" s="36" t="s">
        <v>203</v>
      </c>
      <c r="E2059" s="38">
        <v>2462.14</v>
      </c>
      <c r="F2059" s="39">
        <v>60</v>
      </c>
    </row>
    <row r="2060" spans="1:6" x14ac:dyDescent="0.3">
      <c r="A2060" s="30" t="s">
        <v>19</v>
      </c>
      <c r="B2060" s="31" t="s">
        <v>15</v>
      </c>
      <c r="C2060" s="31" t="s">
        <v>60</v>
      </c>
      <c r="D2060" s="31" t="s">
        <v>169</v>
      </c>
      <c r="E2060" s="33">
        <v>4194.4399999999996</v>
      </c>
      <c r="F2060" s="34">
        <v>80</v>
      </c>
    </row>
    <row r="2061" spans="1:6" x14ac:dyDescent="0.3">
      <c r="A2061" s="35" t="s">
        <v>41</v>
      </c>
      <c r="B2061" s="36" t="s">
        <v>10</v>
      </c>
      <c r="C2061" s="36" t="s">
        <v>59</v>
      </c>
      <c r="D2061" s="37">
        <v>45023</v>
      </c>
      <c r="E2061" s="38">
        <v>1994.44</v>
      </c>
      <c r="F2061" s="39">
        <v>299</v>
      </c>
    </row>
    <row r="2062" spans="1:6" x14ac:dyDescent="0.3">
      <c r="A2062" s="30" t="s">
        <v>83</v>
      </c>
      <c r="B2062" s="31" t="s">
        <v>10</v>
      </c>
      <c r="C2062" s="31" t="s">
        <v>65</v>
      </c>
      <c r="D2062" s="31" t="s">
        <v>224</v>
      </c>
      <c r="E2062" s="33">
        <v>12124.05</v>
      </c>
      <c r="F2062" s="34">
        <v>80</v>
      </c>
    </row>
    <row r="2063" spans="1:6" x14ac:dyDescent="0.3">
      <c r="A2063" s="35" t="s">
        <v>12</v>
      </c>
      <c r="B2063" s="36" t="s">
        <v>15</v>
      </c>
      <c r="C2063" s="36" t="s">
        <v>18</v>
      </c>
      <c r="D2063" s="36" t="s">
        <v>164</v>
      </c>
      <c r="E2063" s="38">
        <v>5884.09</v>
      </c>
      <c r="F2063" s="39">
        <v>117</v>
      </c>
    </row>
    <row r="2064" spans="1:6" x14ac:dyDescent="0.3">
      <c r="A2064" s="30" t="s">
        <v>71</v>
      </c>
      <c r="B2064" s="31" t="s">
        <v>32</v>
      </c>
      <c r="C2064" s="31" t="s">
        <v>11</v>
      </c>
      <c r="D2064" s="31" t="s">
        <v>217</v>
      </c>
      <c r="E2064" s="33">
        <v>2639.16</v>
      </c>
      <c r="F2064" s="34">
        <v>80</v>
      </c>
    </row>
    <row r="2065" spans="1:6" x14ac:dyDescent="0.3">
      <c r="A2065" s="35" t="s">
        <v>71</v>
      </c>
      <c r="B2065" s="36" t="s">
        <v>32</v>
      </c>
      <c r="C2065" s="36" t="s">
        <v>36</v>
      </c>
      <c r="D2065" s="37">
        <v>45205</v>
      </c>
      <c r="E2065" s="38">
        <v>5031.3999999999996</v>
      </c>
      <c r="F2065" s="39">
        <v>401</v>
      </c>
    </row>
    <row r="2066" spans="1:6" x14ac:dyDescent="0.3">
      <c r="A2066" s="30" t="s">
        <v>77</v>
      </c>
      <c r="B2066" s="31" t="s">
        <v>25</v>
      </c>
      <c r="C2066" s="31" t="s">
        <v>59</v>
      </c>
      <c r="D2066" s="31" t="s">
        <v>186</v>
      </c>
      <c r="E2066" s="33">
        <v>11510.71</v>
      </c>
      <c r="F2066" s="34">
        <v>56</v>
      </c>
    </row>
    <row r="2067" spans="1:6" x14ac:dyDescent="0.3">
      <c r="A2067" s="35" t="s">
        <v>9</v>
      </c>
      <c r="B2067" s="36" t="s">
        <v>10</v>
      </c>
      <c r="C2067" s="36" t="s">
        <v>23</v>
      </c>
      <c r="D2067" s="36" t="s">
        <v>172</v>
      </c>
      <c r="E2067" s="38">
        <v>15021.98</v>
      </c>
      <c r="F2067" s="39">
        <v>211</v>
      </c>
    </row>
    <row r="2068" spans="1:6" x14ac:dyDescent="0.3">
      <c r="A2068" s="30" t="s">
        <v>53</v>
      </c>
      <c r="B2068" s="31" t="s">
        <v>10</v>
      </c>
      <c r="C2068" s="31" t="s">
        <v>33</v>
      </c>
      <c r="D2068" s="31" t="s">
        <v>180</v>
      </c>
      <c r="E2068" s="33">
        <v>4517.1899999999996</v>
      </c>
      <c r="F2068" s="34">
        <v>40</v>
      </c>
    </row>
    <row r="2069" spans="1:6" x14ac:dyDescent="0.3">
      <c r="A2069" s="35" t="s">
        <v>6</v>
      </c>
      <c r="B2069" s="36" t="s">
        <v>10</v>
      </c>
      <c r="C2069" s="36" t="s">
        <v>65</v>
      </c>
      <c r="D2069" s="36" t="s">
        <v>243</v>
      </c>
      <c r="E2069" s="38">
        <v>10778.53</v>
      </c>
      <c r="F2069" s="39">
        <v>99</v>
      </c>
    </row>
    <row r="2070" spans="1:6" x14ac:dyDescent="0.3">
      <c r="A2070" s="30" t="s">
        <v>37</v>
      </c>
      <c r="B2070" s="31" t="s">
        <v>15</v>
      </c>
      <c r="C2070" s="31" t="s">
        <v>73</v>
      </c>
      <c r="D2070" s="31" t="s">
        <v>202</v>
      </c>
      <c r="E2070" s="33">
        <v>1145.72</v>
      </c>
      <c r="F2070" s="34">
        <v>60</v>
      </c>
    </row>
    <row r="2071" spans="1:6" x14ac:dyDescent="0.3">
      <c r="A2071" s="35" t="s">
        <v>71</v>
      </c>
      <c r="B2071" s="36" t="s">
        <v>25</v>
      </c>
      <c r="C2071" s="36" t="s">
        <v>20</v>
      </c>
      <c r="D2071" s="36" t="s">
        <v>197</v>
      </c>
      <c r="E2071" s="38">
        <v>2518.5</v>
      </c>
      <c r="F2071" s="39">
        <v>45</v>
      </c>
    </row>
    <row r="2072" spans="1:6" x14ac:dyDescent="0.3">
      <c r="A2072" s="30" t="s">
        <v>12</v>
      </c>
      <c r="B2072" s="31" t="s">
        <v>15</v>
      </c>
      <c r="C2072" s="31" t="s">
        <v>33</v>
      </c>
      <c r="D2072" s="32">
        <v>45172</v>
      </c>
      <c r="E2072" s="33">
        <v>596.63</v>
      </c>
      <c r="F2072" s="34">
        <v>158</v>
      </c>
    </row>
    <row r="2073" spans="1:6" x14ac:dyDescent="0.3">
      <c r="A2073" s="35" t="s">
        <v>70</v>
      </c>
      <c r="B2073" s="36" t="s">
        <v>7</v>
      </c>
      <c r="C2073" s="36" t="s">
        <v>38</v>
      </c>
      <c r="D2073" s="36" t="s">
        <v>166</v>
      </c>
      <c r="E2073" s="38">
        <v>1858.71</v>
      </c>
      <c r="F2073" s="39">
        <v>24</v>
      </c>
    </row>
    <row r="2074" spans="1:6" x14ac:dyDescent="0.3">
      <c r="A2074" s="30" t="s">
        <v>34</v>
      </c>
      <c r="B2074" s="31" t="s">
        <v>35</v>
      </c>
      <c r="C2074" s="31" t="s">
        <v>90</v>
      </c>
      <c r="D2074" s="32">
        <v>45205</v>
      </c>
      <c r="E2074" s="33">
        <v>5194.28</v>
      </c>
      <c r="F2074" s="34">
        <v>547</v>
      </c>
    </row>
    <row r="2075" spans="1:6" x14ac:dyDescent="0.3">
      <c r="A2075" s="35" t="s">
        <v>53</v>
      </c>
      <c r="B2075" s="36" t="s">
        <v>15</v>
      </c>
      <c r="C2075" s="36" t="s">
        <v>42</v>
      </c>
      <c r="D2075" s="37">
        <v>45140</v>
      </c>
      <c r="E2075" s="38">
        <v>960.69</v>
      </c>
      <c r="F2075" s="39">
        <v>155</v>
      </c>
    </row>
    <row r="2076" spans="1:6" x14ac:dyDescent="0.3">
      <c r="A2076" s="30" t="s">
        <v>28</v>
      </c>
      <c r="B2076" s="31" t="s">
        <v>15</v>
      </c>
      <c r="C2076" s="31" t="s">
        <v>59</v>
      </c>
      <c r="D2076" s="31" t="s">
        <v>206</v>
      </c>
      <c r="E2076" s="33">
        <v>5347.12</v>
      </c>
      <c r="F2076" s="34">
        <v>23</v>
      </c>
    </row>
    <row r="2077" spans="1:6" x14ac:dyDescent="0.3">
      <c r="A2077" s="35" t="s">
        <v>79</v>
      </c>
      <c r="B2077" s="36" t="s">
        <v>10</v>
      </c>
      <c r="C2077" s="36" t="s">
        <v>13</v>
      </c>
      <c r="D2077" s="36" t="s">
        <v>171</v>
      </c>
      <c r="E2077" s="38">
        <v>9805.11</v>
      </c>
      <c r="F2077" s="39">
        <v>76</v>
      </c>
    </row>
    <row r="2078" spans="1:6" x14ac:dyDescent="0.3">
      <c r="A2078" s="30" t="s">
        <v>58</v>
      </c>
      <c r="B2078" s="31" t="s">
        <v>7</v>
      </c>
      <c r="C2078" s="31" t="s">
        <v>20</v>
      </c>
      <c r="D2078" s="31" t="s">
        <v>174</v>
      </c>
      <c r="E2078" s="33">
        <v>13205.42</v>
      </c>
      <c r="F2078" s="34">
        <v>26</v>
      </c>
    </row>
    <row r="2079" spans="1:6" x14ac:dyDescent="0.3">
      <c r="A2079" s="35" t="s">
        <v>12</v>
      </c>
      <c r="B2079" s="36" t="s">
        <v>25</v>
      </c>
      <c r="C2079" s="36" t="s">
        <v>26</v>
      </c>
      <c r="D2079" s="36" t="s">
        <v>179</v>
      </c>
      <c r="E2079" s="38">
        <v>5929.2</v>
      </c>
      <c r="F2079" s="39">
        <v>65</v>
      </c>
    </row>
    <row r="2080" spans="1:6" x14ac:dyDescent="0.3">
      <c r="A2080" s="30" t="s">
        <v>12</v>
      </c>
      <c r="B2080" s="31" t="s">
        <v>32</v>
      </c>
      <c r="C2080" s="31" t="s">
        <v>46</v>
      </c>
      <c r="D2080" s="31" t="s">
        <v>214</v>
      </c>
      <c r="E2080" s="33">
        <v>516.91999999999996</v>
      </c>
      <c r="F2080" s="34">
        <v>141</v>
      </c>
    </row>
    <row r="2081" spans="1:6" x14ac:dyDescent="0.3">
      <c r="A2081" s="35" t="s">
        <v>28</v>
      </c>
      <c r="B2081" s="36" t="s">
        <v>7</v>
      </c>
      <c r="C2081" s="36" t="s">
        <v>90</v>
      </c>
      <c r="D2081" s="37">
        <v>45019</v>
      </c>
      <c r="E2081" s="38">
        <v>2882.76</v>
      </c>
      <c r="F2081" s="39">
        <v>145</v>
      </c>
    </row>
    <row r="2082" spans="1:6" x14ac:dyDescent="0.3">
      <c r="A2082" s="30" t="s">
        <v>48</v>
      </c>
      <c r="B2082" s="31" t="s">
        <v>25</v>
      </c>
      <c r="C2082" s="31" t="s">
        <v>13</v>
      </c>
      <c r="D2082" s="31" t="s">
        <v>234</v>
      </c>
      <c r="E2082" s="33">
        <v>1637.72</v>
      </c>
      <c r="F2082" s="34">
        <v>454</v>
      </c>
    </row>
    <row r="2083" spans="1:6" x14ac:dyDescent="0.3">
      <c r="A2083" s="35" t="s">
        <v>48</v>
      </c>
      <c r="B2083" s="36" t="s">
        <v>25</v>
      </c>
      <c r="C2083" s="36" t="s">
        <v>26</v>
      </c>
      <c r="D2083" s="36" t="s">
        <v>199</v>
      </c>
      <c r="E2083" s="38">
        <v>10791.46</v>
      </c>
      <c r="F2083" s="39">
        <v>88</v>
      </c>
    </row>
    <row r="2084" spans="1:6" x14ac:dyDescent="0.3">
      <c r="A2084" s="30" t="s">
        <v>41</v>
      </c>
      <c r="B2084" s="31" t="s">
        <v>35</v>
      </c>
      <c r="C2084" s="31" t="s">
        <v>38</v>
      </c>
      <c r="D2084" s="32">
        <v>45053</v>
      </c>
      <c r="E2084" s="33">
        <v>1093.46</v>
      </c>
      <c r="F2084" s="34">
        <v>115</v>
      </c>
    </row>
    <row r="2085" spans="1:6" x14ac:dyDescent="0.3">
      <c r="A2085" s="35" t="s">
        <v>31</v>
      </c>
      <c r="B2085" s="36" t="s">
        <v>32</v>
      </c>
      <c r="C2085" s="36" t="s">
        <v>90</v>
      </c>
      <c r="D2085" s="36" t="s">
        <v>221</v>
      </c>
      <c r="E2085" s="38">
        <v>3407.61</v>
      </c>
      <c r="F2085" s="39">
        <v>316</v>
      </c>
    </row>
    <row r="2086" spans="1:6" x14ac:dyDescent="0.3">
      <c r="A2086" s="30" t="s">
        <v>34</v>
      </c>
      <c r="B2086" s="31" t="s">
        <v>35</v>
      </c>
      <c r="C2086" s="31" t="s">
        <v>65</v>
      </c>
      <c r="D2086" s="32">
        <v>45265</v>
      </c>
      <c r="E2086" s="33">
        <v>4753.93</v>
      </c>
      <c r="F2086" s="34">
        <v>37</v>
      </c>
    </row>
    <row r="2087" spans="1:6" x14ac:dyDescent="0.3">
      <c r="A2087" s="35" t="s">
        <v>19</v>
      </c>
      <c r="B2087" s="36" t="s">
        <v>32</v>
      </c>
      <c r="C2087" s="36" t="s">
        <v>38</v>
      </c>
      <c r="D2087" s="37">
        <v>45233</v>
      </c>
      <c r="E2087" s="38">
        <v>8280.6200000000008</v>
      </c>
      <c r="F2087" s="39">
        <v>47</v>
      </c>
    </row>
    <row r="2088" spans="1:6" x14ac:dyDescent="0.3">
      <c r="A2088" s="30" t="s">
        <v>28</v>
      </c>
      <c r="B2088" s="31" t="s">
        <v>25</v>
      </c>
      <c r="C2088" s="31" t="s">
        <v>36</v>
      </c>
      <c r="D2088" s="32">
        <v>45237</v>
      </c>
      <c r="E2088" s="33">
        <v>4981.78</v>
      </c>
      <c r="F2088" s="34">
        <v>299</v>
      </c>
    </row>
    <row r="2089" spans="1:6" x14ac:dyDescent="0.3">
      <c r="A2089" s="35" t="s">
        <v>22</v>
      </c>
      <c r="B2089" s="36" t="s">
        <v>25</v>
      </c>
      <c r="C2089" s="36" t="s">
        <v>75</v>
      </c>
      <c r="D2089" s="37">
        <v>44934</v>
      </c>
      <c r="E2089" s="38">
        <v>13998.33</v>
      </c>
      <c r="F2089" s="39">
        <v>60</v>
      </c>
    </row>
    <row r="2090" spans="1:6" x14ac:dyDescent="0.3">
      <c r="A2090" s="30" t="s">
        <v>22</v>
      </c>
      <c r="B2090" s="31" t="s">
        <v>7</v>
      </c>
      <c r="C2090" s="31" t="s">
        <v>50</v>
      </c>
      <c r="D2090" s="31" t="s">
        <v>171</v>
      </c>
      <c r="E2090" s="33">
        <v>13105.65</v>
      </c>
      <c r="F2090" s="34">
        <v>199</v>
      </c>
    </row>
    <row r="2091" spans="1:6" x14ac:dyDescent="0.3">
      <c r="A2091" s="35" t="s">
        <v>48</v>
      </c>
      <c r="B2091" s="36" t="s">
        <v>32</v>
      </c>
      <c r="C2091" s="36" t="s">
        <v>23</v>
      </c>
      <c r="D2091" s="36" t="s">
        <v>224</v>
      </c>
      <c r="E2091" s="38">
        <v>15728.81</v>
      </c>
      <c r="F2091" s="39">
        <v>256</v>
      </c>
    </row>
    <row r="2092" spans="1:6" x14ac:dyDescent="0.3">
      <c r="A2092" s="30" t="s">
        <v>55</v>
      </c>
      <c r="B2092" s="31" t="s">
        <v>25</v>
      </c>
      <c r="C2092" s="31" t="s">
        <v>18</v>
      </c>
      <c r="D2092" s="40">
        <v>45264</v>
      </c>
      <c r="E2092" s="33">
        <v>8.06</v>
      </c>
      <c r="F2092" s="34">
        <v>513</v>
      </c>
    </row>
    <row r="2093" spans="1:6" x14ac:dyDescent="0.3">
      <c r="A2093" s="35" t="s">
        <v>83</v>
      </c>
      <c r="B2093" s="36" t="s">
        <v>15</v>
      </c>
      <c r="C2093" s="36" t="s">
        <v>13</v>
      </c>
      <c r="D2093" s="36" t="s">
        <v>175</v>
      </c>
      <c r="E2093" s="38">
        <v>10857.23</v>
      </c>
      <c r="F2093" s="39">
        <v>73</v>
      </c>
    </row>
    <row r="2094" spans="1:6" x14ac:dyDescent="0.3">
      <c r="A2094" s="30" t="s">
        <v>19</v>
      </c>
      <c r="B2094" s="31" t="s">
        <v>15</v>
      </c>
      <c r="C2094" s="31" t="s">
        <v>50</v>
      </c>
      <c r="D2094" s="31" t="s">
        <v>254</v>
      </c>
      <c r="E2094" s="33">
        <v>12412.53</v>
      </c>
      <c r="F2094" s="34">
        <v>25</v>
      </c>
    </row>
    <row r="2095" spans="1:6" x14ac:dyDescent="0.3">
      <c r="A2095" s="35" t="s">
        <v>6</v>
      </c>
      <c r="B2095" s="36" t="s">
        <v>35</v>
      </c>
      <c r="C2095" s="36" t="s">
        <v>60</v>
      </c>
      <c r="D2095" s="37">
        <v>45050</v>
      </c>
      <c r="E2095" s="38">
        <v>3669.15</v>
      </c>
      <c r="F2095" s="39">
        <v>209</v>
      </c>
    </row>
    <row r="2096" spans="1:6" x14ac:dyDescent="0.3">
      <c r="A2096" s="30" t="s">
        <v>71</v>
      </c>
      <c r="B2096" s="31" t="s">
        <v>35</v>
      </c>
      <c r="C2096" s="31" t="s">
        <v>38</v>
      </c>
      <c r="D2096" s="32">
        <v>44988</v>
      </c>
      <c r="E2096" s="33">
        <v>13555.26</v>
      </c>
      <c r="F2096" s="34">
        <v>279</v>
      </c>
    </row>
    <row r="2097" spans="1:6" x14ac:dyDescent="0.3">
      <c r="A2097" s="35" t="s">
        <v>55</v>
      </c>
      <c r="B2097" s="36" t="s">
        <v>32</v>
      </c>
      <c r="C2097" s="36" t="s">
        <v>50</v>
      </c>
      <c r="D2097" s="36" t="s">
        <v>231</v>
      </c>
      <c r="E2097" s="38">
        <v>2333.84</v>
      </c>
      <c r="F2097" s="39">
        <v>171</v>
      </c>
    </row>
    <row r="2098" spans="1:6" x14ac:dyDescent="0.3">
      <c r="A2098" s="30" t="s">
        <v>40</v>
      </c>
      <c r="B2098" s="31" t="s">
        <v>25</v>
      </c>
      <c r="C2098" s="31" t="s">
        <v>100</v>
      </c>
      <c r="D2098" s="31" t="s">
        <v>170</v>
      </c>
      <c r="E2098" s="33">
        <v>8973.0499999999993</v>
      </c>
      <c r="F2098" s="34">
        <v>360</v>
      </c>
    </row>
    <row r="2099" spans="1:6" x14ac:dyDescent="0.3">
      <c r="A2099" s="35" t="s">
        <v>45</v>
      </c>
      <c r="B2099" s="36" t="s">
        <v>25</v>
      </c>
      <c r="C2099" s="36" t="s">
        <v>20</v>
      </c>
      <c r="D2099" s="36" t="s">
        <v>257</v>
      </c>
      <c r="E2099" s="38">
        <v>8610.3799999999992</v>
      </c>
      <c r="F2099" s="39">
        <v>188</v>
      </c>
    </row>
    <row r="2100" spans="1:6" x14ac:dyDescent="0.3">
      <c r="A2100" s="30" t="s">
        <v>19</v>
      </c>
      <c r="B2100" s="31" t="s">
        <v>25</v>
      </c>
      <c r="C2100" s="31" t="s">
        <v>11</v>
      </c>
      <c r="D2100" s="32">
        <v>44928</v>
      </c>
      <c r="E2100" s="33">
        <v>3432.3</v>
      </c>
      <c r="F2100" s="34">
        <v>452</v>
      </c>
    </row>
    <row r="2101" spans="1:6" x14ac:dyDescent="0.3">
      <c r="A2101" s="35" t="s">
        <v>79</v>
      </c>
      <c r="B2101" s="36" t="s">
        <v>25</v>
      </c>
      <c r="C2101" s="36" t="s">
        <v>33</v>
      </c>
      <c r="D2101" s="37">
        <v>45024</v>
      </c>
      <c r="E2101" s="38">
        <v>2283.39</v>
      </c>
      <c r="F2101" s="39">
        <v>155</v>
      </c>
    </row>
    <row r="2102" spans="1:6" x14ac:dyDescent="0.3">
      <c r="A2102" s="30" t="s">
        <v>67</v>
      </c>
      <c r="B2102" s="31" t="s">
        <v>25</v>
      </c>
      <c r="C2102" s="31" t="s">
        <v>65</v>
      </c>
      <c r="D2102" s="32">
        <v>45050</v>
      </c>
      <c r="E2102" s="33">
        <v>7190.49</v>
      </c>
      <c r="F2102" s="34">
        <v>165</v>
      </c>
    </row>
    <row r="2103" spans="1:6" x14ac:dyDescent="0.3">
      <c r="A2103" s="35" t="s">
        <v>37</v>
      </c>
      <c r="B2103" s="36" t="s">
        <v>15</v>
      </c>
      <c r="C2103" s="36" t="s">
        <v>20</v>
      </c>
      <c r="D2103" s="36" t="s">
        <v>169</v>
      </c>
      <c r="E2103" s="38">
        <v>11303.07</v>
      </c>
      <c r="F2103" s="39">
        <v>166</v>
      </c>
    </row>
    <row r="2104" spans="1:6" x14ac:dyDescent="0.3">
      <c r="A2104" s="30" t="s">
        <v>55</v>
      </c>
      <c r="B2104" s="31" t="s">
        <v>7</v>
      </c>
      <c r="C2104" s="31" t="s">
        <v>23</v>
      </c>
      <c r="D2104" s="31" t="s">
        <v>227</v>
      </c>
      <c r="E2104" s="33">
        <v>18911.490000000002</v>
      </c>
      <c r="F2104" s="34">
        <v>171</v>
      </c>
    </row>
    <row r="2105" spans="1:6" x14ac:dyDescent="0.3">
      <c r="A2105" s="35" t="s">
        <v>55</v>
      </c>
      <c r="B2105" s="36" t="s">
        <v>35</v>
      </c>
      <c r="C2105" s="36" t="s">
        <v>23</v>
      </c>
      <c r="D2105" s="36" t="s">
        <v>186</v>
      </c>
      <c r="E2105" s="38">
        <v>6233.02</v>
      </c>
      <c r="F2105" s="39">
        <v>178</v>
      </c>
    </row>
    <row r="2106" spans="1:6" x14ac:dyDescent="0.3">
      <c r="A2106" s="30" t="s">
        <v>55</v>
      </c>
      <c r="B2106" s="31" t="s">
        <v>7</v>
      </c>
      <c r="C2106" s="31" t="s">
        <v>38</v>
      </c>
      <c r="D2106" s="31" t="s">
        <v>199</v>
      </c>
      <c r="E2106" s="33">
        <v>2334.5</v>
      </c>
      <c r="F2106" s="34">
        <v>233</v>
      </c>
    </row>
    <row r="2107" spans="1:6" x14ac:dyDescent="0.3">
      <c r="A2107" s="35" t="s">
        <v>29</v>
      </c>
      <c r="B2107" s="36" t="s">
        <v>7</v>
      </c>
      <c r="C2107" s="36" t="s">
        <v>26</v>
      </c>
      <c r="D2107" s="36" t="s">
        <v>171</v>
      </c>
      <c r="E2107" s="38">
        <v>11099.73</v>
      </c>
      <c r="F2107" s="39">
        <v>73</v>
      </c>
    </row>
    <row r="2108" spans="1:6" x14ac:dyDescent="0.3">
      <c r="A2108" s="30" t="s">
        <v>79</v>
      </c>
      <c r="B2108" s="31" t="s">
        <v>32</v>
      </c>
      <c r="C2108" s="31" t="s">
        <v>73</v>
      </c>
      <c r="D2108" s="32">
        <v>44986</v>
      </c>
      <c r="E2108" s="33">
        <v>3590.55</v>
      </c>
      <c r="F2108" s="34">
        <v>47</v>
      </c>
    </row>
    <row r="2109" spans="1:6" x14ac:dyDescent="0.3">
      <c r="A2109" s="35" t="s">
        <v>37</v>
      </c>
      <c r="B2109" s="36" t="s">
        <v>32</v>
      </c>
      <c r="C2109" s="36" t="s">
        <v>59</v>
      </c>
      <c r="D2109" s="36" t="s">
        <v>182</v>
      </c>
      <c r="E2109" s="38">
        <v>5209.3999999999996</v>
      </c>
      <c r="F2109" s="39">
        <v>2</v>
      </c>
    </row>
    <row r="2110" spans="1:6" x14ac:dyDescent="0.3">
      <c r="A2110" s="30" t="s">
        <v>19</v>
      </c>
      <c r="B2110" s="31" t="s">
        <v>32</v>
      </c>
      <c r="C2110" s="31" t="s">
        <v>50</v>
      </c>
      <c r="D2110" s="32">
        <v>45109</v>
      </c>
      <c r="E2110" s="33">
        <v>6315.14</v>
      </c>
      <c r="F2110" s="34">
        <v>398</v>
      </c>
    </row>
    <row r="2111" spans="1:6" x14ac:dyDescent="0.3">
      <c r="A2111" s="35" t="s">
        <v>34</v>
      </c>
      <c r="B2111" s="36" t="s">
        <v>15</v>
      </c>
      <c r="C2111" s="36" t="s">
        <v>18</v>
      </c>
      <c r="D2111" s="37">
        <v>45232</v>
      </c>
      <c r="E2111" s="38">
        <v>4454.71</v>
      </c>
      <c r="F2111" s="39">
        <v>117</v>
      </c>
    </row>
    <row r="2112" spans="1:6" x14ac:dyDescent="0.3">
      <c r="A2112" s="30" t="s">
        <v>55</v>
      </c>
      <c r="B2112" s="31" t="s">
        <v>35</v>
      </c>
      <c r="C2112" s="31" t="s">
        <v>42</v>
      </c>
      <c r="D2112" s="31" t="s">
        <v>221</v>
      </c>
      <c r="E2112" s="33">
        <v>6078.71</v>
      </c>
      <c r="F2112" s="34">
        <v>78</v>
      </c>
    </row>
    <row r="2113" spans="1:6" x14ac:dyDescent="0.3">
      <c r="A2113" s="35" t="s">
        <v>40</v>
      </c>
      <c r="B2113" s="36" t="s">
        <v>32</v>
      </c>
      <c r="C2113" s="36" t="s">
        <v>13</v>
      </c>
      <c r="D2113" s="36" t="s">
        <v>177</v>
      </c>
      <c r="E2113" s="38">
        <v>695.96</v>
      </c>
      <c r="F2113" s="39">
        <v>363</v>
      </c>
    </row>
    <row r="2114" spans="1:6" x14ac:dyDescent="0.3">
      <c r="A2114" s="30" t="s">
        <v>58</v>
      </c>
      <c r="B2114" s="31" t="s">
        <v>7</v>
      </c>
      <c r="C2114" s="31" t="s">
        <v>18</v>
      </c>
      <c r="D2114" s="31" t="s">
        <v>254</v>
      </c>
      <c r="E2114" s="33">
        <v>563.76</v>
      </c>
      <c r="F2114" s="34">
        <v>151</v>
      </c>
    </row>
    <row r="2115" spans="1:6" x14ac:dyDescent="0.3">
      <c r="A2115" s="35" t="s">
        <v>28</v>
      </c>
      <c r="B2115" s="36" t="s">
        <v>15</v>
      </c>
      <c r="C2115" s="36" t="s">
        <v>42</v>
      </c>
      <c r="D2115" s="36" t="s">
        <v>189</v>
      </c>
      <c r="E2115" s="38">
        <v>4479.6899999999996</v>
      </c>
      <c r="F2115" s="39">
        <v>261</v>
      </c>
    </row>
    <row r="2116" spans="1:6" x14ac:dyDescent="0.3">
      <c r="A2116" s="30" t="s">
        <v>41</v>
      </c>
      <c r="B2116" s="31" t="s">
        <v>10</v>
      </c>
      <c r="C2116" s="31" t="s">
        <v>42</v>
      </c>
      <c r="D2116" s="31" t="s">
        <v>245</v>
      </c>
      <c r="E2116" s="33">
        <v>1093.72</v>
      </c>
      <c r="F2116" s="34">
        <v>22</v>
      </c>
    </row>
    <row r="2117" spans="1:6" x14ac:dyDescent="0.3">
      <c r="A2117" s="35" t="s">
        <v>58</v>
      </c>
      <c r="B2117" s="36" t="s">
        <v>15</v>
      </c>
      <c r="C2117" s="36" t="s">
        <v>87</v>
      </c>
      <c r="D2117" s="37">
        <v>45231</v>
      </c>
      <c r="E2117" s="38">
        <v>15870.43</v>
      </c>
      <c r="F2117" s="39">
        <v>449</v>
      </c>
    </row>
    <row r="2118" spans="1:6" x14ac:dyDescent="0.3">
      <c r="A2118" s="30" t="s">
        <v>41</v>
      </c>
      <c r="B2118" s="31" t="s">
        <v>7</v>
      </c>
      <c r="C2118" s="31" t="s">
        <v>26</v>
      </c>
      <c r="D2118" s="32">
        <v>45171</v>
      </c>
      <c r="E2118" s="33">
        <v>2529.8200000000002</v>
      </c>
      <c r="F2118" s="34">
        <v>297</v>
      </c>
    </row>
    <row r="2119" spans="1:6" x14ac:dyDescent="0.3">
      <c r="A2119" s="35" t="s">
        <v>9</v>
      </c>
      <c r="B2119" s="36" t="s">
        <v>7</v>
      </c>
      <c r="C2119" s="36" t="s">
        <v>65</v>
      </c>
      <c r="D2119" s="37">
        <v>45083</v>
      </c>
      <c r="E2119" s="38">
        <v>11258.39</v>
      </c>
      <c r="F2119" s="39">
        <v>217</v>
      </c>
    </row>
    <row r="2120" spans="1:6" x14ac:dyDescent="0.3">
      <c r="A2120" s="30" t="s">
        <v>79</v>
      </c>
      <c r="B2120" s="31" t="s">
        <v>7</v>
      </c>
      <c r="C2120" s="31" t="s">
        <v>90</v>
      </c>
      <c r="D2120" s="32">
        <v>45207</v>
      </c>
      <c r="E2120" s="33">
        <v>6180.45</v>
      </c>
      <c r="F2120" s="34">
        <v>230</v>
      </c>
    </row>
    <row r="2121" spans="1:6" x14ac:dyDescent="0.3">
      <c r="A2121" s="35" t="s">
        <v>64</v>
      </c>
      <c r="B2121" s="36" t="s">
        <v>15</v>
      </c>
      <c r="C2121" s="36" t="s">
        <v>18</v>
      </c>
      <c r="D2121" s="37">
        <v>45017</v>
      </c>
      <c r="E2121" s="38">
        <v>2496.06</v>
      </c>
      <c r="F2121" s="39">
        <v>45</v>
      </c>
    </row>
    <row r="2122" spans="1:6" x14ac:dyDescent="0.3">
      <c r="A2122" s="30" t="s">
        <v>67</v>
      </c>
      <c r="B2122" s="31" t="s">
        <v>35</v>
      </c>
      <c r="C2122" s="31" t="s">
        <v>100</v>
      </c>
      <c r="D2122" s="32">
        <v>45142</v>
      </c>
      <c r="E2122" s="33">
        <v>10964.29</v>
      </c>
      <c r="F2122" s="34">
        <v>16</v>
      </c>
    </row>
    <row r="2123" spans="1:6" x14ac:dyDescent="0.3">
      <c r="A2123" s="35" t="s">
        <v>31</v>
      </c>
      <c r="B2123" s="36" t="s">
        <v>7</v>
      </c>
      <c r="C2123" s="36" t="s">
        <v>46</v>
      </c>
      <c r="D2123" s="37">
        <v>44960</v>
      </c>
      <c r="E2123" s="38">
        <v>4012.51</v>
      </c>
      <c r="F2123" s="39">
        <v>409</v>
      </c>
    </row>
    <row r="2124" spans="1:6" x14ac:dyDescent="0.3">
      <c r="A2124" s="30" t="s">
        <v>9</v>
      </c>
      <c r="B2124" s="31" t="s">
        <v>35</v>
      </c>
      <c r="C2124" s="31" t="s">
        <v>38</v>
      </c>
      <c r="D2124" s="31" t="s">
        <v>177</v>
      </c>
      <c r="E2124" s="33">
        <v>4919.25</v>
      </c>
      <c r="F2124" s="34">
        <v>746</v>
      </c>
    </row>
    <row r="2125" spans="1:6" x14ac:dyDescent="0.3">
      <c r="A2125" s="35" t="s">
        <v>6</v>
      </c>
      <c r="B2125" s="36" t="s">
        <v>15</v>
      </c>
      <c r="C2125" s="36" t="s">
        <v>23</v>
      </c>
      <c r="D2125" s="36" t="s">
        <v>170</v>
      </c>
      <c r="E2125" s="38">
        <v>5602.02</v>
      </c>
      <c r="F2125" s="39">
        <v>51</v>
      </c>
    </row>
    <row r="2126" spans="1:6" x14ac:dyDescent="0.3">
      <c r="A2126" s="30" t="s">
        <v>53</v>
      </c>
      <c r="B2126" s="31" t="s">
        <v>7</v>
      </c>
      <c r="C2126" s="31" t="s">
        <v>23</v>
      </c>
      <c r="D2126" s="32">
        <v>45053</v>
      </c>
      <c r="E2126" s="33">
        <v>3563.87</v>
      </c>
      <c r="F2126" s="34">
        <v>372</v>
      </c>
    </row>
    <row r="2127" spans="1:6" x14ac:dyDescent="0.3">
      <c r="A2127" s="35" t="s">
        <v>31</v>
      </c>
      <c r="B2127" s="36" t="s">
        <v>10</v>
      </c>
      <c r="C2127" s="36" t="s">
        <v>8</v>
      </c>
      <c r="D2127" s="37">
        <v>45261</v>
      </c>
      <c r="E2127" s="38">
        <v>8313.09</v>
      </c>
      <c r="F2127" s="39">
        <v>493</v>
      </c>
    </row>
    <row r="2128" spans="1:6" x14ac:dyDescent="0.3">
      <c r="A2128" s="30" t="s">
        <v>48</v>
      </c>
      <c r="B2128" s="31" t="s">
        <v>10</v>
      </c>
      <c r="C2128" s="31" t="s">
        <v>8</v>
      </c>
      <c r="D2128" s="32">
        <v>44988</v>
      </c>
      <c r="E2128" s="33">
        <v>8447.48</v>
      </c>
      <c r="F2128" s="34">
        <v>96</v>
      </c>
    </row>
    <row r="2129" spans="1:6" x14ac:dyDescent="0.3">
      <c r="A2129" s="35" t="s">
        <v>6</v>
      </c>
      <c r="B2129" s="36" t="s">
        <v>25</v>
      </c>
      <c r="C2129" s="36" t="s">
        <v>46</v>
      </c>
      <c r="D2129" s="36" t="s">
        <v>190</v>
      </c>
      <c r="E2129" s="38">
        <v>2646.23</v>
      </c>
      <c r="F2129" s="39">
        <v>198</v>
      </c>
    </row>
    <row r="2130" spans="1:6" x14ac:dyDescent="0.3">
      <c r="A2130" s="30" t="s">
        <v>22</v>
      </c>
      <c r="B2130" s="31" t="s">
        <v>10</v>
      </c>
      <c r="C2130" s="31" t="s">
        <v>90</v>
      </c>
      <c r="D2130" s="31" t="s">
        <v>168</v>
      </c>
      <c r="E2130" s="33">
        <v>2706.83</v>
      </c>
      <c r="F2130" s="34">
        <v>198</v>
      </c>
    </row>
    <row r="2131" spans="1:6" x14ac:dyDescent="0.3">
      <c r="A2131" s="35" t="s">
        <v>48</v>
      </c>
      <c r="B2131" s="36" t="s">
        <v>7</v>
      </c>
      <c r="C2131" s="36" t="s">
        <v>60</v>
      </c>
      <c r="D2131" s="37">
        <v>45109</v>
      </c>
      <c r="E2131" s="38">
        <v>1710.48</v>
      </c>
      <c r="F2131" s="39">
        <v>108</v>
      </c>
    </row>
    <row r="2132" spans="1:6" x14ac:dyDescent="0.3">
      <c r="A2132" s="30" t="s">
        <v>67</v>
      </c>
      <c r="B2132" s="31" t="s">
        <v>10</v>
      </c>
      <c r="C2132" s="31" t="s">
        <v>33</v>
      </c>
      <c r="D2132" s="31" t="s">
        <v>174</v>
      </c>
      <c r="E2132" s="33">
        <v>318.19</v>
      </c>
      <c r="F2132" s="34">
        <v>417</v>
      </c>
    </row>
    <row r="2133" spans="1:6" x14ac:dyDescent="0.3">
      <c r="A2133" s="35" t="s">
        <v>34</v>
      </c>
      <c r="B2133" s="36" t="s">
        <v>15</v>
      </c>
      <c r="C2133" s="36" t="s">
        <v>73</v>
      </c>
      <c r="D2133" s="36" t="s">
        <v>217</v>
      </c>
      <c r="E2133" s="38">
        <v>9479.65</v>
      </c>
      <c r="F2133" s="39">
        <v>26</v>
      </c>
    </row>
    <row r="2134" spans="1:6" x14ac:dyDescent="0.3">
      <c r="A2134" s="30" t="s">
        <v>41</v>
      </c>
      <c r="B2134" s="31" t="s">
        <v>35</v>
      </c>
      <c r="C2134" s="31" t="s">
        <v>11</v>
      </c>
      <c r="D2134" s="31" t="s">
        <v>171</v>
      </c>
      <c r="E2134" s="33">
        <v>6393.2</v>
      </c>
      <c r="F2134" s="34">
        <v>44</v>
      </c>
    </row>
    <row r="2135" spans="1:6" x14ac:dyDescent="0.3">
      <c r="A2135" s="35" t="s">
        <v>70</v>
      </c>
      <c r="B2135" s="36" t="s">
        <v>15</v>
      </c>
      <c r="C2135" s="36" t="s">
        <v>38</v>
      </c>
      <c r="D2135" s="37">
        <v>45021</v>
      </c>
      <c r="E2135" s="38">
        <v>1355.65</v>
      </c>
      <c r="F2135" s="39">
        <v>60</v>
      </c>
    </row>
    <row r="2136" spans="1:6" x14ac:dyDescent="0.3">
      <c r="A2136" s="30" t="s">
        <v>9</v>
      </c>
      <c r="B2136" s="31" t="s">
        <v>35</v>
      </c>
      <c r="C2136" s="31" t="s">
        <v>100</v>
      </c>
      <c r="D2136" s="32">
        <v>44963</v>
      </c>
      <c r="E2136" s="33">
        <v>7911.23</v>
      </c>
      <c r="F2136" s="34">
        <v>74</v>
      </c>
    </row>
    <row r="2137" spans="1:6" x14ac:dyDescent="0.3">
      <c r="A2137" s="35" t="s">
        <v>58</v>
      </c>
      <c r="B2137" s="36" t="s">
        <v>32</v>
      </c>
      <c r="C2137" s="36" t="s">
        <v>90</v>
      </c>
      <c r="D2137" s="37">
        <v>45237</v>
      </c>
      <c r="E2137" s="38">
        <v>2583.0300000000002</v>
      </c>
      <c r="F2137" s="39">
        <v>501</v>
      </c>
    </row>
    <row r="2138" spans="1:6" x14ac:dyDescent="0.3">
      <c r="A2138" s="30" t="s">
        <v>55</v>
      </c>
      <c r="B2138" s="31" t="s">
        <v>25</v>
      </c>
      <c r="C2138" s="31" t="s">
        <v>18</v>
      </c>
      <c r="D2138" s="40">
        <v>45630</v>
      </c>
      <c r="E2138" s="33">
        <v>7.67</v>
      </c>
      <c r="F2138" s="34">
        <v>548</v>
      </c>
    </row>
    <row r="2139" spans="1:6" x14ac:dyDescent="0.3">
      <c r="A2139" s="35" t="s">
        <v>14</v>
      </c>
      <c r="B2139" s="36" t="s">
        <v>7</v>
      </c>
      <c r="C2139" s="36" t="s">
        <v>65</v>
      </c>
      <c r="D2139" s="37">
        <v>45084</v>
      </c>
      <c r="E2139" s="38">
        <v>10668.69</v>
      </c>
      <c r="F2139" s="39">
        <v>150</v>
      </c>
    </row>
    <row r="2140" spans="1:6" x14ac:dyDescent="0.3">
      <c r="A2140" s="30" t="s">
        <v>53</v>
      </c>
      <c r="B2140" s="31" t="s">
        <v>10</v>
      </c>
      <c r="C2140" s="31" t="s">
        <v>73</v>
      </c>
      <c r="D2140" s="31" t="s">
        <v>177</v>
      </c>
      <c r="E2140" s="33">
        <v>10994.3</v>
      </c>
      <c r="F2140" s="34">
        <v>152</v>
      </c>
    </row>
    <row r="2141" spans="1:6" x14ac:dyDescent="0.3">
      <c r="A2141" s="35" t="s">
        <v>79</v>
      </c>
      <c r="B2141" s="36" t="s">
        <v>10</v>
      </c>
      <c r="C2141" s="36" t="s">
        <v>8</v>
      </c>
      <c r="D2141" s="36" t="s">
        <v>195</v>
      </c>
      <c r="E2141" s="38">
        <v>1259.6099999999999</v>
      </c>
      <c r="F2141" s="39">
        <v>227</v>
      </c>
    </row>
    <row r="2142" spans="1:6" x14ac:dyDescent="0.3">
      <c r="A2142" s="30" t="s">
        <v>71</v>
      </c>
      <c r="B2142" s="31" t="s">
        <v>10</v>
      </c>
      <c r="C2142" s="31" t="s">
        <v>38</v>
      </c>
      <c r="D2142" s="32">
        <v>45146</v>
      </c>
      <c r="E2142" s="33">
        <v>492.13</v>
      </c>
      <c r="F2142" s="34">
        <v>164</v>
      </c>
    </row>
    <row r="2143" spans="1:6" x14ac:dyDescent="0.3">
      <c r="A2143" s="35" t="s">
        <v>40</v>
      </c>
      <c r="B2143" s="36" t="s">
        <v>7</v>
      </c>
      <c r="C2143" s="36" t="s">
        <v>38</v>
      </c>
      <c r="D2143" s="36" t="s">
        <v>221</v>
      </c>
      <c r="E2143" s="38">
        <v>1016.77</v>
      </c>
      <c r="F2143" s="39">
        <v>28</v>
      </c>
    </row>
    <row r="2144" spans="1:6" x14ac:dyDescent="0.3">
      <c r="A2144" s="30" t="s">
        <v>45</v>
      </c>
      <c r="B2144" s="31" t="s">
        <v>15</v>
      </c>
      <c r="C2144" s="31" t="s">
        <v>42</v>
      </c>
      <c r="D2144" s="32">
        <v>45023</v>
      </c>
      <c r="E2144" s="33">
        <v>4111.42</v>
      </c>
      <c r="F2144" s="34">
        <v>81</v>
      </c>
    </row>
    <row r="2145" spans="1:6" x14ac:dyDescent="0.3">
      <c r="A2145" s="35" t="s">
        <v>83</v>
      </c>
      <c r="B2145" s="36" t="s">
        <v>10</v>
      </c>
      <c r="C2145" s="36" t="s">
        <v>20</v>
      </c>
      <c r="D2145" s="36" t="s">
        <v>171</v>
      </c>
      <c r="E2145" s="38">
        <v>503.97</v>
      </c>
      <c r="F2145" s="39">
        <v>105</v>
      </c>
    </row>
    <row r="2146" spans="1:6" x14ac:dyDescent="0.3">
      <c r="A2146" s="30" t="s">
        <v>29</v>
      </c>
      <c r="B2146" s="31" t="s">
        <v>35</v>
      </c>
      <c r="C2146" s="31" t="s">
        <v>50</v>
      </c>
      <c r="D2146" s="32">
        <v>44962</v>
      </c>
      <c r="E2146" s="33">
        <v>2883.71</v>
      </c>
      <c r="F2146" s="34">
        <v>163</v>
      </c>
    </row>
    <row r="2147" spans="1:6" x14ac:dyDescent="0.3">
      <c r="A2147" s="35" t="s">
        <v>9</v>
      </c>
      <c r="B2147" s="36" t="s">
        <v>10</v>
      </c>
      <c r="C2147" s="36" t="s">
        <v>36</v>
      </c>
      <c r="D2147" s="36" t="s">
        <v>244</v>
      </c>
      <c r="E2147" s="38">
        <v>11861.89</v>
      </c>
      <c r="F2147" s="39">
        <v>105</v>
      </c>
    </row>
    <row r="2148" spans="1:6" x14ac:dyDescent="0.3">
      <c r="A2148" s="30" t="s">
        <v>22</v>
      </c>
      <c r="B2148" s="31" t="s">
        <v>15</v>
      </c>
      <c r="C2148" s="31" t="s">
        <v>20</v>
      </c>
      <c r="D2148" s="31" t="s">
        <v>201</v>
      </c>
      <c r="E2148" s="33">
        <v>8564.73</v>
      </c>
      <c r="F2148" s="34">
        <v>237</v>
      </c>
    </row>
    <row r="2149" spans="1:6" x14ac:dyDescent="0.3">
      <c r="A2149" s="35" t="s">
        <v>55</v>
      </c>
      <c r="B2149" s="36" t="s">
        <v>32</v>
      </c>
      <c r="C2149" s="36" t="s">
        <v>11</v>
      </c>
      <c r="D2149" s="36" t="s">
        <v>250</v>
      </c>
      <c r="E2149" s="38">
        <v>538.03</v>
      </c>
      <c r="F2149" s="39">
        <v>271</v>
      </c>
    </row>
    <row r="2150" spans="1:6" x14ac:dyDescent="0.3">
      <c r="A2150" s="30" t="s">
        <v>71</v>
      </c>
      <c r="B2150" s="31" t="s">
        <v>7</v>
      </c>
      <c r="C2150" s="31" t="s">
        <v>13</v>
      </c>
      <c r="D2150" s="31" t="s">
        <v>187</v>
      </c>
      <c r="E2150" s="33">
        <v>5231.88</v>
      </c>
      <c r="F2150" s="34">
        <v>125</v>
      </c>
    </row>
    <row r="2151" spans="1:6" x14ac:dyDescent="0.3">
      <c r="A2151" s="35" t="s">
        <v>77</v>
      </c>
      <c r="B2151" s="36" t="s">
        <v>7</v>
      </c>
      <c r="C2151" s="36" t="s">
        <v>13</v>
      </c>
      <c r="D2151" s="37">
        <v>45268</v>
      </c>
      <c r="E2151" s="38">
        <v>7916.13</v>
      </c>
      <c r="F2151" s="39">
        <v>84</v>
      </c>
    </row>
    <row r="2152" spans="1:6" x14ac:dyDescent="0.3">
      <c r="A2152" s="30" t="s">
        <v>77</v>
      </c>
      <c r="B2152" s="31" t="s">
        <v>32</v>
      </c>
      <c r="C2152" s="31" t="s">
        <v>75</v>
      </c>
      <c r="D2152" s="32">
        <v>45113</v>
      </c>
      <c r="E2152" s="33">
        <v>6016.32</v>
      </c>
      <c r="F2152" s="34">
        <v>143</v>
      </c>
    </row>
    <row r="2153" spans="1:6" x14ac:dyDescent="0.3">
      <c r="A2153" s="35" t="s">
        <v>40</v>
      </c>
      <c r="B2153" s="36" t="s">
        <v>35</v>
      </c>
      <c r="C2153" s="36" t="s">
        <v>13</v>
      </c>
      <c r="D2153" s="37">
        <v>45141</v>
      </c>
      <c r="E2153" s="38">
        <v>7504.86</v>
      </c>
      <c r="F2153" s="39">
        <v>97</v>
      </c>
    </row>
    <row r="2154" spans="1:6" x14ac:dyDescent="0.3">
      <c r="A2154" s="30" t="s">
        <v>83</v>
      </c>
      <c r="B2154" s="31" t="s">
        <v>15</v>
      </c>
      <c r="C2154" s="31" t="s">
        <v>75</v>
      </c>
      <c r="D2154" s="32">
        <v>45142</v>
      </c>
      <c r="E2154" s="33">
        <v>1590.98</v>
      </c>
      <c r="F2154" s="34">
        <v>182</v>
      </c>
    </row>
    <row r="2155" spans="1:6" x14ac:dyDescent="0.3">
      <c r="A2155" s="35" t="s">
        <v>48</v>
      </c>
      <c r="B2155" s="36" t="s">
        <v>35</v>
      </c>
      <c r="C2155" s="36" t="s">
        <v>36</v>
      </c>
      <c r="D2155" s="37">
        <v>45082</v>
      </c>
      <c r="E2155" s="38">
        <v>740.07</v>
      </c>
      <c r="F2155" s="39">
        <v>205</v>
      </c>
    </row>
    <row r="2156" spans="1:6" x14ac:dyDescent="0.3">
      <c r="A2156" s="30" t="s">
        <v>45</v>
      </c>
      <c r="B2156" s="31" t="s">
        <v>10</v>
      </c>
      <c r="C2156" s="31" t="s">
        <v>38</v>
      </c>
      <c r="D2156" s="31" t="s">
        <v>229</v>
      </c>
      <c r="E2156" s="33">
        <v>4591.1099999999997</v>
      </c>
      <c r="F2156" s="34">
        <v>11</v>
      </c>
    </row>
    <row r="2157" spans="1:6" x14ac:dyDescent="0.3">
      <c r="A2157" s="35" t="s">
        <v>9</v>
      </c>
      <c r="B2157" s="36" t="s">
        <v>15</v>
      </c>
      <c r="C2157" s="36" t="s">
        <v>8</v>
      </c>
      <c r="D2157" s="36" t="s">
        <v>167</v>
      </c>
      <c r="E2157" s="38">
        <v>2686.51</v>
      </c>
      <c r="F2157" s="39">
        <v>324</v>
      </c>
    </row>
    <row r="2158" spans="1:6" x14ac:dyDescent="0.3">
      <c r="A2158" s="30" t="s">
        <v>58</v>
      </c>
      <c r="B2158" s="31" t="s">
        <v>32</v>
      </c>
      <c r="C2158" s="31" t="s">
        <v>100</v>
      </c>
      <c r="D2158" s="31" t="s">
        <v>234</v>
      </c>
      <c r="E2158" s="33">
        <v>735.48</v>
      </c>
      <c r="F2158" s="34">
        <v>77</v>
      </c>
    </row>
    <row r="2159" spans="1:6" x14ac:dyDescent="0.3">
      <c r="A2159" s="35" t="s">
        <v>67</v>
      </c>
      <c r="B2159" s="36" t="s">
        <v>35</v>
      </c>
      <c r="C2159" s="36" t="s">
        <v>13</v>
      </c>
      <c r="D2159" s="36" t="s">
        <v>171</v>
      </c>
      <c r="E2159" s="38">
        <v>1160.54</v>
      </c>
      <c r="F2159" s="39">
        <v>311</v>
      </c>
    </row>
    <row r="2160" spans="1:6" x14ac:dyDescent="0.3">
      <c r="A2160" s="30" t="s">
        <v>12</v>
      </c>
      <c r="B2160" s="31" t="s">
        <v>32</v>
      </c>
      <c r="C2160" s="31" t="s">
        <v>100</v>
      </c>
      <c r="D2160" s="31" t="s">
        <v>225</v>
      </c>
      <c r="E2160" s="33">
        <v>8078.15</v>
      </c>
      <c r="F2160" s="34">
        <v>189</v>
      </c>
    </row>
    <row r="2161" spans="1:6" x14ac:dyDescent="0.3">
      <c r="A2161" s="35" t="s">
        <v>29</v>
      </c>
      <c r="B2161" s="36" t="s">
        <v>15</v>
      </c>
      <c r="C2161" s="36" t="s">
        <v>59</v>
      </c>
      <c r="D2161" s="36" t="s">
        <v>251</v>
      </c>
      <c r="E2161" s="38">
        <v>7467.74</v>
      </c>
      <c r="F2161" s="39">
        <v>111</v>
      </c>
    </row>
    <row r="2162" spans="1:6" x14ac:dyDescent="0.3">
      <c r="A2162" s="30" t="s">
        <v>45</v>
      </c>
      <c r="B2162" s="31" t="s">
        <v>35</v>
      </c>
      <c r="C2162" s="31" t="s">
        <v>38</v>
      </c>
      <c r="D2162" s="31" t="s">
        <v>247</v>
      </c>
      <c r="E2162" s="33">
        <v>7588.41</v>
      </c>
      <c r="F2162" s="34">
        <v>342</v>
      </c>
    </row>
    <row r="2163" spans="1:6" x14ac:dyDescent="0.3">
      <c r="A2163" s="35" t="s">
        <v>71</v>
      </c>
      <c r="B2163" s="36" t="s">
        <v>25</v>
      </c>
      <c r="C2163" s="36" t="s">
        <v>11</v>
      </c>
      <c r="D2163" s="37">
        <v>45146</v>
      </c>
      <c r="E2163" s="38">
        <v>15372.54</v>
      </c>
      <c r="F2163" s="39">
        <v>57</v>
      </c>
    </row>
    <row r="2164" spans="1:6" x14ac:dyDescent="0.3">
      <c r="A2164" s="30" t="s">
        <v>77</v>
      </c>
      <c r="B2164" s="31" t="s">
        <v>35</v>
      </c>
      <c r="C2164" s="31" t="s">
        <v>46</v>
      </c>
      <c r="D2164" s="31" t="s">
        <v>254</v>
      </c>
      <c r="E2164" s="33">
        <v>3907.5</v>
      </c>
      <c r="F2164" s="34">
        <v>86</v>
      </c>
    </row>
    <row r="2165" spans="1:6" x14ac:dyDescent="0.3">
      <c r="A2165" s="35" t="s">
        <v>77</v>
      </c>
      <c r="B2165" s="36" t="s">
        <v>15</v>
      </c>
      <c r="C2165" s="36" t="s">
        <v>100</v>
      </c>
      <c r="D2165" s="36" t="s">
        <v>184</v>
      </c>
      <c r="E2165" s="38">
        <v>3740.76</v>
      </c>
      <c r="F2165" s="39">
        <v>255</v>
      </c>
    </row>
    <row r="2166" spans="1:6" x14ac:dyDescent="0.3">
      <c r="A2166" s="30" t="s">
        <v>19</v>
      </c>
      <c r="B2166" s="31" t="s">
        <v>35</v>
      </c>
      <c r="C2166" s="31" t="s">
        <v>36</v>
      </c>
      <c r="D2166" s="31" t="s">
        <v>183</v>
      </c>
      <c r="E2166" s="33">
        <v>6211.75</v>
      </c>
      <c r="F2166" s="34">
        <v>561</v>
      </c>
    </row>
    <row r="2167" spans="1:6" x14ac:dyDescent="0.3">
      <c r="A2167" s="35" t="s">
        <v>58</v>
      </c>
      <c r="B2167" s="36" t="s">
        <v>35</v>
      </c>
      <c r="C2167" s="36" t="s">
        <v>38</v>
      </c>
      <c r="D2167" s="37">
        <v>45200</v>
      </c>
      <c r="E2167" s="38">
        <v>2924.46</v>
      </c>
      <c r="F2167" s="39">
        <v>25</v>
      </c>
    </row>
    <row r="2168" spans="1:6" x14ac:dyDescent="0.3">
      <c r="A2168" s="30" t="s">
        <v>34</v>
      </c>
      <c r="B2168" s="31" t="s">
        <v>25</v>
      </c>
      <c r="C2168" s="31" t="s">
        <v>23</v>
      </c>
      <c r="D2168" s="32">
        <v>45021</v>
      </c>
      <c r="E2168" s="33">
        <v>501.79</v>
      </c>
      <c r="F2168" s="34">
        <v>241</v>
      </c>
    </row>
    <row r="2169" spans="1:6" x14ac:dyDescent="0.3">
      <c r="A2169" s="35" t="s">
        <v>45</v>
      </c>
      <c r="B2169" s="36" t="s">
        <v>35</v>
      </c>
      <c r="C2169" s="36" t="s">
        <v>59</v>
      </c>
      <c r="D2169" s="37">
        <v>45050</v>
      </c>
      <c r="E2169" s="38">
        <v>6594.09</v>
      </c>
      <c r="F2169" s="39">
        <v>270</v>
      </c>
    </row>
    <row r="2170" spans="1:6" x14ac:dyDescent="0.3">
      <c r="A2170" s="30" t="s">
        <v>67</v>
      </c>
      <c r="B2170" s="31" t="s">
        <v>10</v>
      </c>
      <c r="C2170" s="31" t="s">
        <v>23</v>
      </c>
      <c r="D2170" s="31" t="s">
        <v>255</v>
      </c>
      <c r="E2170" s="33">
        <v>960.68</v>
      </c>
      <c r="F2170" s="34">
        <v>71</v>
      </c>
    </row>
    <row r="2171" spans="1:6" x14ac:dyDescent="0.3">
      <c r="A2171" s="35" t="s">
        <v>45</v>
      </c>
      <c r="B2171" s="36" t="s">
        <v>10</v>
      </c>
      <c r="C2171" s="36" t="s">
        <v>50</v>
      </c>
      <c r="D2171" s="36" t="s">
        <v>242</v>
      </c>
      <c r="E2171" s="38">
        <v>11370.32</v>
      </c>
      <c r="F2171" s="39">
        <v>170</v>
      </c>
    </row>
    <row r="2172" spans="1:6" x14ac:dyDescent="0.3">
      <c r="A2172" s="30" t="s">
        <v>79</v>
      </c>
      <c r="B2172" s="31" t="s">
        <v>15</v>
      </c>
      <c r="C2172" s="31" t="s">
        <v>59</v>
      </c>
      <c r="D2172" s="32">
        <v>45053</v>
      </c>
      <c r="E2172" s="33">
        <v>6067.94</v>
      </c>
      <c r="F2172" s="34">
        <v>94</v>
      </c>
    </row>
    <row r="2173" spans="1:6" x14ac:dyDescent="0.3">
      <c r="A2173" s="35" t="s">
        <v>19</v>
      </c>
      <c r="B2173" s="36" t="s">
        <v>35</v>
      </c>
      <c r="C2173" s="36" t="s">
        <v>33</v>
      </c>
      <c r="D2173" s="36" t="s">
        <v>162</v>
      </c>
      <c r="E2173" s="38">
        <v>8909.75</v>
      </c>
      <c r="F2173" s="39">
        <v>355</v>
      </c>
    </row>
    <row r="2174" spans="1:6" x14ac:dyDescent="0.3">
      <c r="A2174" s="30" t="s">
        <v>55</v>
      </c>
      <c r="B2174" s="31" t="s">
        <v>35</v>
      </c>
      <c r="C2174" s="31" t="s">
        <v>65</v>
      </c>
      <c r="D2174" s="32">
        <v>45268</v>
      </c>
      <c r="E2174" s="33">
        <v>6865.35</v>
      </c>
      <c r="F2174" s="34">
        <v>75</v>
      </c>
    </row>
    <row r="2175" spans="1:6" x14ac:dyDescent="0.3">
      <c r="A2175" s="35" t="s">
        <v>14</v>
      </c>
      <c r="B2175" s="36" t="s">
        <v>7</v>
      </c>
      <c r="C2175" s="36" t="s">
        <v>87</v>
      </c>
      <c r="D2175" s="37">
        <v>45233</v>
      </c>
      <c r="E2175" s="38">
        <v>805.23</v>
      </c>
      <c r="F2175" s="39">
        <v>259</v>
      </c>
    </row>
    <row r="2176" spans="1:6" x14ac:dyDescent="0.3">
      <c r="A2176" s="30" t="s">
        <v>6</v>
      </c>
      <c r="B2176" s="31" t="s">
        <v>7</v>
      </c>
      <c r="C2176" s="31" t="s">
        <v>57</v>
      </c>
      <c r="D2176" s="31" t="s">
        <v>233</v>
      </c>
      <c r="E2176" s="33">
        <v>9851.6200000000008</v>
      </c>
      <c r="F2176" s="34">
        <v>221</v>
      </c>
    </row>
    <row r="2177" spans="1:6" x14ac:dyDescent="0.3">
      <c r="A2177" s="35" t="s">
        <v>58</v>
      </c>
      <c r="B2177" s="36" t="s">
        <v>32</v>
      </c>
      <c r="C2177" s="36" t="s">
        <v>18</v>
      </c>
      <c r="D2177" s="37">
        <v>45265</v>
      </c>
      <c r="E2177" s="38">
        <v>11823.35</v>
      </c>
      <c r="F2177" s="39">
        <v>90</v>
      </c>
    </row>
    <row r="2178" spans="1:6" x14ac:dyDescent="0.3">
      <c r="A2178" s="30" t="s">
        <v>28</v>
      </c>
      <c r="B2178" s="31" t="s">
        <v>32</v>
      </c>
      <c r="C2178" s="31" t="s">
        <v>73</v>
      </c>
      <c r="D2178" s="32">
        <v>45261</v>
      </c>
      <c r="E2178" s="33">
        <v>683.63</v>
      </c>
      <c r="F2178" s="34">
        <v>202</v>
      </c>
    </row>
    <row r="2179" spans="1:6" x14ac:dyDescent="0.3">
      <c r="A2179" s="35" t="s">
        <v>77</v>
      </c>
      <c r="B2179" s="36" t="s">
        <v>25</v>
      </c>
      <c r="C2179" s="36" t="s">
        <v>46</v>
      </c>
      <c r="D2179" s="36" t="s">
        <v>221</v>
      </c>
      <c r="E2179" s="38">
        <v>14002.42</v>
      </c>
      <c r="F2179" s="39">
        <v>388</v>
      </c>
    </row>
    <row r="2180" spans="1:6" x14ac:dyDescent="0.3">
      <c r="A2180" s="30" t="s">
        <v>45</v>
      </c>
      <c r="B2180" s="31" t="s">
        <v>10</v>
      </c>
      <c r="C2180" s="31" t="s">
        <v>26</v>
      </c>
      <c r="D2180" s="31" t="s">
        <v>175</v>
      </c>
      <c r="E2180" s="33">
        <v>8744.9500000000007</v>
      </c>
      <c r="F2180" s="34">
        <v>12</v>
      </c>
    </row>
    <row r="2181" spans="1:6" x14ac:dyDescent="0.3">
      <c r="A2181" s="35" t="s">
        <v>31</v>
      </c>
      <c r="B2181" s="36" t="s">
        <v>25</v>
      </c>
      <c r="C2181" s="36" t="s">
        <v>20</v>
      </c>
      <c r="D2181" s="36" t="s">
        <v>178</v>
      </c>
      <c r="E2181" s="38">
        <v>9294.14</v>
      </c>
      <c r="F2181" s="39">
        <v>201</v>
      </c>
    </row>
    <row r="2182" spans="1:6" x14ac:dyDescent="0.3">
      <c r="A2182" s="30" t="s">
        <v>58</v>
      </c>
      <c r="B2182" s="31" t="s">
        <v>35</v>
      </c>
      <c r="C2182" s="31" t="s">
        <v>42</v>
      </c>
      <c r="D2182" s="31" t="s">
        <v>210</v>
      </c>
      <c r="E2182" s="33">
        <v>8831.89</v>
      </c>
      <c r="F2182" s="34">
        <v>79</v>
      </c>
    </row>
    <row r="2183" spans="1:6" x14ac:dyDescent="0.3">
      <c r="A2183" s="35" t="s">
        <v>41</v>
      </c>
      <c r="B2183" s="36" t="s">
        <v>10</v>
      </c>
      <c r="C2183" s="36" t="s">
        <v>65</v>
      </c>
      <c r="D2183" s="36" t="s">
        <v>178</v>
      </c>
      <c r="E2183" s="38">
        <v>3474.98</v>
      </c>
      <c r="F2183" s="39">
        <v>104</v>
      </c>
    </row>
    <row r="2184" spans="1:6" x14ac:dyDescent="0.3">
      <c r="A2184" s="30" t="s">
        <v>28</v>
      </c>
      <c r="B2184" s="31" t="s">
        <v>15</v>
      </c>
      <c r="C2184" s="31" t="s">
        <v>13</v>
      </c>
      <c r="D2184" s="31" t="s">
        <v>240</v>
      </c>
      <c r="E2184" s="33">
        <v>311.61</v>
      </c>
      <c r="F2184" s="34">
        <v>204</v>
      </c>
    </row>
    <row r="2185" spans="1:6" x14ac:dyDescent="0.3">
      <c r="A2185" s="35" t="s">
        <v>37</v>
      </c>
      <c r="B2185" s="36" t="s">
        <v>15</v>
      </c>
      <c r="C2185" s="36" t="s">
        <v>50</v>
      </c>
      <c r="D2185" s="36" t="s">
        <v>247</v>
      </c>
      <c r="E2185" s="38">
        <v>4791.2</v>
      </c>
      <c r="F2185" s="39">
        <v>335</v>
      </c>
    </row>
    <row r="2186" spans="1:6" x14ac:dyDescent="0.3">
      <c r="A2186" s="30" t="s">
        <v>6</v>
      </c>
      <c r="B2186" s="31" t="s">
        <v>32</v>
      </c>
      <c r="C2186" s="31" t="s">
        <v>59</v>
      </c>
      <c r="D2186" s="32">
        <v>45113</v>
      </c>
      <c r="E2186" s="33">
        <v>6646.33</v>
      </c>
      <c r="F2186" s="34">
        <v>117</v>
      </c>
    </row>
    <row r="2187" spans="1:6" x14ac:dyDescent="0.3">
      <c r="A2187" s="35" t="s">
        <v>83</v>
      </c>
      <c r="B2187" s="36" t="s">
        <v>35</v>
      </c>
      <c r="C2187" s="36" t="s">
        <v>42</v>
      </c>
      <c r="D2187" s="36" t="s">
        <v>204</v>
      </c>
      <c r="E2187" s="38">
        <v>593.63</v>
      </c>
      <c r="F2187" s="39">
        <v>229</v>
      </c>
    </row>
    <row r="2188" spans="1:6" x14ac:dyDescent="0.3">
      <c r="A2188" s="30" t="s">
        <v>79</v>
      </c>
      <c r="B2188" s="31" t="s">
        <v>10</v>
      </c>
      <c r="C2188" s="31" t="s">
        <v>36</v>
      </c>
      <c r="D2188" s="31" t="s">
        <v>168</v>
      </c>
      <c r="E2188" s="33">
        <v>2345.9499999999998</v>
      </c>
      <c r="F2188" s="34">
        <v>406</v>
      </c>
    </row>
    <row r="2189" spans="1:6" x14ac:dyDescent="0.3">
      <c r="A2189" s="35" t="s">
        <v>37</v>
      </c>
      <c r="B2189" s="36" t="s">
        <v>10</v>
      </c>
      <c r="C2189" s="36" t="s">
        <v>100</v>
      </c>
      <c r="D2189" s="36" t="s">
        <v>239</v>
      </c>
      <c r="E2189" s="38">
        <v>5083.07</v>
      </c>
      <c r="F2189" s="39">
        <v>368</v>
      </c>
    </row>
    <row r="2190" spans="1:6" x14ac:dyDescent="0.3">
      <c r="A2190" s="30" t="s">
        <v>6</v>
      </c>
      <c r="B2190" s="31" t="s">
        <v>7</v>
      </c>
      <c r="C2190" s="31" t="s">
        <v>8</v>
      </c>
      <c r="D2190" s="32">
        <v>45383</v>
      </c>
      <c r="E2190" s="33">
        <v>6339.57</v>
      </c>
      <c r="F2190" s="34">
        <v>187</v>
      </c>
    </row>
    <row r="2191" spans="1:6" x14ac:dyDescent="0.3">
      <c r="A2191" s="35" t="s">
        <v>9</v>
      </c>
      <c r="B2191" s="36" t="s">
        <v>10</v>
      </c>
      <c r="C2191" s="36" t="s">
        <v>11</v>
      </c>
      <c r="D2191" s="37">
        <v>45299</v>
      </c>
      <c r="E2191" s="38">
        <v>9005.8700000000008</v>
      </c>
      <c r="F2191" s="39">
        <v>90</v>
      </c>
    </row>
    <row r="2192" spans="1:6" x14ac:dyDescent="0.3">
      <c r="A2192" s="30" t="s">
        <v>12</v>
      </c>
      <c r="B2192" s="31" t="s">
        <v>10</v>
      </c>
      <c r="C2192" s="31" t="s">
        <v>13</v>
      </c>
      <c r="D2192" s="32">
        <v>45480</v>
      </c>
      <c r="E2192" s="33">
        <v>5159.07</v>
      </c>
      <c r="F2192" s="34">
        <v>87</v>
      </c>
    </row>
    <row r="2193" spans="1:6" x14ac:dyDescent="0.3">
      <c r="A2193" s="35" t="s">
        <v>14</v>
      </c>
      <c r="B2193" s="36" t="s">
        <v>15</v>
      </c>
      <c r="C2193" s="36" t="s">
        <v>13</v>
      </c>
      <c r="D2193" s="36" t="s">
        <v>265</v>
      </c>
      <c r="E2193" s="38">
        <v>13370.97</v>
      </c>
      <c r="F2193" s="39">
        <v>349</v>
      </c>
    </row>
    <row r="2194" spans="1:6" x14ac:dyDescent="0.3">
      <c r="A2194" s="30" t="s">
        <v>6</v>
      </c>
      <c r="B2194" s="31" t="s">
        <v>7</v>
      </c>
      <c r="C2194" s="31" t="s">
        <v>13</v>
      </c>
      <c r="D2194" s="31" t="s">
        <v>266</v>
      </c>
      <c r="E2194" s="33">
        <v>14791.64</v>
      </c>
      <c r="F2194" s="34">
        <v>182</v>
      </c>
    </row>
    <row r="2195" spans="1:6" x14ac:dyDescent="0.3">
      <c r="A2195" s="35" t="s">
        <v>9</v>
      </c>
      <c r="B2195" s="36" t="s">
        <v>10</v>
      </c>
      <c r="C2195" s="36" t="s">
        <v>18</v>
      </c>
      <c r="D2195" s="37">
        <v>45449</v>
      </c>
      <c r="E2195" s="38">
        <v>6429.35</v>
      </c>
      <c r="F2195" s="39">
        <v>40</v>
      </c>
    </row>
    <row r="2196" spans="1:6" x14ac:dyDescent="0.3">
      <c r="A2196" s="30" t="s">
        <v>19</v>
      </c>
      <c r="B2196" s="31" t="s">
        <v>7</v>
      </c>
      <c r="C2196" s="31" t="s">
        <v>20</v>
      </c>
      <c r="D2196" s="31" t="s">
        <v>267</v>
      </c>
      <c r="E2196" s="33">
        <v>15900.6</v>
      </c>
      <c r="F2196" s="34">
        <v>188</v>
      </c>
    </row>
    <row r="2197" spans="1:6" x14ac:dyDescent="0.3">
      <c r="A2197" s="35" t="s">
        <v>22</v>
      </c>
      <c r="B2197" s="36" t="s">
        <v>15</v>
      </c>
      <c r="C2197" s="36" t="s">
        <v>23</v>
      </c>
      <c r="D2197" s="36" t="s">
        <v>268</v>
      </c>
      <c r="E2197" s="38">
        <v>3400.26</v>
      </c>
      <c r="F2197" s="39">
        <v>77</v>
      </c>
    </row>
    <row r="2198" spans="1:6" x14ac:dyDescent="0.3">
      <c r="A2198" s="30" t="s">
        <v>6</v>
      </c>
      <c r="B2198" s="31" t="s">
        <v>25</v>
      </c>
      <c r="C2198" s="31" t="s">
        <v>26</v>
      </c>
      <c r="D2198" s="31" t="s">
        <v>269</v>
      </c>
      <c r="E2198" s="33">
        <v>4357.76</v>
      </c>
      <c r="F2198" s="34">
        <v>63</v>
      </c>
    </row>
    <row r="2199" spans="1:6" x14ac:dyDescent="0.3">
      <c r="A2199" s="35" t="s">
        <v>28</v>
      </c>
      <c r="B2199" s="36" t="s">
        <v>15</v>
      </c>
      <c r="C2199" s="36" t="s">
        <v>20</v>
      </c>
      <c r="D2199" s="37">
        <v>45389</v>
      </c>
      <c r="E2199" s="38">
        <v>3356.17</v>
      </c>
      <c r="F2199" s="39">
        <v>111</v>
      </c>
    </row>
    <row r="2200" spans="1:6" x14ac:dyDescent="0.3">
      <c r="A2200" s="30" t="s">
        <v>29</v>
      </c>
      <c r="B2200" s="31" t="s">
        <v>7</v>
      </c>
      <c r="C2200" s="31" t="s">
        <v>18</v>
      </c>
      <c r="D2200" s="31" t="s">
        <v>270</v>
      </c>
      <c r="E2200" s="33">
        <v>5287.86</v>
      </c>
      <c r="F2200" s="34">
        <v>67</v>
      </c>
    </row>
    <row r="2201" spans="1:6" x14ac:dyDescent="0.3">
      <c r="A2201" s="35" t="s">
        <v>31</v>
      </c>
      <c r="B2201" s="36" t="s">
        <v>32</v>
      </c>
      <c r="C2201" s="36" t="s">
        <v>33</v>
      </c>
      <c r="D2201" s="37">
        <v>45568</v>
      </c>
      <c r="E2201" s="38">
        <v>4244.3599999999997</v>
      </c>
      <c r="F2201" s="39">
        <v>11</v>
      </c>
    </row>
    <row r="2202" spans="1:6" x14ac:dyDescent="0.3">
      <c r="A2202" s="30" t="s">
        <v>34</v>
      </c>
      <c r="B2202" s="31" t="s">
        <v>35</v>
      </c>
      <c r="C2202" s="31" t="s">
        <v>36</v>
      </c>
      <c r="D2202" s="31" t="s">
        <v>270</v>
      </c>
      <c r="E2202" s="33">
        <v>1671.64</v>
      </c>
      <c r="F2202" s="34">
        <v>277</v>
      </c>
    </row>
    <row r="2203" spans="1:6" x14ac:dyDescent="0.3">
      <c r="A2203" s="35" t="s">
        <v>37</v>
      </c>
      <c r="B2203" s="36" t="s">
        <v>25</v>
      </c>
      <c r="C2203" s="36" t="s">
        <v>38</v>
      </c>
      <c r="D2203" s="36" t="s">
        <v>271</v>
      </c>
      <c r="E2203" s="38">
        <v>181.84</v>
      </c>
      <c r="F2203" s="39">
        <v>167</v>
      </c>
    </row>
    <row r="2204" spans="1:6" x14ac:dyDescent="0.3">
      <c r="A2204" s="30" t="s">
        <v>40</v>
      </c>
      <c r="B2204" s="31" t="s">
        <v>25</v>
      </c>
      <c r="C2204" s="31" t="s">
        <v>13</v>
      </c>
      <c r="D2204" s="32">
        <v>45359</v>
      </c>
      <c r="E2204" s="33">
        <v>8950.59</v>
      </c>
      <c r="F2204" s="34">
        <v>189</v>
      </c>
    </row>
    <row r="2205" spans="1:6" x14ac:dyDescent="0.3">
      <c r="A2205" s="35" t="s">
        <v>41</v>
      </c>
      <c r="B2205" s="36" t="s">
        <v>15</v>
      </c>
      <c r="C2205" s="36" t="s">
        <v>42</v>
      </c>
      <c r="D2205" s="36" t="s">
        <v>272</v>
      </c>
      <c r="E2205" s="38">
        <v>7271.76</v>
      </c>
      <c r="F2205" s="39">
        <v>385</v>
      </c>
    </row>
    <row r="2206" spans="1:6" x14ac:dyDescent="0.3">
      <c r="A2206" s="30" t="s">
        <v>9</v>
      </c>
      <c r="B2206" s="31" t="s">
        <v>35</v>
      </c>
      <c r="C2206" s="31" t="s">
        <v>42</v>
      </c>
      <c r="D2206" s="31" t="s">
        <v>273</v>
      </c>
      <c r="E2206" s="33">
        <v>4864.83</v>
      </c>
      <c r="F2206" s="34">
        <v>42</v>
      </c>
    </row>
    <row r="2207" spans="1:6" x14ac:dyDescent="0.3">
      <c r="A2207" s="35" t="s">
        <v>45</v>
      </c>
      <c r="B2207" s="36" t="s">
        <v>32</v>
      </c>
      <c r="C2207" s="36" t="s">
        <v>18</v>
      </c>
      <c r="D2207" s="37">
        <v>45416</v>
      </c>
      <c r="E2207" s="38">
        <v>3175.11</v>
      </c>
      <c r="F2207" s="39">
        <v>149</v>
      </c>
    </row>
    <row r="2208" spans="1:6" x14ac:dyDescent="0.3">
      <c r="A2208" s="30" t="s">
        <v>41</v>
      </c>
      <c r="B2208" s="31" t="s">
        <v>35</v>
      </c>
      <c r="C2208" s="31" t="s">
        <v>46</v>
      </c>
      <c r="D2208" s="31" t="s">
        <v>274</v>
      </c>
      <c r="E2208" s="33">
        <v>10137.790000000001</v>
      </c>
      <c r="F2208" s="34">
        <v>250</v>
      </c>
    </row>
    <row r="2209" spans="1:6" x14ac:dyDescent="0.3">
      <c r="A2209" s="35" t="s">
        <v>48</v>
      </c>
      <c r="B2209" s="36" t="s">
        <v>7</v>
      </c>
      <c r="C2209" s="36" t="s">
        <v>11</v>
      </c>
      <c r="D2209" s="37">
        <v>45510</v>
      </c>
      <c r="E2209" s="38">
        <v>1206.95</v>
      </c>
      <c r="F2209" s="39">
        <v>174</v>
      </c>
    </row>
    <row r="2210" spans="1:6" x14ac:dyDescent="0.3">
      <c r="A2210" s="30" t="s">
        <v>28</v>
      </c>
      <c r="B2210" s="31" t="s">
        <v>15</v>
      </c>
      <c r="C2210" s="31" t="s">
        <v>36</v>
      </c>
      <c r="D2210" s="31" t="s">
        <v>275</v>
      </c>
      <c r="E2210" s="33">
        <v>8222.65</v>
      </c>
      <c r="F2210" s="34">
        <v>92</v>
      </c>
    </row>
    <row r="2211" spans="1:6" x14ac:dyDescent="0.3">
      <c r="A2211" s="35" t="s">
        <v>22</v>
      </c>
      <c r="B2211" s="36" t="s">
        <v>32</v>
      </c>
      <c r="C2211" s="36" t="s">
        <v>50</v>
      </c>
      <c r="D2211" s="36" t="s">
        <v>276</v>
      </c>
      <c r="E2211" s="38">
        <v>1440.85</v>
      </c>
      <c r="F2211" s="39">
        <v>152</v>
      </c>
    </row>
    <row r="2212" spans="1:6" x14ac:dyDescent="0.3">
      <c r="A2212" s="30" t="s">
        <v>40</v>
      </c>
      <c r="B2212" s="31" t="s">
        <v>32</v>
      </c>
      <c r="C2212" s="31" t="s">
        <v>23</v>
      </c>
      <c r="D2212" s="31" t="s">
        <v>277</v>
      </c>
      <c r="E2212" s="33">
        <v>5611.65</v>
      </c>
      <c r="F2212" s="34">
        <v>159</v>
      </c>
    </row>
    <row r="2213" spans="1:6" x14ac:dyDescent="0.3">
      <c r="A2213" s="35" t="s">
        <v>53</v>
      </c>
      <c r="B2213" s="36" t="s">
        <v>7</v>
      </c>
      <c r="C2213" s="36" t="s">
        <v>38</v>
      </c>
      <c r="D2213" s="36" t="s">
        <v>278</v>
      </c>
      <c r="E2213" s="38">
        <v>3562.44</v>
      </c>
      <c r="F2213" s="39">
        <v>111</v>
      </c>
    </row>
    <row r="2214" spans="1:6" x14ac:dyDescent="0.3">
      <c r="A2214" s="30" t="s">
        <v>55</v>
      </c>
      <c r="B2214" s="31" t="s">
        <v>15</v>
      </c>
      <c r="C2214" s="31" t="s">
        <v>36</v>
      </c>
      <c r="D2214" s="31" t="s">
        <v>279</v>
      </c>
      <c r="E2214" s="33">
        <v>8385.26</v>
      </c>
      <c r="F2214" s="34">
        <v>122</v>
      </c>
    </row>
    <row r="2215" spans="1:6" x14ac:dyDescent="0.3">
      <c r="A2215" s="35" t="s">
        <v>37</v>
      </c>
      <c r="B2215" s="36" t="s">
        <v>10</v>
      </c>
      <c r="C2215" s="36" t="s">
        <v>57</v>
      </c>
      <c r="D2215" s="36" t="s">
        <v>272</v>
      </c>
      <c r="E2215" s="38">
        <v>181.31</v>
      </c>
      <c r="F2215" s="39">
        <v>330</v>
      </c>
    </row>
    <row r="2216" spans="1:6" x14ac:dyDescent="0.3">
      <c r="A2216" s="30" t="s">
        <v>45</v>
      </c>
      <c r="B2216" s="31" t="s">
        <v>35</v>
      </c>
      <c r="C2216" s="31" t="s">
        <v>50</v>
      </c>
      <c r="D2216" s="32">
        <v>45537</v>
      </c>
      <c r="E2216" s="33">
        <v>1800.27</v>
      </c>
      <c r="F2216" s="34">
        <v>191</v>
      </c>
    </row>
    <row r="2217" spans="1:6" x14ac:dyDescent="0.3">
      <c r="A2217" s="35" t="s">
        <v>53</v>
      </c>
      <c r="B2217" s="36" t="s">
        <v>32</v>
      </c>
      <c r="C2217" s="36" t="s">
        <v>36</v>
      </c>
      <c r="D2217" s="37">
        <v>45480</v>
      </c>
      <c r="E2217" s="38">
        <v>4449.37</v>
      </c>
      <c r="F2217" s="39">
        <v>113</v>
      </c>
    </row>
    <row r="2218" spans="1:6" x14ac:dyDescent="0.3">
      <c r="A2218" s="30" t="s">
        <v>58</v>
      </c>
      <c r="B2218" s="31" t="s">
        <v>25</v>
      </c>
      <c r="C2218" s="31" t="s">
        <v>59</v>
      </c>
      <c r="D2218" s="32">
        <v>45419</v>
      </c>
      <c r="E2218" s="33">
        <v>10113.4</v>
      </c>
      <c r="F2218" s="34">
        <v>155</v>
      </c>
    </row>
    <row r="2219" spans="1:6" x14ac:dyDescent="0.3">
      <c r="A2219" s="35" t="s">
        <v>58</v>
      </c>
      <c r="B2219" s="36" t="s">
        <v>25</v>
      </c>
      <c r="C2219" s="36" t="s">
        <v>60</v>
      </c>
      <c r="D2219" s="36" t="s">
        <v>280</v>
      </c>
      <c r="E2219" s="38">
        <v>5932.84</v>
      </c>
      <c r="F2219" s="39">
        <v>303</v>
      </c>
    </row>
    <row r="2220" spans="1:6" x14ac:dyDescent="0.3">
      <c r="A2220" s="30" t="s">
        <v>9</v>
      </c>
      <c r="B2220" s="31" t="s">
        <v>25</v>
      </c>
      <c r="C2220" s="31" t="s">
        <v>11</v>
      </c>
      <c r="D2220" s="31" t="s">
        <v>281</v>
      </c>
      <c r="E2220" s="33">
        <v>2006.71</v>
      </c>
      <c r="F2220" s="34">
        <v>124</v>
      </c>
    </row>
    <row r="2221" spans="1:6" x14ac:dyDescent="0.3">
      <c r="A2221" s="35" t="s">
        <v>29</v>
      </c>
      <c r="B2221" s="36" t="s">
        <v>7</v>
      </c>
      <c r="C2221" s="36" t="s">
        <v>20</v>
      </c>
      <c r="D2221" s="36" t="s">
        <v>282</v>
      </c>
      <c r="E2221" s="38">
        <v>14086.69</v>
      </c>
      <c r="F2221" s="39">
        <v>157</v>
      </c>
    </row>
    <row r="2222" spans="1:6" x14ac:dyDescent="0.3">
      <c r="A2222" s="30" t="s">
        <v>64</v>
      </c>
      <c r="B2222" s="31" t="s">
        <v>15</v>
      </c>
      <c r="C2222" s="31" t="s">
        <v>60</v>
      </c>
      <c r="D2222" s="32">
        <v>45601</v>
      </c>
      <c r="E2222" s="33">
        <v>4799.54</v>
      </c>
      <c r="F2222" s="34">
        <v>90</v>
      </c>
    </row>
    <row r="2223" spans="1:6" x14ac:dyDescent="0.3">
      <c r="A2223" s="35" t="s">
        <v>37</v>
      </c>
      <c r="B2223" s="36" t="s">
        <v>7</v>
      </c>
      <c r="C2223" s="36" t="s">
        <v>65</v>
      </c>
      <c r="D2223" s="36" t="s">
        <v>283</v>
      </c>
      <c r="E2223" s="38">
        <v>8101.98</v>
      </c>
      <c r="F2223" s="39">
        <v>138</v>
      </c>
    </row>
    <row r="2224" spans="1:6" x14ac:dyDescent="0.3">
      <c r="A2224" s="30" t="s">
        <v>67</v>
      </c>
      <c r="B2224" s="31" t="s">
        <v>35</v>
      </c>
      <c r="C2224" s="31" t="s">
        <v>23</v>
      </c>
      <c r="D2224" s="32">
        <v>45601</v>
      </c>
      <c r="E2224" s="33">
        <v>2321.9699999999998</v>
      </c>
      <c r="F2224" s="34">
        <v>71</v>
      </c>
    </row>
    <row r="2225" spans="1:6" x14ac:dyDescent="0.3">
      <c r="A2225" s="35" t="s">
        <v>45</v>
      </c>
      <c r="B2225" s="36" t="s">
        <v>32</v>
      </c>
      <c r="C2225" s="36" t="s">
        <v>60</v>
      </c>
      <c r="D2225" s="36" t="s">
        <v>284</v>
      </c>
      <c r="E2225" s="38">
        <v>10245</v>
      </c>
      <c r="F2225" s="39">
        <v>329</v>
      </c>
    </row>
    <row r="2226" spans="1:6" x14ac:dyDescent="0.3">
      <c r="A2226" s="30" t="s">
        <v>67</v>
      </c>
      <c r="B2226" s="31" t="s">
        <v>7</v>
      </c>
      <c r="C2226" s="31" t="s">
        <v>26</v>
      </c>
      <c r="D2226" s="31" t="s">
        <v>285</v>
      </c>
      <c r="E2226" s="33">
        <v>2930.4</v>
      </c>
      <c r="F2226" s="34">
        <v>344</v>
      </c>
    </row>
    <row r="2227" spans="1:6" x14ac:dyDescent="0.3">
      <c r="A2227" s="35" t="s">
        <v>70</v>
      </c>
      <c r="B2227" s="36" t="s">
        <v>25</v>
      </c>
      <c r="C2227" s="36" t="s">
        <v>23</v>
      </c>
      <c r="D2227" s="37">
        <v>45480</v>
      </c>
      <c r="E2227" s="38">
        <v>170.24</v>
      </c>
      <c r="F2227" s="39">
        <v>75</v>
      </c>
    </row>
    <row r="2228" spans="1:6" x14ac:dyDescent="0.3">
      <c r="A2228" s="30" t="s">
        <v>71</v>
      </c>
      <c r="B2228" s="31" t="s">
        <v>15</v>
      </c>
      <c r="C2228" s="31" t="s">
        <v>11</v>
      </c>
      <c r="D2228" s="31" t="s">
        <v>286</v>
      </c>
      <c r="E2228" s="33">
        <v>4247.49</v>
      </c>
      <c r="F2228" s="34">
        <v>14</v>
      </c>
    </row>
    <row r="2229" spans="1:6" x14ac:dyDescent="0.3">
      <c r="A2229" s="35" t="s">
        <v>37</v>
      </c>
      <c r="B2229" s="36" t="s">
        <v>10</v>
      </c>
      <c r="C2229" s="36" t="s">
        <v>60</v>
      </c>
      <c r="D2229" s="37">
        <v>45389</v>
      </c>
      <c r="E2229" s="38">
        <v>2696.1</v>
      </c>
      <c r="F2229" s="39">
        <v>605</v>
      </c>
    </row>
    <row r="2230" spans="1:6" x14ac:dyDescent="0.3">
      <c r="A2230" s="30" t="s">
        <v>70</v>
      </c>
      <c r="B2230" s="31" t="s">
        <v>32</v>
      </c>
      <c r="C2230" s="31" t="s">
        <v>23</v>
      </c>
      <c r="D2230" s="32">
        <v>45328</v>
      </c>
      <c r="E2230" s="33">
        <v>1083.76</v>
      </c>
      <c r="F2230" s="34">
        <v>16</v>
      </c>
    </row>
    <row r="2231" spans="1:6" x14ac:dyDescent="0.3">
      <c r="A2231" s="35" t="s">
        <v>37</v>
      </c>
      <c r="B2231" s="36" t="s">
        <v>32</v>
      </c>
      <c r="C2231" s="36" t="s">
        <v>73</v>
      </c>
      <c r="D2231" s="36" t="s">
        <v>287</v>
      </c>
      <c r="E2231" s="38">
        <v>17037.09</v>
      </c>
      <c r="F2231" s="39">
        <v>347</v>
      </c>
    </row>
    <row r="2232" spans="1:6" x14ac:dyDescent="0.3">
      <c r="A2232" s="30" t="s">
        <v>34</v>
      </c>
      <c r="B2232" s="31" t="s">
        <v>35</v>
      </c>
      <c r="C2232" s="31" t="s">
        <v>75</v>
      </c>
      <c r="D2232" s="32">
        <v>45603</v>
      </c>
      <c r="E2232" s="33">
        <v>5706.43</v>
      </c>
      <c r="F2232" s="34">
        <v>247</v>
      </c>
    </row>
    <row r="2233" spans="1:6" x14ac:dyDescent="0.3">
      <c r="A2233" s="35" t="s">
        <v>67</v>
      </c>
      <c r="B2233" s="36" t="s">
        <v>10</v>
      </c>
      <c r="C2233" s="36" t="s">
        <v>50</v>
      </c>
      <c r="D2233" s="36" t="s">
        <v>288</v>
      </c>
      <c r="E2233" s="38">
        <v>6682.34</v>
      </c>
      <c r="F2233" s="39">
        <v>139</v>
      </c>
    </row>
    <row r="2234" spans="1:6" x14ac:dyDescent="0.3">
      <c r="A2234" s="30" t="s">
        <v>77</v>
      </c>
      <c r="B2234" s="31" t="s">
        <v>35</v>
      </c>
      <c r="C2234" s="31" t="s">
        <v>65</v>
      </c>
      <c r="D2234" s="31" t="s">
        <v>289</v>
      </c>
      <c r="E2234" s="33">
        <v>8192.6</v>
      </c>
      <c r="F2234" s="34">
        <v>100</v>
      </c>
    </row>
    <row r="2235" spans="1:6" x14ac:dyDescent="0.3">
      <c r="A2235" s="35" t="s">
        <v>55</v>
      </c>
      <c r="B2235" s="36" t="s">
        <v>32</v>
      </c>
      <c r="C2235" s="36" t="s">
        <v>13</v>
      </c>
      <c r="D2235" s="36" t="s">
        <v>274</v>
      </c>
      <c r="E2235" s="38">
        <v>7568.16</v>
      </c>
      <c r="F2235" s="39">
        <v>206</v>
      </c>
    </row>
    <row r="2236" spans="1:6" x14ac:dyDescent="0.3">
      <c r="A2236" s="30" t="s">
        <v>9</v>
      </c>
      <c r="B2236" s="31" t="s">
        <v>32</v>
      </c>
      <c r="C2236" s="31" t="s">
        <v>26</v>
      </c>
      <c r="D2236" s="31" t="s">
        <v>270</v>
      </c>
      <c r="E2236" s="33">
        <v>10772.33</v>
      </c>
      <c r="F2236" s="34">
        <v>156</v>
      </c>
    </row>
    <row r="2237" spans="1:6" x14ac:dyDescent="0.3">
      <c r="A2237" s="35" t="s">
        <v>48</v>
      </c>
      <c r="B2237" s="36" t="s">
        <v>15</v>
      </c>
      <c r="C2237" s="36" t="s">
        <v>46</v>
      </c>
      <c r="D2237" s="36" t="s">
        <v>273</v>
      </c>
      <c r="E2237" s="38">
        <v>7467.12</v>
      </c>
      <c r="F2237" s="39">
        <v>18</v>
      </c>
    </row>
    <row r="2238" spans="1:6" x14ac:dyDescent="0.3">
      <c r="A2238" s="30" t="s">
        <v>45</v>
      </c>
      <c r="B2238" s="31" t="s">
        <v>10</v>
      </c>
      <c r="C2238" s="31" t="s">
        <v>36</v>
      </c>
      <c r="D2238" s="32">
        <v>45571</v>
      </c>
      <c r="E2238" s="33">
        <v>4985.8999999999996</v>
      </c>
      <c r="F2238" s="34">
        <v>311</v>
      </c>
    </row>
    <row r="2239" spans="1:6" x14ac:dyDescent="0.3">
      <c r="A2239" s="35" t="s">
        <v>48</v>
      </c>
      <c r="B2239" s="36" t="s">
        <v>10</v>
      </c>
      <c r="C2239" s="36" t="s">
        <v>57</v>
      </c>
      <c r="D2239" s="37">
        <v>45480</v>
      </c>
      <c r="E2239" s="38">
        <v>5693.6</v>
      </c>
      <c r="F2239" s="39">
        <v>177</v>
      </c>
    </row>
    <row r="2240" spans="1:6" x14ac:dyDescent="0.3">
      <c r="A2240" s="30" t="s">
        <v>48</v>
      </c>
      <c r="B2240" s="31" t="s">
        <v>35</v>
      </c>
      <c r="C2240" s="31" t="s">
        <v>65</v>
      </c>
      <c r="D2240" s="31" t="s">
        <v>268</v>
      </c>
      <c r="E2240" s="33">
        <v>5879.1</v>
      </c>
      <c r="F2240" s="34">
        <v>75</v>
      </c>
    </row>
    <row r="2241" spans="1:6" x14ac:dyDescent="0.3">
      <c r="A2241" s="35" t="s">
        <v>28</v>
      </c>
      <c r="B2241" s="36" t="s">
        <v>15</v>
      </c>
      <c r="C2241" s="36" t="s">
        <v>57</v>
      </c>
      <c r="D2241" s="37">
        <v>45449</v>
      </c>
      <c r="E2241" s="38">
        <v>9771.93</v>
      </c>
      <c r="F2241" s="39">
        <v>22</v>
      </c>
    </row>
    <row r="2242" spans="1:6" x14ac:dyDescent="0.3">
      <c r="A2242" s="30" t="s">
        <v>79</v>
      </c>
      <c r="B2242" s="31" t="s">
        <v>15</v>
      </c>
      <c r="C2242" s="31" t="s">
        <v>38</v>
      </c>
      <c r="D2242" s="31" t="s">
        <v>290</v>
      </c>
      <c r="E2242" s="33">
        <v>105.06</v>
      </c>
      <c r="F2242" s="34">
        <v>140</v>
      </c>
    </row>
    <row r="2243" spans="1:6" x14ac:dyDescent="0.3">
      <c r="A2243" s="35" t="s">
        <v>41</v>
      </c>
      <c r="B2243" s="36" t="s">
        <v>32</v>
      </c>
      <c r="C2243" s="36" t="s">
        <v>73</v>
      </c>
      <c r="D2243" s="36" t="s">
        <v>291</v>
      </c>
      <c r="E2243" s="38">
        <v>16414.689999999999</v>
      </c>
      <c r="F2243" s="39">
        <v>80</v>
      </c>
    </row>
    <row r="2244" spans="1:6" x14ac:dyDescent="0.3">
      <c r="A2244" s="30" t="s">
        <v>40</v>
      </c>
      <c r="B2244" s="31" t="s">
        <v>10</v>
      </c>
      <c r="C2244" s="31" t="s">
        <v>11</v>
      </c>
      <c r="D2244" s="31" t="s">
        <v>290</v>
      </c>
      <c r="E2244" s="33">
        <v>2553.41</v>
      </c>
      <c r="F2244" s="34">
        <v>183</v>
      </c>
    </row>
    <row r="2245" spans="1:6" x14ac:dyDescent="0.3">
      <c r="A2245" s="35" t="s">
        <v>6</v>
      </c>
      <c r="B2245" s="36" t="s">
        <v>35</v>
      </c>
      <c r="C2245" s="36" t="s">
        <v>38</v>
      </c>
      <c r="D2245" s="36" t="s">
        <v>292</v>
      </c>
      <c r="E2245" s="38">
        <v>473.99</v>
      </c>
      <c r="F2245" s="39">
        <v>25</v>
      </c>
    </row>
    <row r="2246" spans="1:6" x14ac:dyDescent="0.3">
      <c r="A2246" s="30" t="s">
        <v>83</v>
      </c>
      <c r="B2246" s="31" t="s">
        <v>25</v>
      </c>
      <c r="C2246" s="31" t="s">
        <v>50</v>
      </c>
      <c r="D2246" s="31" t="s">
        <v>273</v>
      </c>
      <c r="E2246" s="33">
        <v>3873.98</v>
      </c>
      <c r="F2246" s="34">
        <v>19</v>
      </c>
    </row>
    <row r="2247" spans="1:6" x14ac:dyDescent="0.3">
      <c r="A2247" s="35" t="s">
        <v>28</v>
      </c>
      <c r="B2247" s="36" t="s">
        <v>35</v>
      </c>
      <c r="C2247" s="36" t="s">
        <v>20</v>
      </c>
      <c r="D2247" s="36" t="s">
        <v>293</v>
      </c>
      <c r="E2247" s="38">
        <v>17718.25</v>
      </c>
      <c r="F2247" s="39">
        <v>430</v>
      </c>
    </row>
    <row r="2248" spans="1:6" x14ac:dyDescent="0.3">
      <c r="A2248" s="30" t="s">
        <v>31</v>
      </c>
      <c r="B2248" s="31" t="s">
        <v>15</v>
      </c>
      <c r="C2248" s="31" t="s">
        <v>57</v>
      </c>
      <c r="D2248" s="31" t="s">
        <v>283</v>
      </c>
      <c r="E2248" s="33">
        <v>16572.07</v>
      </c>
      <c r="F2248" s="34">
        <v>57</v>
      </c>
    </row>
    <row r="2249" spans="1:6" x14ac:dyDescent="0.3">
      <c r="A2249" s="35" t="s">
        <v>67</v>
      </c>
      <c r="B2249" s="36" t="s">
        <v>15</v>
      </c>
      <c r="C2249" s="36" t="s">
        <v>26</v>
      </c>
      <c r="D2249" s="37">
        <v>45328</v>
      </c>
      <c r="E2249" s="38">
        <v>5220.1899999999996</v>
      </c>
      <c r="F2249" s="39">
        <v>216</v>
      </c>
    </row>
    <row r="2250" spans="1:6" x14ac:dyDescent="0.3">
      <c r="A2250" s="30" t="s">
        <v>67</v>
      </c>
      <c r="B2250" s="31" t="s">
        <v>15</v>
      </c>
      <c r="C2250" s="31" t="s">
        <v>38</v>
      </c>
      <c r="D2250" s="31" t="s">
        <v>294</v>
      </c>
      <c r="E2250" s="33">
        <v>1797.26</v>
      </c>
      <c r="F2250" s="34">
        <v>49</v>
      </c>
    </row>
    <row r="2251" spans="1:6" x14ac:dyDescent="0.3">
      <c r="A2251" s="35" t="s">
        <v>40</v>
      </c>
      <c r="B2251" s="36" t="s">
        <v>15</v>
      </c>
      <c r="C2251" s="36" t="s">
        <v>42</v>
      </c>
      <c r="D2251" s="36" t="s">
        <v>295</v>
      </c>
      <c r="E2251" s="38">
        <v>295.62</v>
      </c>
      <c r="F2251" s="39">
        <v>182</v>
      </c>
    </row>
    <row r="2252" spans="1:6" x14ac:dyDescent="0.3">
      <c r="A2252" s="30" t="s">
        <v>70</v>
      </c>
      <c r="B2252" s="31" t="s">
        <v>35</v>
      </c>
      <c r="C2252" s="31" t="s">
        <v>87</v>
      </c>
      <c r="D2252" s="31" t="s">
        <v>296</v>
      </c>
      <c r="E2252" s="33">
        <v>3597.37</v>
      </c>
      <c r="F2252" s="34">
        <v>288</v>
      </c>
    </row>
    <row r="2253" spans="1:6" x14ac:dyDescent="0.3">
      <c r="A2253" s="35" t="s">
        <v>37</v>
      </c>
      <c r="B2253" s="36" t="s">
        <v>10</v>
      </c>
      <c r="C2253" s="36" t="s">
        <v>65</v>
      </c>
      <c r="D2253" s="37">
        <v>45450</v>
      </c>
      <c r="E2253" s="38">
        <v>6580.43</v>
      </c>
      <c r="F2253" s="39">
        <v>147</v>
      </c>
    </row>
    <row r="2254" spans="1:6" x14ac:dyDescent="0.3">
      <c r="A2254" s="30" t="s">
        <v>19</v>
      </c>
      <c r="B2254" s="31" t="s">
        <v>10</v>
      </c>
      <c r="C2254" s="31" t="s">
        <v>20</v>
      </c>
      <c r="D2254" s="31" t="s">
        <v>297</v>
      </c>
      <c r="E2254" s="33">
        <v>12232.97</v>
      </c>
      <c r="F2254" s="34">
        <v>11</v>
      </c>
    </row>
    <row r="2255" spans="1:6" x14ac:dyDescent="0.3">
      <c r="A2255" s="35" t="s">
        <v>64</v>
      </c>
      <c r="B2255" s="36" t="s">
        <v>15</v>
      </c>
      <c r="C2255" s="36" t="s">
        <v>90</v>
      </c>
      <c r="D2255" s="36" t="s">
        <v>298</v>
      </c>
      <c r="E2255" s="38">
        <v>2243.44</v>
      </c>
      <c r="F2255" s="39">
        <v>11</v>
      </c>
    </row>
    <row r="2256" spans="1:6" x14ac:dyDescent="0.3">
      <c r="A2256" s="30" t="s">
        <v>9</v>
      </c>
      <c r="B2256" s="31" t="s">
        <v>15</v>
      </c>
      <c r="C2256" s="31" t="s">
        <v>42</v>
      </c>
      <c r="D2256" s="32">
        <v>45573</v>
      </c>
      <c r="E2256" s="33">
        <v>22943.37</v>
      </c>
      <c r="F2256" s="34">
        <v>14</v>
      </c>
    </row>
    <row r="2257" spans="1:6" x14ac:dyDescent="0.3">
      <c r="A2257" s="35" t="s">
        <v>71</v>
      </c>
      <c r="B2257" s="36" t="s">
        <v>10</v>
      </c>
      <c r="C2257" s="36" t="s">
        <v>26</v>
      </c>
      <c r="D2257" s="37">
        <v>45389</v>
      </c>
      <c r="E2257" s="38">
        <v>10590.61</v>
      </c>
      <c r="F2257" s="39">
        <v>430</v>
      </c>
    </row>
    <row r="2258" spans="1:6" x14ac:dyDescent="0.3">
      <c r="A2258" s="30" t="s">
        <v>19</v>
      </c>
      <c r="B2258" s="31" t="s">
        <v>10</v>
      </c>
      <c r="C2258" s="31" t="s">
        <v>42</v>
      </c>
      <c r="D2258" s="32">
        <v>45511</v>
      </c>
      <c r="E2258" s="33">
        <v>6468.82</v>
      </c>
      <c r="F2258" s="34">
        <v>59</v>
      </c>
    </row>
    <row r="2259" spans="1:6" x14ac:dyDescent="0.3">
      <c r="A2259" s="35" t="s">
        <v>14</v>
      </c>
      <c r="B2259" s="36" t="s">
        <v>32</v>
      </c>
      <c r="C2259" s="36" t="s">
        <v>13</v>
      </c>
      <c r="D2259" s="36" t="s">
        <v>284</v>
      </c>
      <c r="E2259" s="38">
        <v>10463.57</v>
      </c>
      <c r="F2259" s="39">
        <v>109</v>
      </c>
    </row>
    <row r="2260" spans="1:6" x14ac:dyDescent="0.3">
      <c r="A2260" s="30" t="s">
        <v>12</v>
      </c>
      <c r="B2260" s="31" t="s">
        <v>32</v>
      </c>
      <c r="C2260" s="31" t="s">
        <v>75</v>
      </c>
      <c r="D2260" s="32">
        <v>45325</v>
      </c>
      <c r="E2260" s="33">
        <v>14154.35</v>
      </c>
      <c r="F2260" s="34">
        <v>105</v>
      </c>
    </row>
    <row r="2261" spans="1:6" x14ac:dyDescent="0.3">
      <c r="A2261" s="35" t="s">
        <v>12</v>
      </c>
      <c r="B2261" s="36" t="s">
        <v>7</v>
      </c>
      <c r="C2261" s="36" t="s">
        <v>65</v>
      </c>
      <c r="D2261" s="37">
        <v>45566</v>
      </c>
      <c r="E2261" s="38">
        <v>6031.14</v>
      </c>
      <c r="F2261" s="39">
        <v>9</v>
      </c>
    </row>
    <row r="2262" spans="1:6" x14ac:dyDescent="0.3">
      <c r="A2262" s="30" t="s">
        <v>6</v>
      </c>
      <c r="B2262" s="31" t="s">
        <v>25</v>
      </c>
      <c r="C2262" s="31" t="s">
        <v>59</v>
      </c>
      <c r="D2262" s="32">
        <v>45599</v>
      </c>
      <c r="E2262" s="33">
        <v>3308.4</v>
      </c>
      <c r="F2262" s="34">
        <v>258</v>
      </c>
    </row>
    <row r="2263" spans="1:6" x14ac:dyDescent="0.3">
      <c r="A2263" s="35" t="s">
        <v>67</v>
      </c>
      <c r="B2263" s="36" t="s">
        <v>25</v>
      </c>
      <c r="C2263" s="36" t="s">
        <v>13</v>
      </c>
      <c r="D2263" s="36" t="s">
        <v>299</v>
      </c>
      <c r="E2263" s="38">
        <v>1119.94</v>
      </c>
      <c r="F2263" s="39">
        <v>283</v>
      </c>
    </row>
    <row r="2264" spans="1:6" x14ac:dyDescent="0.3">
      <c r="A2264" s="30" t="s">
        <v>9</v>
      </c>
      <c r="B2264" s="31" t="s">
        <v>7</v>
      </c>
      <c r="C2264" s="31" t="s">
        <v>42</v>
      </c>
      <c r="D2264" s="31" t="s">
        <v>300</v>
      </c>
      <c r="E2264" s="33">
        <v>2303.39</v>
      </c>
      <c r="F2264" s="34">
        <v>222</v>
      </c>
    </row>
    <row r="2265" spans="1:6" x14ac:dyDescent="0.3">
      <c r="A2265" s="35" t="s">
        <v>45</v>
      </c>
      <c r="B2265" s="36" t="s">
        <v>35</v>
      </c>
      <c r="C2265" s="36" t="s">
        <v>46</v>
      </c>
      <c r="D2265" s="36" t="s">
        <v>301</v>
      </c>
      <c r="E2265" s="38">
        <v>723.37</v>
      </c>
      <c r="F2265" s="39">
        <v>33</v>
      </c>
    </row>
    <row r="2266" spans="1:6" x14ac:dyDescent="0.3">
      <c r="A2266" s="30" t="s">
        <v>71</v>
      </c>
      <c r="B2266" s="31" t="s">
        <v>32</v>
      </c>
      <c r="C2266" s="31" t="s">
        <v>50</v>
      </c>
      <c r="D2266" s="32">
        <v>45598</v>
      </c>
      <c r="E2266" s="33">
        <v>1413.64</v>
      </c>
      <c r="F2266" s="34">
        <v>261</v>
      </c>
    </row>
    <row r="2267" spans="1:6" x14ac:dyDescent="0.3">
      <c r="A2267" s="35" t="s">
        <v>40</v>
      </c>
      <c r="B2267" s="36" t="s">
        <v>32</v>
      </c>
      <c r="C2267" s="36" t="s">
        <v>33</v>
      </c>
      <c r="D2267" s="36" t="s">
        <v>302</v>
      </c>
      <c r="E2267" s="38">
        <v>9001.89</v>
      </c>
      <c r="F2267" s="39">
        <v>193</v>
      </c>
    </row>
    <row r="2268" spans="1:6" x14ac:dyDescent="0.3">
      <c r="A2268" s="30" t="s">
        <v>9</v>
      </c>
      <c r="B2268" s="31" t="s">
        <v>7</v>
      </c>
      <c r="C2268" s="31" t="s">
        <v>20</v>
      </c>
      <c r="D2268" s="31" t="s">
        <v>303</v>
      </c>
      <c r="E2268" s="33">
        <v>5283.91</v>
      </c>
      <c r="F2268" s="34">
        <v>136</v>
      </c>
    </row>
    <row r="2269" spans="1:6" x14ac:dyDescent="0.3">
      <c r="A2269" s="35" t="s">
        <v>71</v>
      </c>
      <c r="B2269" s="36" t="s">
        <v>32</v>
      </c>
      <c r="C2269" s="36" t="s">
        <v>59</v>
      </c>
      <c r="D2269" s="36" t="s">
        <v>304</v>
      </c>
      <c r="E2269" s="38">
        <v>10958.51</v>
      </c>
      <c r="F2269" s="39">
        <v>23</v>
      </c>
    </row>
    <row r="2270" spans="1:6" x14ac:dyDescent="0.3">
      <c r="A2270" s="30" t="s">
        <v>67</v>
      </c>
      <c r="B2270" s="31" t="s">
        <v>32</v>
      </c>
      <c r="C2270" s="31" t="s">
        <v>73</v>
      </c>
      <c r="D2270" s="31" t="s">
        <v>283</v>
      </c>
      <c r="E2270" s="33">
        <v>15531.78</v>
      </c>
      <c r="F2270" s="34">
        <v>22</v>
      </c>
    </row>
    <row r="2271" spans="1:6" x14ac:dyDescent="0.3">
      <c r="A2271" s="35" t="s">
        <v>79</v>
      </c>
      <c r="B2271" s="36" t="s">
        <v>15</v>
      </c>
      <c r="C2271" s="36" t="s">
        <v>57</v>
      </c>
      <c r="D2271" s="36" t="s">
        <v>305</v>
      </c>
      <c r="E2271" s="38">
        <v>317.36</v>
      </c>
      <c r="F2271" s="39">
        <v>337</v>
      </c>
    </row>
    <row r="2272" spans="1:6" x14ac:dyDescent="0.3">
      <c r="A2272" s="30" t="s">
        <v>55</v>
      </c>
      <c r="B2272" s="31" t="s">
        <v>32</v>
      </c>
      <c r="C2272" s="31" t="s">
        <v>26</v>
      </c>
      <c r="D2272" s="40">
        <v>44628</v>
      </c>
      <c r="E2272" s="33">
        <v>70</v>
      </c>
      <c r="F2272" s="34">
        <v>27</v>
      </c>
    </row>
    <row r="2273" spans="1:6" x14ac:dyDescent="0.3">
      <c r="A2273" s="35" t="s">
        <v>45</v>
      </c>
      <c r="B2273" s="36" t="s">
        <v>25</v>
      </c>
      <c r="C2273" s="36" t="s">
        <v>23</v>
      </c>
      <c r="D2273" s="36" t="s">
        <v>306</v>
      </c>
      <c r="E2273" s="38">
        <v>9317.33</v>
      </c>
      <c r="F2273" s="39">
        <v>11</v>
      </c>
    </row>
    <row r="2274" spans="1:6" x14ac:dyDescent="0.3">
      <c r="A2274" s="30" t="s">
        <v>45</v>
      </c>
      <c r="B2274" s="31" t="s">
        <v>35</v>
      </c>
      <c r="C2274" s="31" t="s">
        <v>42</v>
      </c>
      <c r="D2274" s="32">
        <v>45566</v>
      </c>
      <c r="E2274" s="33">
        <v>4790.71</v>
      </c>
      <c r="F2274" s="34">
        <v>86</v>
      </c>
    </row>
    <row r="2275" spans="1:6" x14ac:dyDescent="0.3">
      <c r="A2275" s="35" t="s">
        <v>58</v>
      </c>
      <c r="B2275" s="36" t="s">
        <v>15</v>
      </c>
      <c r="C2275" s="36" t="s">
        <v>100</v>
      </c>
      <c r="D2275" s="37">
        <v>45475</v>
      </c>
      <c r="E2275" s="38">
        <v>6166.8</v>
      </c>
      <c r="F2275" s="39">
        <v>114</v>
      </c>
    </row>
    <row r="2276" spans="1:6" x14ac:dyDescent="0.3">
      <c r="A2276" s="30" t="s">
        <v>37</v>
      </c>
      <c r="B2276" s="31" t="s">
        <v>32</v>
      </c>
      <c r="C2276" s="31" t="s">
        <v>33</v>
      </c>
      <c r="D2276" s="32">
        <v>45631</v>
      </c>
      <c r="E2276" s="33">
        <v>11741.46</v>
      </c>
      <c r="F2276" s="34">
        <v>433</v>
      </c>
    </row>
    <row r="2277" spans="1:6" x14ac:dyDescent="0.3">
      <c r="A2277" s="35" t="s">
        <v>77</v>
      </c>
      <c r="B2277" s="36" t="s">
        <v>15</v>
      </c>
      <c r="C2277" s="36" t="s">
        <v>50</v>
      </c>
      <c r="D2277" s="37">
        <v>45476</v>
      </c>
      <c r="E2277" s="38">
        <v>8519.77</v>
      </c>
      <c r="F2277" s="39">
        <v>443</v>
      </c>
    </row>
    <row r="2278" spans="1:6" x14ac:dyDescent="0.3">
      <c r="A2278" s="30" t="s">
        <v>58</v>
      </c>
      <c r="B2278" s="31" t="s">
        <v>15</v>
      </c>
      <c r="C2278" s="31" t="s">
        <v>11</v>
      </c>
      <c r="D2278" s="32">
        <v>45416</v>
      </c>
      <c r="E2278" s="33">
        <v>8278.86</v>
      </c>
      <c r="F2278" s="34">
        <v>453</v>
      </c>
    </row>
    <row r="2279" spans="1:6" x14ac:dyDescent="0.3">
      <c r="A2279" s="35" t="s">
        <v>67</v>
      </c>
      <c r="B2279" s="36" t="s">
        <v>35</v>
      </c>
      <c r="C2279" s="36" t="s">
        <v>90</v>
      </c>
      <c r="D2279" s="37">
        <v>45352</v>
      </c>
      <c r="E2279" s="38">
        <v>7560.62</v>
      </c>
      <c r="F2279" s="39">
        <v>336</v>
      </c>
    </row>
    <row r="2280" spans="1:6" x14ac:dyDescent="0.3">
      <c r="A2280" s="30" t="s">
        <v>58</v>
      </c>
      <c r="B2280" s="31" t="s">
        <v>7</v>
      </c>
      <c r="C2280" s="31" t="s">
        <v>36</v>
      </c>
      <c r="D2280" s="31" t="s">
        <v>268</v>
      </c>
      <c r="E2280" s="33">
        <v>6702.11</v>
      </c>
      <c r="F2280" s="34">
        <v>285</v>
      </c>
    </row>
    <row r="2281" spans="1:6" x14ac:dyDescent="0.3">
      <c r="A2281" s="35" t="s">
        <v>77</v>
      </c>
      <c r="B2281" s="36" t="s">
        <v>10</v>
      </c>
      <c r="C2281" s="36" t="s">
        <v>73</v>
      </c>
      <c r="D2281" s="37">
        <v>45480</v>
      </c>
      <c r="E2281" s="38">
        <v>4758.6899999999996</v>
      </c>
      <c r="F2281" s="39">
        <v>10</v>
      </c>
    </row>
    <row r="2282" spans="1:6" x14ac:dyDescent="0.3">
      <c r="A2282" s="30" t="s">
        <v>9</v>
      </c>
      <c r="B2282" s="31" t="s">
        <v>32</v>
      </c>
      <c r="C2282" s="31" t="s">
        <v>23</v>
      </c>
      <c r="D2282" s="31" t="s">
        <v>307</v>
      </c>
      <c r="E2282" s="33">
        <v>709.25</v>
      </c>
      <c r="F2282" s="34">
        <v>263</v>
      </c>
    </row>
    <row r="2283" spans="1:6" x14ac:dyDescent="0.3">
      <c r="A2283" s="35" t="s">
        <v>64</v>
      </c>
      <c r="B2283" s="36" t="s">
        <v>15</v>
      </c>
      <c r="C2283" s="36" t="s">
        <v>42</v>
      </c>
      <c r="D2283" s="37">
        <v>45480</v>
      </c>
      <c r="E2283" s="38">
        <v>2003.05</v>
      </c>
      <c r="F2283" s="39">
        <v>110</v>
      </c>
    </row>
    <row r="2284" spans="1:6" x14ac:dyDescent="0.3">
      <c r="A2284" s="30" t="s">
        <v>37</v>
      </c>
      <c r="B2284" s="31" t="s">
        <v>35</v>
      </c>
      <c r="C2284" s="31" t="s">
        <v>26</v>
      </c>
      <c r="D2284" s="31" t="s">
        <v>292</v>
      </c>
      <c r="E2284" s="33">
        <v>3248</v>
      </c>
      <c r="F2284" s="34">
        <v>64</v>
      </c>
    </row>
    <row r="2285" spans="1:6" x14ac:dyDescent="0.3">
      <c r="A2285" s="35" t="s">
        <v>55</v>
      </c>
      <c r="B2285" s="36" t="s">
        <v>32</v>
      </c>
      <c r="C2285" s="36" t="s">
        <v>26</v>
      </c>
      <c r="D2285" s="41">
        <v>44993</v>
      </c>
      <c r="E2285" s="38">
        <v>70.599999999999994</v>
      </c>
      <c r="F2285" s="39">
        <v>27</v>
      </c>
    </row>
    <row r="2286" spans="1:6" x14ac:dyDescent="0.3">
      <c r="A2286" s="30" t="s">
        <v>41</v>
      </c>
      <c r="B2286" s="31" t="s">
        <v>15</v>
      </c>
      <c r="C2286" s="31" t="s">
        <v>36</v>
      </c>
      <c r="D2286" s="31" t="s">
        <v>299</v>
      </c>
      <c r="E2286" s="33">
        <v>2134.65</v>
      </c>
      <c r="F2286" s="34">
        <v>6</v>
      </c>
    </row>
    <row r="2287" spans="1:6" x14ac:dyDescent="0.3">
      <c r="A2287" s="35" t="s">
        <v>70</v>
      </c>
      <c r="B2287" s="36" t="s">
        <v>7</v>
      </c>
      <c r="C2287" s="36" t="s">
        <v>57</v>
      </c>
      <c r="D2287" s="36" t="s">
        <v>282</v>
      </c>
      <c r="E2287" s="38">
        <v>15540.41</v>
      </c>
      <c r="F2287" s="39">
        <v>520</v>
      </c>
    </row>
    <row r="2288" spans="1:6" x14ac:dyDescent="0.3">
      <c r="A2288" s="30" t="s">
        <v>40</v>
      </c>
      <c r="B2288" s="31" t="s">
        <v>32</v>
      </c>
      <c r="C2288" s="31" t="s">
        <v>26</v>
      </c>
      <c r="D2288" s="31" t="s">
        <v>280</v>
      </c>
      <c r="E2288" s="33">
        <v>1117.77</v>
      </c>
      <c r="F2288" s="34">
        <v>114</v>
      </c>
    </row>
    <row r="2289" spans="1:6" x14ac:dyDescent="0.3">
      <c r="A2289" s="35" t="s">
        <v>53</v>
      </c>
      <c r="B2289" s="36" t="s">
        <v>32</v>
      </c>
      <c r="C2289" s="36" t="s">
        <v>23</v>
      </c>
      <c r="D2289" s="37">
        <v>45508</v>
      </c>
      <c r="E2289" s="38">
        <v>13999.05</v>
      </c>
      <c r="F2289" s="39">
        <v>179</v>
      </c>
    </row>
    <row r="2290" spans="1:6" x14ac:dyDescent="0.3">
      <c r="A2290" s="30" t="s">
        <v>58</v>
      </c>
      <c r="B2290" s="31" t="s">
        <v>15</v>
      </c>
      <c r="C2290" s="31" t="s">
        <v>73</v>
      </c>
      <c r="D2290" s="31" t="s">
        <v>278</v>
      </c>
      <c r="E2290" s="33">
        <v>6265.59</v>
      </c>
      <c r="F2290" s="34">
        <v>31</v>
      </c>
    </row>
    <row r="2291" spans="1:6" x14ac:dyDescent="0.3">
      <c r="A2291" s="35" t="s">
        <v>67</v>
      </c>
      <c r="B2291" s="36" t="s">
        <v>32</v>
      </c>
      <c r="C2291" s="36" t="s">
        <v>57</v>
      </c>
      <c r="D2291" s="36" t="s">
        <v>292</v>
      </c>
      <c r="E2291" s="38">
        <v>1536.82</v>
      </c>
      <c r="F2291" s="39">
        <v>386</v>
      </c>
    </row>
    <row r="2292" spans="1:6" x14ac:dyDescent="0.3">
      <c r="A2292" s="30" t="s">
        <v>70</v>
      </c>
      <c r="B2292" s="31" t="s">
        <v>10</v>
      </c>
      <c r="C2292" s="31" t="s">
        <v>36</v>
      </c>
      <c r="D2292" s="31" t="s">
        <v>291</v>
      </c>
      <c r="E2292" s="33">
        <v>6069.93</v>
      </c>
      <c r="F2292" s="34">
        <v>80</v>
      </c>
    </row>
    <row r="2293" spans="1:6" x14ac:dyDescent="0.3">
      <c r="A2293" s="35" t="s">
        <v>40</v>
      </c>
      <c r="B2293" s="36" t="s">
        <v>32</v>
      </c>
      <c r="C2293" s="36" t="s">
        <v>20</v>
      </c>
      <c r="D2293" s="36" t="s">
        <v>308</v>
      </c>
      <c r="E2293" s="38">
        <v>4861.33</v>
      </c>
      <c r="F2293" s="39">
        <v>286</v>
      </c>
    </row>
    <row r="2294" spans="1:6" x14ac:dyDescent="0.3">
      <c r="A2294" s="30" t="s">
        <v>28</v>
      </c>
      <c r="B2294" s="31" t="s">
        <v>35</v>
      </c>
      <c r="C2294" s="31" t="s">
        <v>50</v>
      </c>
      <c r="D2294" s="32">
        <v>45385</v>
      </c>
      <c r="E2294" s="33">
        <v>8993.24</v>
      </c>
      <c r="F2294" s="34">
        <v>97</v>
      </c>
    </row>
    <row r="2295" spans="1:6" x14ac:dyDescent="0.3">
      <c r="A2295" s="35" t="s">
        <v>37</v>
      </c>
      <c r="B2295" s="36" t="s">
        <v>25</v>
      </c>
      <c r="C2295" s="36" t="s">
        <v>100</v>
      </c>
      <c r="D2295" s="37">
        <v>45330</v>
      </c>
      <c r="E2295" s="38">
        <v>150.41999999999999</v>
      </c>
      <c r="F2295" s="39">
        <v>40</v>
      </c>
    </row>
    <row r="2296" spans="1:6" x14ac:dyDescent="0.3">
      <c r="A2296" s="30" t="s">
        <v>53</v>
      </c>
      <c r="B2296" s="31" t="s">
        <v>7</v>
      </c>
      <c r="C2296" s="31" t="s">
        <v>50</v>
      </c>
      <c r="D2296" s="31" t="s">
        <v>309</v>
      </c>
      <c r="E2296" s="33">
        <v>5593.68</v>
      </c>
      <c r="F2296" s="34">
        <v>41</v>
      </c>
    </row>
    <row r="2297" spans="1:6" x14ac:dyDescent="0.3">
      <c r="A2297" s="35" t="s">
        <v>40</v>
      </c>
      <c r="B2297" s="36" t="s">
        <v>32</v>
      </c>
      <c r="C2297" s="36" t="s">
        <v>65</v>
      </c>
      <c r="D2297" s="36" t="s">
        <v>310</v>
      </c>
      <c r="E2297" s="38">
        <v>9376.61</v>
      </c>
      <c r="F2297" s="39">
        <v>167</v>
      </c>
    </row>
    <row r="2298" spans="1:6" x14ac:dyDescent="0.3">
      <c r="A2298" s="30" t="s">
        <v>70</v>
      </c>
      <c r="B2298" s="31" t="s">
        <v>10</v>
      </c>
      <c r="C2298" s="31" t="s">
        <v>33</v>
      </c>
      <c r="D2298" s="32">
        <v>45479</v>
      </c>
      <c r="E2298" s="33">
        <v>11315.16</v>
      </c>
      <c r="F2298" s="34">
        <v>134</v>
      </c>
    </row>
    <row r="2299" spans="1:6" x14ac:dyDescent="0.3">
      <c r="A2299" s="35" t="s">
        <v>14</v>
      </c>
      <c r="B2299" s="36" t="s">
        <v>10</v>
      </c>
      <c r="C2299" s="36" t="s">
        <v>50</v>
      </c>
      <c r="D2299" s="37">
        <v>45630</v>
      </c>
      <c r="E2299" s="38">
        <v>2048.34</v>
      </c>
      <c r="F2299" s="39">
        <v>506</v>
      </c>
    </row>
    <row r="2300" spans="1:6" x14ac:dyDescent="0.3">
      <c r="A2300" s="30" t="s">
        <v>83</v>
      </c>
      <c r="B2300" s="31" t="s">
        <v>10</v>
      </c>
      <c r="C2300" s="31" t="s">
        <v>50</v>
      </c>
      <c r="D2300" s="32">
        <v>45450</v>
      </c>
      <c r="E2300" s="33">
        <v>12562.81</v>
      </c>
      <c r="F2300" s="34">
        <v>101</v>
      </c>
    </row>
    <row r="2301" spans="1:6" x14ac:dyDescent="0.3">
      <c r="A2301" s="35" t="s">
        <v>70</v>
      </c>
      <c r="B2301" s="36" t="s">
        <v>7</v>
      </c>
      <c r="C2301" s="36" t="s">
        <v>18</v>
      </c>
      <c r="D2301" s="36" t="s">
        <v>311</v>
      </c>
      <c r="E2301" s="38">
        <v>6883.75</v>
      </c>
      <c r="F2301" s="39">
        <v>182</v>
      </c>
    </row>
    <row r="2302" spans="1:6" x14ac:dyDescent="0.3">
      <c r="A2302" s="30" t="s">
        <v>77</v>
      </c>
      <c r="B2302" s="31" t="s">
        <v>15</v>
      </c>
      <c r="C2302" s="31" t="s">
        <v>57</v>
      </c>
      <c r="D2302" s="32">
        <v>45413</v>
      </c>
      <c r="E2302" s="33">
        <v>6105.6</v>
      </c>
      <c r="F2302" s="34">
        <v>90</v>
      </c>
    </row>
    <row r="2303" spans="1:6" x14ac:dyDescent="0.3">
      <c r="A2303" s="35" t="s">
        <v>77</v>
      </c>
      <c r="B2303" s="36" t="s">
        <v>35</v>
      </c>
      <c r="C2303" s="36" t="s">
        <v>100</v>
      </c>
      <c r="D2303" s="36" t="s">
        <v>312</v>
      </c>
      <c r="E2303" s="38">
        <v>12634.72</v>
      </c>
      <c r="F2303" s="39">
        <v>145</v>
      </c>
    </row>
    <row r="2304" spans="1:6" x14ac:dyDescent="0.3">
      <c r="A2304" s="30" t="s">
        <v>64</v>
      </c>
      <c r="B2304" s="31" t="s">
        <v>15</v>
      </c>
      <c r="C2304" s="31" t="s">
        <v>38</v>
      </c>
      <c r="D2304" s="32">
        <v>45447</v>
      </c>
      <c r="E2304" s="33">
        <v>663.74</v>
      </c>
      <c r="F2304" s="34">
        <v>285</v>
      </c>
    </row>
    <row r="2305" spans="1:6" x14ac:dyDescent="0.3">
      <c r="A2305" s="35" t="s">
        <v>22</v>
      </c>
      <c r="B2305" s="36" t="s">
        <v>15</v>
      </c>
      <c r="C2305" s="36" t="s">
        <v>57</v>
      </c>
      <c r="D2305" s="36" t="s">
        <v>280</v>
      </c>
      <c r="E2305" s="38">
        <v>7044.68</v>
      </c>
      <c r="F2305" s="39">
        <v>21</v>
      </c>
    </row>
    <row r="2306" spans="1:6" x14ac:dyDescent="0.3">
      <c r="A2306" s="30" t="s">
        <v>12</v>
      </c>
      <c r="B2306" s="31" t="s">
        <v>35</v>
      </c>
      <c r="C2306" s="31" t="s">
        <v>87</v>
      </c>
      <c r="D2306" s="31" t="s">
        <v>313</v>
      </c>
      <c r="E2306" s="33">
        <v>1804.9</v>
      </c>
      <c r="F2306" s="34">
        <v>47</v>
      </c>
    </row>
    <row r="2307" spans="1:6" x14ac:dyDescent="0.3">
      <c r="A2307" s="35" t="s">
        <v>70</v>
      </c>
      <c r="B2307" s="36" t="s">
        <v>10</v>
      </c>
      <c r="C2307" s="36" t="s">
        <v>90</v>
      </c>
      <c r="D2307" s="36" t="s">
        <v>314</v>
      </c>
      <c r="E2307" s="38">
        <v>513.42999999999995</v>
      </c>
      <c r="F2307" s="39">
        <v>131</v>
      </c>
    </row>
    <row r="2308" spans="1:6" x14ac:dyDescent="0.3">
      <c r="A2308" s="30" t="s">
        <v>29</v>
      </c>
      <c r="B2308" s="31" t="s">
        <v>15</v>
      </c>
      <c r="C2308" s="31" t="s">
        <v>38</v>
      </c>
      <c r="D2308" s="31" t="s">
        <v>315</v>
      </c>
      <c r="E2308" s="33">
        <v>13699.76</v>
      </c>
      <c r="F2308" s="34">
        <v>389</v>
      </c>
    </row>
    <row r="2309" spans="1:6" x14ac:dyDescent="0.3">
      <c r="A2309" s="35" t="s">
        <v>70</v>
      </c>
      <c r="B2309" s="36" t="s">
        <v>32</v>
      </c>
      <c r="C2309" s="36" t="s">
        <v>60</v>
      </c>
      <c r="D2309" s="36" t="s">
        <v>274</v>
      </c>
      <c r="E2309" s="38">
        <v>19995.68</v>
      </c>
      <c r="F2309" s="39">
        <v>94</v>
      </c>
    </row>
    <row r="2310" spans="1:6" x14ac:dyDescent="0.3">
      <c r="A2310" s="30" t="s">
        <v>6</v>
      </c>
      <c r="B2310" s="31" t="s">
        <v>35</v>
      </c>
      <c r="C2310" s="31" t="s">
        <v>50</v>
      </c>
      <c r="D2310" s="31" t="s">
        <v>270</v>
      </c>
      <c r="E2310" s="33">
        <v>2189.6999999999998</v>
      </c>
      <c r="F2310" s="34">
        <v>29</v>
      </c>
    </row>
    <row r="2311" spans="1:6" x14ac:dyDescent="0.3">
      <c r="A2311" s="35" t="s">
        <v>70</v>
      </c>
      <c r="B2311" s="36" t="s">
        <v>15</v>
      </c>
      <c r="C2311" s="36" t="s">
        <v>36</v>
      </c>
      <c r="D2311" s="36" t="s">
        <v>316</v>
      </c>
      <c r="E2311" s="38">
        <v>8727.09</v>
      </c>
      <c r="F2311" s="39">
        <v>523</v>
      </c>
    </row>
    <row r="2312" spans="1:6" x14ac:dyDescent="0.3">
      <c r="A2312" s="30" t="s">
        <v>48</v>
      </c>
      <c r="B2312" s="31" t="s">
        <v>35</v>
      </c>
      <c r="C2312" s="31" t="s">
        <v>50</v>
      </c>
      <c r="D2312" s="31" t="s">
        <v>317</v>
      </c>
      <c r="E2312" s="33">
        <v>911.46</v>
      </c>
      <c r="F2312" s="34">
        <v>126</v>
      </c>
    </row>
    <row r="2313" spans="1:6" x14ac:dyDescent="0.3">
      <c r="A2313" s="35" t="s">
        <v>19</v>
      </c>
      <c r="B2313" s="36" t="s">
        <v>10</v>
      </c>
      <c r="C2313" s="36" t="s">
        <v>73</v>
      </c>
      <c r="D2313" s="36" t="s">
        <v>298</v>
      </c>
      <c r="E2313" s="38">
        <v>7620.86</v>
      </c>
      <c r="F2313" s="39">
        <v>46</v>
      </c>
    </row>
    <row r="2314" spans="1:6" x14ac:dyDescent="0.3">
      <c r="A2314" s="30" t="s">
        <v>70</v>
      </c>
      <c r="B2314" s="31" t="s">
        <v>7</v>
      </c>
      <c r="C2314" s="31" t="s">
        <v>36</v>
      </c>
      <c r="D2314" s="31" t="s">
        <v>267</v>
      </c>
      <c r="E2314" s="33">
        <v>5054.5600000000004</v>
      </c>
      <c r="F2314" s="34">
        <v>60</v>
      </c>
    </row>
    <row r="2315" spans="1:6" x14ac:dyDescent="0.3">
      <c r="A2315" s="35" t="s">
        <v>14</v>
      </c>
      <c r="B2315" s="36" t="s">
        <v>10</v>
      </c>
      <c r="C2315" s="36" t="s">
        <v>65</v>
      </c>
      <c r="D2315" s="37">
        <v>45599</v>
      </c>
      <c r="E2315" s="38">
        <v>5230.5</v>
      </c>
      <c r="F2315" s="39">
        <v>23</v>
      </c>
    </row>
    <row r="2316" spans="1:6" x14ac:dyDescent="0.3">
      <c r="A2316" s="30" t="s">
        <v>79</v>
      </c>
      <c r="B2316" s="31" t="s">
        <v>7</v>
      </c>
      <c r="C2316" s="31" t="s">
        <v>65</v>
      </c>
      <c r="D2316" s="31" t="s">
        <v>271</v>
      </c>
      <c r="E2316" s="33">
        <v>17104.04</v>
      </c>
      <c r="F2316" s="34">
        <v>103</v>
      </c>
    </row>
    <row r="2317" spans="1:6" x14ac:dyDescent="0.3">
      <c r="A2317" s="35" t="s">
        <v>40</v>
      </c>
      <c r="B2317" s="36" t="s">
        <v>25</v>
      </c>
      <c r="C2317" s="36" t="s">
        <v>23</v>
      </c>
      <c r="D2317" s="37">
        <v>45538</v>
      </c>
      <c r="E2317" s="38">
        <v>1642.32</v>
      </c>
      <c r="F2317" s="39">
        <v>43</v>
      </c>
    </row>
    <row r="2318" spans="1:6" x14ac:dyDescent="0.3">
      <c r="A2318" s="30" t="s">
        <v>53</v>
      </c>
      <c r="B2318" s="31" t="s">
        <v>15</v>
      </c>
      <c r="C2318" s="31" t="s">
        <v>33</v>
      </c>
      <c r="D2318" s="31" t="s">
        <v>294</v>
      </c>
      <c r="E2318" s="33">
        <v>10322.19</v>
      </c>
      <c r="F2318" s="34">
        <v>182</v>
      </c>
    </row>
    <row r="2319" spans="1:6" x14ac:dyDescent="0.3">
      <c r="A2319" s="35" t="s">
        <v>40</v>
      </c>
      <c r="B2319" s="36" t="s">
        <v>15</v>
      </c>
      <c r="C2319" s="36" t="s">
        <v>46</v>
      </c>
      <c r="D2319" s="36" t="s">
        <v>271</v>
      </c>
      <c r="E2319" s="38">
        <v>2715.92</v>
      </c>
      <c r="F2319" s="39">
        <v>423</v>
      </c>
    </row>
    <row r="2320" spans="1:6" x14ac:dyDescent="0.3">
      <c r="A2320" s="30" t="s">
        <v>70</v>
      </c>
      <c r="B2320" s="31" t="s">
        <v>35</v>
      </c>
      <c r="C2320" s="31" t="s">
        <v>20</v>
      </c>
      <c r="D2320" s="31" t="s">
        <v>318</v>
      </c>
      <c r="E2320" s="33">
        <v>5598.05</v>
      </c>
      <c r="F2320" s="34">
        <v>51</v>
      </c>
    </row>
    <row r="2321" spans="1:6" x14ac:dyDescent="0.3">
      <c r="A2321" s="35" t="s">
        <v>55</v>
      </c>
      <c r="B2321" s="36" t="s">
        <v>15</v>
      </c>
      <c r="C2321" s="36" t="s">
        <v>60</v>
      </c>
      <c r="D2321" s="37">
        <v>45627</v>
      </c>
      <c r="E2321" s="38">
        <v>2996.99</v>
      </c>
      <c r="F2321" s="39">
        <v>280</v>
      </c>
    </row>
    <row r="2322" spans="1:6" x14ac:dyDescent="0.3">
      <c r="A2322" s="30" t="s">
        <v>41</v>
      </c>
      <c r="B2322" s="31" t="s">
        <v>25</v>
      </c>
      <c r="C2322" s="31" t="s">
        <v>59</v>
      </c>
      <c r="D2322" s="31" t="s">
        <v>268</v>
      </c>
      <c r="E2322" s="33">
        <v>7946.49</v>
      </c>
      <c r="F2322" s="34">
        <v>7</v>
      </c>
    </row>
    <row r="2323" spans="1:6" x14ac:dyDescent="0.3">
      <c r="A2323" s="35" t="s">
        <v>9</v>
      </c>
      <c r="B2323" s="36" t="s">
        <v>7</v>
      </c>
      <c r="C2323" s="36" t="s">
        <v>46</v>
      </c>
      <c r="D2323" s="36" t="s">
        <v>319</v>
      </c>
      <c r="E2323" s="38">
        <v>4991.22</v>
      </c>
      <c r="F2323" s="39">
        <v>92</v>
      </c>
    </row>
    <row r="2324" spans="1:6" x14ac:dyDescent="0.3">
      <c r="A2324" s="30" t="s">
        <v>19</v>
      </c>
      <c r="B2324" s="31" t="s">
        <v>35</v>
      </c>
      <c r="C2324" s="31" t="s">
        <v>20</v>
      </c>
      <c r="D2324" s="32">
        <v>45299</v>
      </c>
      <c r="E2324" s="33">
        <v>4151.7</v>
      </c>
      <c r="F2324" s="34">
        <v>424</v>
      </c>
    </row>
    <row r="2325" spans="1:6" x14ac:dyDescent="0.3">
      <c r="A2325" s="35" t="s">
        <v>9</v>
      </c>
      <c r="B2325" s="36" t="s">
        <v>10</v>
      </c>
      <c r="C2325" s="36" t="s">
        <v>42</v>
      </c>
      <c r="D2325" s="36" t="s">
        <v>295</v>
      </c>
      <c r="E2325" s="38">
        <v>22701.85</v>
      </c>
      <c r="F2325" s="39">
        <v>168</v>
      </c>
    </row>
    <row r="2326" spans="1:6" x14ac:dyDescent="0.3">
      <c r="A2326" s="30" t="s">
        <v>45</v>
      </c>
      <c r="B2326" s="31" t="s">
        <v>10</v>
      </c>
      <c r="C2326" s="31" t="s">
        <v>18</v>
      </c>
      <c r="D2326" s="32">
        <v>45573</v>
      </c>
      <c r="E2326" s="33">
        <v>6014.3</v>
      </c>
      <c r="F2326" s="34">
        <v>141</v>
      </c>
    </row>
    <row r="2327" spans="1:6" x14ac:dyDescent="0.3">
      <c r="A2327" s="35" t="s">
        <v>14</v>
      </c>
      <c r="B2327" s="36" t="s">
        <v>10</v>
      </c>
      <c r="C2327" s="36" t="s">
        <v>36</v>
      </c>
      <c r="D2327" s="37">
        <v>45413</v>
      </c>
      <c r="E2327" s="38">
        <v>2788.6</v>
      </c>
      <c r="F2327" s="39">
        <v>27</v>
      </c>
    </row>
    <row r="2328" spans="1:6" x14ac:dyDescent="0.3">
      <c r="A2328" s="30" t="s">
        <v>83</v>
      </c>
      <c r="B2328" s="31" t="s">
        <v>7</v>
      </c>
      <c r="C2328" s="31" t="s">
        <v>18</v>
      </c>
      <c r="D2328" s="32">
        <v>45603</v>
      </c>
      <c r="E2328" s="33">
        <v>6503.75</v>
      </c>
      <c r="F2328" s="34">
        <v>116</v>
      </c>
    </row>
    <row r="2329" spans="1:6" x14ac:dyDescent="0.3">
      <c r="A2329" s="35" t="s">
        <v>64</v>
      </c>
      <c r="B2329" s="36" t="s">
        <v>32</v>
      </c>
      <c r="C2329" s="36" t="s">
        <v>23</v>
      </c>
      <c r="D2329" s="36" t="s">
        <v>320</v>
      </c>
      <c r="E2329" s="38">
        <v>433.92</v>
      </c>
      <c r="F2329" s="39">
        <v>31</v>
      </c>
    </row>
    <row r="2330" spans="1:6" x14ac:dyDescent="0.3">
      <c r="A2330" s="30" t="s">
        <v>12</v>
      </c>
      <c r="B2330" s="31" t="s">
        <v>25</v>
      </c>
      <c r="C2330" s="31" t="s">
        <v>57</v>
      </c>
      <c r="D2330" s="32">
        <v>45386</v>
      </c>
      <c r="E2330" s="33">
        <v>12314.13</v>
      </c>
      <c r="F2330" s="34">
        <v>129</v>
      </c>
    </row>
    <row r="2331" spans="1:6" x14ac:dyDescent="0.3">
      <c r="A2331" s="35" t="s">
        <v>31</v>
      </c>
      <c r="B2331" s="36" t="s">
        <v>32</v>
      </c>
      <c r="C2331" s="36" t="s">
        <v>73</v>
      </c>
      <c r="D2331" s="37">
        <v>45630</v>
      </c>
      <c r="E2331" s="38">
        <v>9876.86</v>
      </c>
      <c r="F2331" s="39">
        <v>106</v>
      </c>
    </row>
    <row r="2332" spans="1:6" x14ac:dyDescent="0.3">
      <c r="A2332" s="30" t="s">
        <v>64</v>
      </c>
      <c r="B2332" s="31" t="s">
        <v>25</v>
      </c>
      <c r="C2332" s="31" t="s">
        <v>11</v>
      </c>
      <c r="D2332" s="32">
        <v>45330</v>
      </c>
      <c r="E2332" s="33">
        <v>2043.06</v>
      </c>
      <c r="F2332" s="34">
        <v>121</v>
      </c>
    </row>
    <row r="2333" spans="1:6" x14ac:dyDescent="0.3">
      <c r="A2333" s="35" t="s">
        <v>12</v>
      </c>
      <c r="B2333" s="36" t="s">
        <v>25</v>
      </c>
      <c r="C2333" s="36" t="s">
        <v>60</v>
      </c>
      <c r="D2333" s="36" t="s">
        <v>294</v>
      </c>
      <c r="E2333" s="38">
        <v>8728.7999999999993</v>
      </c>
      <c r="F2333" s="39">
        <v>272</v>
      </c>
    </row>
    <row r="2334" spans="1:6" x14ac:dyDescent="0.3">
      <c r="A2334" s="30" t="s">
        <v>83</v>
      </c>
      <c r="B2334" s="31" t="s">
        <v>15</v>
      </c>
      <c r="C2334" s="31" t="s">
        <v>36</v>
      </c>
      <c r="D2334" s="32">
        <v>45419</v>
      </c>
      <c r="E2334" s="33">
        <v>4906.57</v>
      </c>
      <c r="F2334" s="34">
        <v>128</v>
      </c>
    </row>
    <row r="2335" spans="1:6" x14ac:dyDescent="0.3">
      <c r="A2335" s="35" t="s">
        <v>29</v>
      </c>
      <c r="B2335" s="36" t="s">
        <v>25</v>
      </c>
      <c r="C2335" s="36" t="s">
        <v>75</v>
      </c>
      <c r="D2335" s="37">
        <v>45479</v>
      </c>
      <c r="E2335" s="38">
        <v>2278.06</v>
      </c>
      <c r="F2335" s="39">
        <v>49</v>
      </c>
    </row>
    <row r="2336" spans="1:6" x14ac:dyDescent="0.3">
      <c r="A2336" s="30" t="s">
        <v>28</v>
      </c>
      <c r="B2336" s="31" t="s">
        <v>25</v>
      </c>
      <c r="C2336" s="31" t="s">
        <v>18</v>
      </c>
      <c r="D2336" s="31" t="s">
        <v>321</v>
      </c>
      <c r="E2336" s="33">
        <v>1108.18</v>
      </c>
      <c r="F2336" s="34">
        <v>27</v>
      </c>
    </row>
    <row r="2337" spans="1:6" x14ac:dyDescent="0.3">
      <c r="A2337" s="35" t="s">
        <v>28</v>
      </c>
      <c r="B2337" s="36" t="s">
        <v>15</v>
      </c>
      <c r="C2337" s="36" t="s">
        <v>87</v>
      </c>
      <c r="D2337" s="37">
        <v>45383</v>
      </c>
      <c r="E2337" s="38">
        <v>14957.65</v>
      </c>
      <c r="F2337" s="39">
        <v>206</v>
      </c>
    </row>
    <row r="2338" spans="1:6" x14ac:dyDescent="0.3">
      <c r="A2338" s="30" t="s">
        <v>58</v>
      </c>
      <c r="B2338" s="31" t="s">
        <v>15</v>
      </c>
      <c r="C2338" s="31" t="s">
        <v>20</v>
      </c>
      <c r="D2338" s="31" t="s">
        <v>303</v>
      </c>
      <c r="E2338" s="33">
        <v>3020.67</v>
      </c>
      <c r="F2338" s="34">
        <v>19</v>
      </c>
    </row>
    <row r="2339" spans="1:6" x14ac:dyDescent="0.3">
      <c r="A2339" s="35" t="s">
        <v>70</v>
      </c>
      <c r="B2339" s="36" t="s">
        <v>10</v>
      </c>
      <c r="C2339" s="36" t="s">
        <v>65</v>
      </c>
      <c r="D2339" s="36" t="s">
        <v>278</v>
      </c>
      <c r="E2339" s="38">
        <v>3677.47</v>
      </c>
      <c r="F2339" s="39">
        <v>152</v>
      </c>
    </row>
    <row r="2340" spans="1:6" x14ac:dyDescent="0.3">
      <c r="A2340" s="30" t="s">
        <v>71</v>
      </c>
      <c r="B2340" s="31" t="s">
        <v>15</v>
      </c>
      <c r="C2340" s="31" t="s">
        <v>100</v>
      </c>
      <c r="D2340" s="31" t="s">
        <v>322</v>
      </c>
      <c r="E2340" s="33">
        <v>6999.62</v>
      </c>
      <c r="F2340" s="34">
        <v>500</v>
      </c>
    </row>
    <row r="2341" spans="1:6" x14ac:dyDescent="0.3">
      <c r="A2341" s="35" t="s">
        <v>19</v>
      </c>
      <c r="B2341" s="36" t="s">
        <v>10</v>
      </c>
      <c r="C2341" s="36" t="s">
        <v>18</v>
      </c>
      <c r="D2341" s="37">
        <v>45475</v>
      </c>
      <c r="E2341" s="38">
        <v>10901.65</v>
      </c>
      <c r="F2341" s="39">
        <v>116</v>
      </c>
    </row>
    <row r="2342" spans="1:6" x14ac:dyDescent="0.3">
      <c r="A2342" s="30" t="s">
        <v>55</v>
      </c>
      <c r="B2342" s="31" t="s">
        <v>7</v>
      </c>
      <c r="C2342" s="31" t="s">
        <v>42</v>
      </c>
      <c r="D2342" s="31" t="s">
        <v>323</v>
      </c>
      <c r="E2342" s="33">
        <v>2586.62</v>
      </c>
      <c r="F2342" s="34">
        <v>172</v>
      </c>
    </row>
    <row r="2343" spans="1:6" x14ac:dyDescent="0.3">
      <c r="A2343" s="35" t="s">
        <v>40</v>
      </c>
      <c r="B2343" s="36" t="s">
        <v>10</v>
      </c>
      <c r="C2343" s="36" t="s">
        <v>90</v>
      </c>
      <c r="D2343" s="36" t="s">
        <v>314</v>
      </c>
      <c r="E2343" s="38">
        <v>5077.5</v>
      </c>
      <c r="F2343" s="39">
        <v>81</v>
      </c>
    </row>
    <row r="2344" spans="1:6" x14ac:dyDescent="0.3">
      <c r="A2344" s="30" t="s">
        <v>37</v>
      </c>
      <c r="B2344" s="31" t="s">
        <v>7</v>
      </c>
      <c r="C2344" s="31" t="s">
        <v>36</v>
      </c>
      <c r="D2344" s="31" t="s">
        <v>267</v>
      </c>
      <c r="E2344" s="33">
        <v>8360.11</v>
      </c>
      <c r="F2344" s="34">
        <v>203</v>
      </c>
    </row>
    <row r="2345" spans="1:6" x14ac:dyDescent="0.3">
      <c r="A2345" s="35" t="s">
        <v>9</v>
      </c>
      <c r="B2345" s="36" t="s">
        <v>10</v>
      </c>
      <c r="C2345" s="36" t="s">
        <v>87</v>
      </c>
      <c r="D2345" s="36" t="s">
        <v>299</v>
      </c>
      <c r="E2345" s="38">
        <v>3566.77</v>
      </c>
      <c r="F2345" s="39">
        <v>426</v>
      </c>
    </row>
    <row r="2346" spans="1:6" x14ac:dyDescent="0.3">
      <c r="A2346" s="30" t="s">
        <v>12</v>
      </c>
      <c r="B2346" s="31" t="s">
        <v>7</v>
      </c>
      <c r="C2346" s="31" t="s">
        <v>23</v>
      </c>
      <c r="D2346" s="31" t="s">
        <v>324</v>
      </c>
      <c r="E2346" s="33">
        <v>9186.69</v>
      </c>
      <c r="F2346" s="34">
        <v>173</v>
      </c>
    </row>
    <row r="2347" spans="1:6" x14ac:dyDescent="0.3">
      <c r="A2347" s="35" t="s">
        <v>48</v>
      </c>
      <c r="B2347" s="36" t="s">
        <v>15</v>
      </c>
      <c r="C2347" s="36" t="s">
        <v>33</v>
      </c>
      <c r="D2347" s="37">
        <v>45633</v>
      </c>
      <c r="E2347" s="38">
        <v>917.35</v>
      </c>
      <c r="F2347" s="39">
        <v>140</v>
      </c>
    </row>
    <row r="2348" spans="1:6" x14ac:dyDescent="0.3">
      <c r="A2348" s="30" t="s">
        <v>6</v>
      </c>
      <c r="B2348" s="31" t="s">
        <v>35</v>
      </c>
      <c r="C2348" s="31" t="s">
        <v>18</v>
      </c>
      <c r="D2348" s="32">
        <v>45603</v>
      </c>
      <c r="E2348" s="33">
        <v>6199.12</v>
      </c>
      <c r="F2348" s="34">
        <v>132</v>
      </c>
    </row>
    <row r="2349" spans="1:6" x14ac:dyDescent="0.3">
      <c r="A2349" s="35" t="s">
        <v>37</v>
      </c>
      <c r="B2349" s="36" t="s">
        <v>35</v>
      </c>
      <c r="C2349" s="36" t="s">
        <v>18</v>
      </c>
      <c r="D2349" s="36" t="s">
        <v>311</v>
      </c>
      <c r="E2349" s="38">
        <v>3368.63</v>
      </c>
      <c r="F2349" s="39">
        <v>180</v>
      </c>
    </row>
    <row r="2350" spans="1:6" x14ac:dyDescent="0.3">
      <c r="A2350" s="30" t="s">
        <v>67</v>
      </c>
      <c r="B2350" s="31" t="s">
        <v>32</v>
      </c>
      <c r="C2350" s="31" t="s">
        <v>11</v>
      </c>
      <c r="D2350" s="32">
        <v>45416</v>
      </c>
      <c r="E2350" s="33">
        <v>10527.23</v>
      </c>
      <c r="F2350" s="34">
        <v>82</v>
      </c>
    </row>
    <row r="2351" spans="1:6" x14ac:dyDescent="0.3">
      <c r="A2351" s="35" t="s">
        <v>6</v>
      </c>
      <c r="B2351" s="36" t="s">
        <v>35</v>
      </c>
      <c r="C2351" s="36" t="s">
        <v>46</v>
      </c>
      <c r="D2351" s="36" t="s">
        <v>315</v>
      </c>
      <c r="E2351" s="38">
        <v>7927.57</v>
      </c>
      <c r="F2351" s="39">
        <v>12</v>
      </c>
    </row>
    <row r="2352" spans="1:6" x14ac:dyDescent="0.3">
      <c r="A2352" s="30" t="s">
        <v>29</v>
      </c>
      <c r="B2352" s="31" t="s">
        <v>25</v>
      </c>
      <c r="C2352" s="31" t="s">
        <v>90</v>
      </c>
      <c r="D2352" s="31" t="s">
        <v>325</v>
      </c>
      <c r="E2352" s="33">
        <v>14493.5</v>
      </c>
      <c r="F2352" s="34">
        <v>15</v>
      </c>
    </row>
    <row r="2353" spans="1:6" x14ac:dyDescent="0.3">
      <c r="A2353" s="35" t="s">
        <v>34</v>
      </c>
      <c r="B2353" s="36" t="s">
        <v>15</v>
      </c>
      <c r="C2353" s="36" t="s">
        <v>46</v>
      </c>
      <c r="D2353" s="36" t="s">
        <v>326</v>
      </c>
      <c r="E2353" s="38">
        <v>3112.2</v>
      </c>
      <c r="F2353" s="39">
        <v>107</v>
      </c>
    </row>
    <row r="2354" spans="1:6" x14ac:dyDescent="0.3">
      <c r="A2354" s="30" t="s">
        <v>31</v>
      </c>
      <c r="B2354" s="31" t="s">
        <v>32</v>
      </c>
      <c r="C2354" s="31" t="s">
        <v>57</v>
      </c>
      <c r="D2354" s="31" t="s">
        <v>313</v>
      </c>
      <c r="E2354" s="33">
        <v>9617.64</v>
      </c>
      <c r="F2354" s="34">
        <v>44</v>
      </c>
    </row>
    <row r="2355" spans="1:6" x14ac:dyDescent="0.3">
      <c r="A2355" s="35" t="s">
        <v>40</v>
      </c>
      <c r="B2355" s="36" t="s">
        <v>7</v>
      </c>
      <c r="C2355" s="36" t="s">
        <v>90</v>
      </c>
      <c r="D2355" s="36" t="s">
        <v>290</v>
      </c>
      <c r="E2355" s="38">
        <v>4198.08</v>
      </c>
      <c r="F2355" s="39">
        <v>107</v>
      </c>
    </row>
    <row r="2356" spans="1:6" x14ac:dyDescent="0.3">
      <c r="A2356" s="30" t="s">
        <v>34</v>
      </c>
      <c r="B2356" s="31" t="s">
        <v>25</v>
      </c>
      <c r="C2356" s="31" t="s">
        <v>60</v>
      </c>
      <c r="D2356" s="31" t="s">
        <v>327</v>
      </c>
      <c r="E2356" s="33">
        <v>10927.22</v>
      </c>
      <c r="F2356" s="34">
        <v>11</v>
      </c>
    </row>
    <row r="2357" spans="1:6" x14ac:dyDescent="0.3">
      <c r="A2357" s="35" t="s">
        <v>45</v>
      </c>
      <c r="B2357" s="36" t="s">
        <v>10</v>
      </c>
      <c r="C2357" s="36" t="s">
        <v>13</v>
      </c>
      <c r="D2357" s="37">
        <v>45598</v>
      </c>
      <c r="E2357" s="38">
        <v>10759.18</v>
      </c>
      <c r="F2357" s="39">
        <v>20</v>
      </c>
    </row>
    <row r="2358" spans="1:6" x14ac:dyDescent="0.3">
      <c r="A2358" s="30" t="s">
        <v>45</v>
      </c>
      <c r="B2358" s="31" t="s">
        <v>25</v>
      </c>
      <c r="C2358" s="31" t="s">
        <v>46</v>
      </c>
      <c r="D2358" s="32">
        <v>45325</v>
      </c>
      <c r="E2358" s="33">
        <v>6250.42</v>
      </c>
      <c r="F2358" s="34">
        <v>111</v>
      </c>
    </row>
    <row r="2359" spans="1:6" x14ac:dyDescent="0.3">
      <c r="A2359" s="35" t="s">
        <v>83</v>
      </c>
      <c r="B2359" s="36" t="s">
        <v>15</v>
      </c>
      <c r="C2359" s="36" t="s">
        <v>59</v>
      </c>
      <c r="D2359" s="37">
        <v>45325</v>
      </c>
      <c r="E2359" s="38">
        <v>1103.54</v>
      </c>
      <c r="F2359" s="39">
        <v>195</v>
      </c>
    </row>
    <row r="2360" spans="1:6" x14ac:dyDescent="0.3">
      <c r="A2360" s="30" t="s">
        <v>9</v>
      </c>
      <c r="B2360" s="31" t="s">
        <v>32</v>
      </c>
      <c r="C2360" s="31" t="s">
        <v>20</v>
      </c>
      <c r="D2360" s="31" t="s">
        <v>271</v>
      </c>
      <c r="E2360" s="33">
        <v>13435.98</v>
      </c>
      <c r="F2360" s="34">
        <v>6</v>
      </c>
    </row>
    <row r="2361" spans="1:6" x14ac:dyDescent="0.3">
      <c r="A2361" s="35" t="s">
        <v>70</v>
      </c>
      <c r="B2361" s="36" t="s">
        <v>10</v>
      </c>
      <c r="C2361" s="36" t="s">
        <v>23</v>
      </c>
      <c r="D2361" s="37">
        <v>45474</v>
      </c>
      <c r="E2361" s="38">
        <v>1855.03</v>
      </c>
      <c r="F2361" s="39">
        <v>563</v>
      </c>
    </row>
    <row r="2362" spans="1:6" x14ac:dyDescent="0.3">
      <c r="A2362" s="30" t="s">
        <v>28</v>
      </c>
      <c r="B2362" s="31" t="s">
        <v>7</v>
      </c>
      <c r="C2362" s="31" t="s">
        <v>59</v>
      </c>
      <c r="D2362" s="32">
        <v>45630</v>
      </c>
      <c r="E2362" s="33">
        <v>5799.09</v>
      </c>
      <c r="F2362" s="34">
        <v>169</v>
      </c>
    </row>
    <row r="2363" spans="1:6" x14ac:dyDescent="0.3">
      <c r="A2363" s="35" t="s">
        <v>9</v>
      </c>
      <c r="B2363" s="36" t="s">
        <v>35</v>
      </c>
      <c r="C2363" s="36" t="s">
        <v>65</v>
      </c>
      <c r="D2363" s="36" t="s">
        <v>275</v>
      </c>
      <c r="E2363" s="38">
        <v>3631.78</v>
      </c>
      <c r="F2363" s="39">
        <v>71</v>
      </c>
    </row>
    <row r="2364" spans="1:6" x14ac:dyDescent="0.3">
      <c r="A2364" s="30" t="s">
        <v>6</v>
      </c>
      <c r="B2364" s="31" t="s">
        <v>15</v>
      </c>
      <c r="C2364" s="31" t="s">
        <v>26</v>
      </c>
      <c r="D2364" s="31" t="s">
        <v>328</v>
      </c>
      <c r="E2364" s="33">
        <v>5461.43</v>
      </c>
      <c r="F2364" s="34">
        <v>456</v>
      </c>
    </row>
    <row r="2365" spans="1:6" x14ac:dyDescent="0.3">
      <c r="A2365" s="35" t="s">
        <v>37</v>
      </c>
      <c r="B2365" s="36" t="s">
        <v>7</v>
      </c>
      <c r="C2365" s="36" t="s">
        <v>87</v>
      </c>
      <c r="D2365" s="37">
        <v>45475</v>
      </c>
      <c r="E2365" s="38">
        <v>5315.95</v>
      </c>
      <c r="F2365" s="39">
        <v>389</v>
      </c>
    </row>
    <row r="2366" spans="1:6" x14ac:dyDescent="0.3">
      <c r="A2366" s="30" t="s">
        <v>6</v>
      </c>
      <c r="B2366" s="31" t="s">
        <v>15</v>
      </c>
      <c r="C2366" s="31" t="s">
        <v>33</v>
      </c>
      <c r="D2366" s="31" t="s">
        <v>316</v>
      </c>
      <c r="E2366" s="33">
        <v>16059.94</v>
      </c>
      <c r="F2366" s="34">
        <v>28</v>
      </c>
    </row>
    <row r="2367" spans="1:6" x14ac:dyDescent="0.3">
      <c r="A2367" s="35" t="s">
        <v>40</v>
      </c>
      <c r="B2367" s="36" t="s">
        <v>10</v>
      </c>
      <c r="C2367" s="36" t="s">
        <v>13</v>
      </c>
      <c r="D2367" s="37">
        <v>45566</v>
      </c>
      <c r="E2367" s="38">
        <v>7803.84</v>
      </c>
      <c r="F2367" s="39">
        <v>157</v>
      </c>
    </row>
    <row r="2368" spans="1:6" x14ac:dyDescent="0.3">
      <c r="A2368" s="30" t="s">
        <v>19</v>
      </c>
      <c r="B2368" s="31" t="s">
        <v>7</v>
      </c>
      <c r="C2368" s="31" t="s">
        <v>75</v>
      </c>
      <c r="D2368" s="31" t="s">
        <v>329</v>
      </c>
      <c r="E2368" s="33">
        <v>10751.19</v>
      </c>
      <c r="F2368" s="34">
        <v>44</v>
      </c>
    </row>
    <row r="2369" spans="1:6" x14ac:dyDescent="0.3">
      <c r="A2369" s="35" t="s">
        <v>12</v>
      </c>
      <c r="B2369" s="36" t="s">
        <v>32</v>
      </c>
      <c r="C2369" s="36" t="s">
        <v>50</v>
      </c>
      <c r="D2369" s="36" t="s">
        <v>330</v>
      </c>
      <c r="E2369" s="38">
        <v>12156.54</v>
      </c>
      <c r="F2369" s="39">
        <v>54</v>
      </c>
    </row>
    <row r="2370" spans="1:6" x14ac:dyDescent="0.3">
      <c r="A2370" s="30" t="s">
        <v>31</v>
      </c>
      <c r="B2370" s="31" t="s">
        <v>15</v>
      </c>
      <c r="C2370" s="31" t="s">
        <v>59</v>
      </c>
      <c r="D2370" s="32">
        <v>45389</v>
      </c>
      <c r="E2370" s="33">
        <v>9402.26</v>
      </c>
      <c r="F2370" s="34">
        <v>401</v>
      </c>
    </row>
    <row r="2371" spans="1:6" x14ac:dyDescent="0.3">
      <c r="A2371" s="35" t="s">
        <v>55</v>
      </c>
      <c r="B2371" s="36" t="s">
        <v>35</v>
      </c>
      <c r="C2371" s="36" t="s">
        <v>13</v>
      </c>
      <c r="D2371" s="37">
        <v>45389</v>
      </c>
      <c r="E2371" s="38">
        <v>3653.39</v>
      </c>
      <c r="F2371" s="39">
        <v>185</v>
      </c>
    </row>
    <row r="2372" spans="1:6" x14ac:dyDescent="0.3">
      <c r="A2372" s="30" t="s">
        <v>79</v>
      </c>
      <c r="B2372" s="31" t="s">
        <v>32</v>
      </c>
      <c r="C2372" s="31" t="s">
        <v>60</v>
      </c>
      <c r="D2372" s="32">
        <v>45573</v>
      </c>
      <c r="E2372" s="33">
        <v>320.11</v>
      </c>
      <c r="F2372" s="34">
        <v>201</v>
      </c>
    </row>
    <row r="2373" spans="1:6" x14ac:dyDescent="0.3">
      <c r="A2373" s="35" t="s">
        <v>58</v>
      </c>
      <c r="B2373" s="36" t="s">
        <v>15</v>
      </c>
      <c r="C2373" s="36" t="s">
        <v>26</v>
      </c>
      <c r="D2373" s="37">
        <v>45295</v>
      </c>
      <c r="E2373" s="38">
        <v>7618.91</v>
      </c>
      <c r="F2373" s="39">
        <v>12</v>
      </c>
    </row>
    <row r="2374" spans="1:6" x14ac:dyDescent="0.3">
      <c r="A2374" s="30" t="s">
        <v>12</v>
      </c>
      <c r="B2374" s="31" t="s">
        <v>10</v>
      </c>
      <c r="C2374" s="31" t="s">
        <v>73</v>
      </c>
      <c r="D2374" s="31" t="s">
        <v>331</v>
      </c>
      <c r="E2374" s="33">
        <v>2843.9</v>
      </c>
      <c r="F2374" s="34">
        <v>158</v>
      </c>
    </row>
    <row r="2375" spans="1:6" x14ac:dyDescent="0.3">
      <c r="A2375" s="35" t="s">
        <v>71</v>
      </c>
      <c r="B2375" s="36" t="s">
        <v>7</v>
      </c>
      <c r="C2375" s="36" t="s">
        <v>59</v>
      </c>
      <c r="D2375" s="37">
        <v>45352</v>
      </c>
      <c r="E2375" s="38">
        <v>11946.4</v>
      </c>
      <c r="F2375" s="39">
        <v>192</v>
      </c>
    </row>
    <row r="2376" spans="1:6" x14ac:dyDescent="0.3">
      <c r="A2376" s="30" t="s">
        <v>37</v>
      </c>
      <c r="B2376" s="31" t="s">
        <v>10</v>
      </c>
      <c r="C2376" s="31" t="s">
        <v>38</v>
      </c>
      <c r="D2376" s="31" t="s">
        <v>332</v>
      </c>
      <c r="E2376" s="33">
        <v>5055.05</v>
      </c>
      <c r="F2376" s="34">
        <v>241</v>
      </c>
    </row>
    <row r="2377" spans="1:6" x14ac:dyDescent="0.3">
      <c r="A2377" s="35" t="s">
        <v>79</v>
      </c>
      <c r="B2377" s="36" t="s">
        <v>7</v>
      </c>
      <c r="C2377" s="36" t="s">
        <v>20</v>
      </c>
      <c r="D2377" s="37">
        <v>45352</v>
      </c>
      <c r="E2377" s="38">
        <v>10378.36</v>
      </c>
      <c r="F2377" s="39">
        <v>301</v>
      </c>
    </row>
    <row r="2378" spans="1:6" x14ac:dyDescent="0.3">
      <c r="A2378" s="30" t="s">
        <v>53</v>
      </c>
      <c r="B2378" s="31" t="s">
        <v>25</v>
      </c>
      <c r="C2378" s="31" t="s">
        <v>90</v>
      </c>
      <c r="D2378" s="31" t="s">
        <v>302</v>
      </c>
      <c r="E2378" s="33">
        <v>595.16</v>
      </c>
      <c r="F2378" s="34">
        <v>461</v>
      </c>
    </row>
    <row r="2379" spans="1:6" x14ac:dyDescent="0.3">
      <c r="A2379" s="35" t="s">
        <v>31</v>
      </c>
      <c r="B2379" s="36" t="s">
        <v>7</v>
      </c>
      <c r="C2379" s="36" t="s">
        <v>26</v>
      </c>
      <c r="D2379" s="36" t="s">
        <v>313</v>
      </c>
      <c r="E2379" s="38">
        <v>639.95000000000005</v>
      </c>
      <c r="F2379" s="39">
        <v>71</v>
      </c>
    </row>
    <row r="2380" spans="1:6" x14ac:dyDescent="0.3">
      <c r="A2380" s="30" t="s">
        <v>48</v>
      </c>
      <c r="B2380" s="31" t="s">
        <v>15</v>
      </c>
      <c r="C2380" s="31" t="s">
        <v>42</v>
      </c>
      <c r="D2380" s="31" t="s">
        <v>294</v>
      </c>
      <c r="E2380" s="33">
        <v>3717.35</v>
      </c>
      <c r="F2380" s="34">
        <v>322</v>
      </c>
    </row>
    <row r="2381" spans="1:6" x14ac:dyDescent="0.3">
      <c r="A2381" s="35" t="s">
        <v>53</v>
      </c>
      <c r="B2381" s="36" t="s">
        <v>7</v>
      </c>
      <c r="C2381" s="36" t="s">
        <v>75</v>
      </c>
      <c r="D2381" s="37">
        <v>45325</v>
      </c>
      <c r="E2381" s="38">
        <v>5057.1000000000004</v>
      </c>
      <c r="F2381" s="39">
        <v>41</v>
      </c>
    </row>
    <row r="2382" spans="1:6" x14ac:dyDescent="0.3">
      <c r="A2382" s="30" t="s">
        <v>64</v>
      </c>
      <c r="B2382" s="31" t="s">
        <v>15</v>
      </c>
      <c r="C2382" s="31" t="s">
        <v>23</v>
      </c>
      <c r="D2382" s="31" t="s">
        <v>297</v>
      </c>
      <c r="E2382" s="33">
        <v>3729.83</v>
      </c>
      <c r="F2382" s="34">
        <v>27</v>
      </c>
    </row>
    <row r="2383" spans="1:6" x14ac:dyDescent="0.3">
      <c r="A2383" s="35" t="s">
        <v>58</v>
      </c>
      <c r="B2383" s="36" t="s">
        <v>32</v>
      </c>
      <c r="C2383" s="36" t="s">
        <v>65</v>
      </c>
      <c r="D2383" s="36" t="s">
        <v>283</v>
      </c>
      <c r="E2383" s="38">
        <v>13786.87</v>
      </c>
      <c r="F2383" s="39">
        <v>85</v>
      </c>
    </row>
    <row r="2384" spans="1:6" x14ac:dyDescent="0.3">
      <c r="A2384" s="30" t="s">
        <v>31</v>
      </c>
      <c r="B2384" s="31" t="s">
        <v>35</v>
      </c>
      <c r="C2384" s="31" t="s">
        <v>13</v>
      </c>
      <c r="D2384" s="32">
        <v>45479</v>
      </c>
      <c r="E2384" s="33">
        <v>2206.2800000000002</v>
      </c>
      <c r="F2384" s="34">
        <v>79</v>
      </c>
    </row>
    <row r="2385" spans="1:6" x14ac:dyDescent="0.3">
      <c r="A2385" s="35" t="s">
        <v>55</v>
      </c>
      <c r="B2385" s="36" t="s">
        <v>32</v>
      </c>
      <c r="C2385" s="36" t="s">
        <v>100</v>
      </c>
      <c r="D2385" s="37">
        <v>45631</v>
      </c>
      <c r="E2385" s="38">
        <v>4672.25</v>
      </c>
      <c r="F2385" s="39">
        <v>103</v>
      </c>
    </row>
    <row r="2386" spans="1:6" x14ac:dyDescent="0.3">
      <c r="A2386" s="30" t="s">
        <v>31</v>
      </c>
      <c r="B2386" s="31" t="s">
        <v>25</v>
      </c>
      <c r="C2386" s="31" t="s">
        <v>73</v>
      </c>
      <c r="D2386" s="31" t="s">
        <v>326</v>
      </c>
      <c r="E2386" s="33">
        <v>7667.99</v>
      </c>
      <c r="F2386" s="34">
        <v>69</v>
      </c>
    </row>
    <row r="2387" spans="1:6" x14ac:dyDescent="0.3">
      <c r="A2387" s="35" t="s">
        <v>58</v>
      </c>
      <c r="B2387" s="36" t="s">
        <v>7</v>
      </c>
      <c r="C2387" s="36" t="s">
        <v>59</v>
      </c>
      <c r="D2387" s="37">
        <v>45359</v>
      </c>
      <c r="E2387" s="38">
        <v>8338.51</v>
      </c>
      <c r="F2387" s="39">
        <v>270</v>
      </c>
    </row>
    <row r="2388" spans="1:6" x14ac:dyDescent="0.3">
      <c r="A2388" s="30" t="s">
        <v>31</v>
      </c>
      <c r="B2388" s="31" t="s">
        <v>10</v>
      </c>
      <c r="C2388" s="31" t="s">
        <v>87</v>
      </c>
      <c r="D2388" s="31" t="s">
        <v>304</v>
      </c>
      <c r="E2388" s="33">
        <v>7548.62</v>
      </c>
      <c r="F2388" s="34">
        <v>153</v>
      </c>
    </row>
    <row r="2389" spans="1:6" x14ac:dyDescent="0.3">
      <c r="A2389" s="35" t="s">
        <v>9</v>
      </c>
      <c r="B2389" s="36" t="s">
        <v>25</v>
      </c>
      <c r="C2389" s="36" t="s">
        <v>18</v>
      </c>
      <c r="D2389" s="36" t="s">
        <v>333</v>
      </c>
      <c r="E2389" s="38">
        <v>3608.83</v>
      </c>
      <c r="F2389" s="39">
        <v>46</v>
      </c>
    </row>
    <row r="2390" spans="1:6" x14ac:dyDescent="0.3">
      <c r="A2390" s="30" t="s">
        <v>41</v>
      </c>
      <c r="B2390" s="31" t="s">
        <v>7</v>
      </c>
      <c r="C2390" s="31" t="s">
        <v>59</v>
      </c>
      <c r="D2390" s="31" t="s">
        <v>283</v>
      </c>
      <c r="E2390" s="33">
        <v>7108.96</v>
      </c>
      <c r="F2390" s="34">
        <v>80</v>
      </c>
    </row>
    <row r="2391" spans="1:6" x14ac:dyDescent="0.3">
      <c r="A2391" s="35" t="s">
        <v>71</v>
      </c>
      <c r="B2391" s="36" t="s">
        <v>25</v>
      </c>
      <c r="C2391" s="36" t="s">
        <v>8</v>
      </c>
      <c r="D2391" s="36" t="s">
        <v>334</v>
      </c>
      <c r="E2391" s="38">
        <v>1293.02</v>
      </c>
      <c r="F2391" s="39">
        <v>201</v>
      </c>
    </row>
    <row r="2392" spans="1:6" x14ac:dyDescent="0.3">
      <c r="A2392" s="30" t="s">
        <v>83</v>
      </c>
      <c r="B2392" s="31" t="s">
        <v>7</v>
      </c>
      <c r="C2392" s="31" t="s">
        <v>33</v>
      </c>
      <c r="D2392" s="31" t="s">
        <v>265</v>
      </c>
      <c r="E2392" s="33">
        <v>15365.78</v>
      </c>
      <c r="F2392" s="34">
        <v>57</v>
      </c>
    </row>
    <row r="2393" spans="1:6" x14ac:dyDescent="0.3">
      <c r="A2393" s="35" t="s">
        <v>14</v>
      </c>
      <c r="B2393" s="36" t="s">
        <v>15</v>
      </c>
      <c r="C2393" s="36" t="s">
        <v>59</v>
      </c>
      <c r="D2393" s="36" t="s">
        <v>335</v>
      </c>
      <c r="E2393" s="38">
        <v>3766.49</v>
      </c>
      <c r="F2393" s="39">
        <v>33</v>
      </c>
    </row>
    <row r="2394" spans="1:6" x14ac:dyDescent="0.3">
      <c r="A2394" s="30" t="s">
        <v>34</v>
      </c>
      <c r="B2394" s="31" t="s">
        <v>35</v>
      </c>
      <c r="C2394" s="31" t="s">
        <v>11</v>
      </c>
      <c r="D2394" s="31" t="s">
        <v>269</v>
      </c>
      <c r="E2394" s="33">
        <v>1664.68</v>
      </c>
      <c r="F2394" s="34">
        <v>465</v>
      </c>
    </row>
    <row r="2395" spans="1:6" x14ac:dyDescent="0.3">
      <c r="A2395" s="35" t="s">
        <v>29</v>
      </c>
      <c r="B2395" s="36" t="s">
        <v>10</v>
      </c>
      <c r="C2395" s="36" t="s">
        <v>50</v>
      </c>
      <c r="D2395" s="37">
        <v>45383</v>
      </c>
      <c r="E2395" s="38">
        <v>8972.7900000000009</v>
      </c>
      <c r="F2395" s="39">
        <v>134</v>
      </c>
    </row>
    <row r="2396" spans="1:6" x14ac:dyDescent="0.3">
      <c r="A2396" s="30" t="s">
        <v>83</v>
      </c>
      <c r="B2396" s="31" t="s">
        <v>15</v>
      </c>
      <c r="C2396" s="31" t="s">
        <v>8</v>
      </c>
      <c r="D2396" s="31" t="s">
        <v>315</v>
      </c>
      <c r="E2396" s="33">
        <v>10576.55</v>
      </c>
      <c r="F2396" s="34">
        <v>96</v>
      </c>
    </row>
    <row r="2397" spans="1:6" x14ac:dyDescent="0.3">
      <c r="A2397" s="35" t="s">
        <v>37</v>
      </c>
      <c r="B2397" s="36" t="s">
        <v>15</v>
      </c>
      <c r="C2397" s="36" t="s">
        <v>59</v>
      </c>
      <c r="D2397" s="37">
        <v>45413</v>
      </c>
      <c r="E2397" s="38">
        <v>8857.15</v>
      </c>
      <c r="F2397" s="39">
        <v>50</v>
      </c>
    </row>
    <row r="2398" spans="1:6" x14ac:dyDescent="0.3">
      <c r="A2398" s="30" t="s">
        <v>41</v>
      </c>
      <c r="B2398" s="31" t="s">
        <v>10</v>
      </c>
      <c r="C2398" s="31" t="s">
        <v>38</v>
      </c>
      <c r="D2398" s="31" t="s">
        <v>292</v>
      </c>
      <c r="E2398" s="33">
        <v>6756.17</v>
      </c>
      <c r="F2398" s="34">
        <v>45</v>
      </c>
    </row>
    <row r="2399" spans="1:6" x14ac:dyDescent="0.3">
      <c r="A2399" s="35" t="s">
        <v>28</v>
      </c>
      <c r="B2399" s="36" t="s">
        <v>15</v>
      </c>
      <c r="C2399" s="36" t="s">
        <v>75</v>
      </c>
      <c r="D2399" s="36" t="s">
        <v>306</v>
      </c>
      <c r="E2399" s="38">
        <v>5532.85</v>
      </c>
      <c r="F2399" s="39">
        <v>63</v>
      </c>
    </row>
    <row r="2400" spans="1:6" x14ac:dyDescent="0.3">
      <c r="A2400" s="30" t="s">
        <v>37</v>
      </c>
      <c r="B2400" s="31" t="s">
        <v>35</v>
      </c>
      <c r="C2400" s="31" t="s">
        <v>36</v>
      </c>
      <c r="D2400" s="31" t="s">
        <v>269</v>
      </c>
      <c r="E2400" s="33">
        <v>3713.66</v>
      </c>
      <c r="F2400" s="34">
        <v>352</v>
      </c>
    </row>
    <row r="2401" spans="1:6" x14ac:dyDescent="0.3">
      <c r="A2401" s="35" t="s">
        <v>12</v>
      </c>
      <c r="B2401" s="36" t="s">
        <v>32</v>
      </c>
      <c r="C2401" s="36" t="s">
        <v>20</v>
      </c>
      <c r="D2401" s="37">
        <v>45328</v>
      </c>
      <c r="E2401" s="38">
        <v>906.85</v>
      </c>
      <c r="F2401" s="39">
        <v>246</v>
      </c>
    </row>
    <row r="2402" spans="1:6" x14ac:dyDescent="0.3">
      <c r="A2402" s="30" t="s">
        <v>40</v>
      </c>
      <c r="B2402" s="31" t="s">
        <v>7</v>
      </c>
      <c r="C2402" s="31" t="s">
        <v>18</v>
      </c>
      <c r="D2402" s="31" t="s">
        <v>336</v>
      </c>
      <c r="E2402" s="33">
        <v>22558.880000000001</v>
      </c>
      <c r="F2402" s="34">
        <v>84</v>
      </c>
    </row>
    <row r="2403" spans="1:6" x14ac:dyDescent="0.3">
      <c r="A2403" s="35" t="s">
        <v>41</v>
      </c>
      <c r="B2403" s="36" t="s">
        <v>25</v>
      </c>
      <c r="C2403" s="36" t="s">
        <v>87</v>
      </c>
      <c r="D2403" s="37">
        <v>45359</v>
      </c>
      <c r="E2403" s="38">
        <v>1517.05</v>
      </c>
      <c r="F2403" s="39">
        <v>147</v>
      </c>
    </row>
    <row r="2404" spans="1:6" x14ac:dyDescent="0.3">
      <c r="A2404" s="30" t="s">
        <v>41</v>
      </c>
      <c r="B2404" s="31" t="s">
        <v>15</v>
      </c>
      <c r="C2404" s="31" t="s">
        <v>46</v>
      </c>
      <c r="D2404" s="31" t="s">
        <v>306</v>
      </c>
      <c r="E2404" s="33">
        <v>770.45</v>
      </c>
      <c r="F2404" s="34">
        <v>389</v>
      </c>
    </row>
    <row r="2405" spans="1:6" x14ac:dyDescent="0.3">
      <c r="A2405" s="35" t="s">
        <v>9</v>
      </c>
      <c r="B2405" s="36" t="s">
        <v>7</v>
      </c>
      <c r="C2405" s="36" t="s">
        <v>73</v>
      </c>
      <c r="D2405" s="36" t="s">
        <v>314</v>
      </c>
      <c r="E2405" s="38">
        <v>7623.35</v>
      </c>
      <c r="F2405" s="39">
        <v>80</v>
      </c>
    </row>
    <row r="2406" spans="1:6" x14ac:dyDescent="0.3">
      <c r="A2406" s="30" t="s">
        <v>14</v>
      </c>
      <c r="B2406" s="31" t="s">
        <v>15</v>
      </c>
      <c r="C2406" s="31" t="s">
        <v>33</v>
      </c>
      <c r="D2406" s="32">
        <v>45389</v>
      </c>
      <c r="E2406" s="33">
        <v>3418.05</v>
      </c>
      <c r="F2406" s="34">
        <v>117</v>
      </c>
    </row>
    <row r="2407" spans="1:6" x14ac:dyDescent="0.3">
      <c r="A2407" s="35" t="s">
        <v>6</v>
      </c>
      <c r="B2407" s="36" t="s">
        <v>10</v>
      </c>
      <c r="C2407" s="36" t="s">
        <v>26</v>
      </c>
      <c r="D2407" s="37">
        <v>45419</v>
      </c>
      <c r="E2407" s="38">
        <v>4055.71</v>
      </c>
      <c r="F2407" s="39">
        <v>137</v>
      </c>
    </row>
    <row r="2408" spans="1:6" x14ac:dyDescent="0.3">
      <c r="A2408" s="30" t="s">
        <v>77</v>
      </c>
      <c r="B2408" s="31" t="s">
        <v>32</v>
      </c>
      <c r="C2408" s="31" t="s">
        <v>23</v>
      </c>
      <c r="D2408" s="31" t="s">
        <v>337</v>
      </c>
      <c r="E2408" s="33">
        <v>5432.84</v>
      </c>
      <c r="F2408" s="34">
        <v>450</v>
      </c>
    </row>
    <row r="2409" spans="1:6" x14ac:dyDescent="0.3">
      <c r="A2409" s="35" t="s">
        <v>31</v>
      </c>
      <c r="B2409" s="36" t="s">
        <v>7</v>
      </c>
      <c r="C2409" s="36" t="s">
        <v>73</v>
      </c>
      <c r="D2409" s="36" t="s">
        <v>289</v>
      </c>
      <c r="E2409" s="38">
        <v>6016.8</v>
      </c>
      <c r="F2409" s="39">
        <v>71</v>
      </c>
    </row>
    <row r="2410" spans="1:6" x14ac:dyDescent="0.3">
      <c r="A2410" s="30" t="s">
        <v>83</v>
      </c>
      <c r="B2410" s="31" t="s">
        <v>15</v>
      </c>
      <c r="C2410" s="31" t="s">
        <v>100</v>
      </c>
      <c r="D2410" s="32">
        <v>45627</v>
      </c>
      <c r="E2410" s="33">
        <v>3609.76</v>
      </c>
      <c r="F2410" s="34">
        <v>122</v>
      </c>
    </row>
    <row r="2411" spans="1:6" x14ac:dyDescent="0.3">
      <c r="A2411" s="35" t="s">
        <v>40</v>
      </c>
      <c r="B2411" s="36" t="s">
        <v>7</v>
      </c>
      <c r="C2411" s="36" t="s">
        <v>87</v>
      </c>
      <c r="D2411" s="37">
        <v>45571</v>
      </c>
      <c r="E2411" s="38">
        <v>302.25</v>
      </c>
      <c r="F2411" s="39">
        <v>154</v>
      </c>
    </row>
    <row r="2412" spans="1:6" x14ac:dyDescent="0.3">
      <c r="A2412" s="30" t="s">
        <v>55</v>
      </c>
      <c r="B2412" s="31" t="s">
        <v>15</v>
      </c>
      <c r="C2412" s="31" t="s">
        <v>13</v>
      </c>
      <c r="D2412" s="31" t="s">
        <v>338</v>
      </c>
      <c r="E2412" s="33">
        <v>6062.87</v>
      </c>
      <c r="F2412" s="34">
        <v>290</v>
      </c>
    </row>
    <row r="2413" spans="1:6" x14ac:dyDescent="0.3">
      <c r="A2413" s="35" t="s">
        <v>29</v>
      </c>
      <c r="B2413" s="36" t="s">
        <v>10</v>
      </c>
      <c r="C2413" s="36" t="s">
        <v>65</v>
      </c>
      <c r="D2413" s="36" t="s">
        <v>335</v>
      </c>
      <c r="E2413" s="38">
        <v>3589.91</v>
      </c>
      <c r="F2413" s="39">
        <v>106</v>
      </c>
    </row>
    <row r="2414" spans="1:6" x14ac:dyDescent="0.3">
      <c r="A2414" s="30" t="s">
        <v>53</v>
      </c>
      <c r="B2414" s="31" t="s">
        <v>7</v>
      </c>
      <c r="C2414" s="31" t="s">
        <v>90</v>
      </c>
      <c r="D2414" s="31" t="s">
        <v>287</v>
      </c>
      <c r="E2414" s="33">
        <v>16457.28</v>
      </c>
      <c r="F2414" s="34">
        <v>442</v>
      </c>
    </row>
    <row r="2415" spans="1:6" x14ac:dyDescent="0.3">
      <c r="A2415" s="35" t="s">
        <v>45</v>
      </c>
      <c r="B2415" s="36" t="s">
        <v>10</v>
      </c>
      <c r="C2415" s="36" t="s">
        <v>33</v>
      </c>
      <c r="D2415" s="36" t="s">
        <v>275</v>
      </c>
      <c r="E2415" s="38">
        <v>4813.53</v>
      </c>
      <c r="F2415" s="39">
        <v>19</v>
      </c>
    </row>
    <row r="2416" spans="1:6" x14ac:dyDescent="0.3">
      <c r="A2416" s="30" t="s">
        <v>6</v>
      </c>
      <c r="B2416" s="31" t="s">
        <v>7</v>
      </c>
      <c r="C2416" s="31" t="s">
        <v>100</v>
      </c>
      <c r="D2416" s="31" t="s">
        <v>298</v>
      </c>
      <c r="E2416" s="33">
        <v>5819.17</v>
      </c>
      <c r="F2416" s="34">
        <v>270</v>
      </c>
    </row>
    <row r="2417" spans="1:6" x14ac:dyDescent="0.3">
      <c r="A2417" s="35" t="s">
        <v>53</v>
      </c>
      <c r="B2417" s="36" t="s">
        <v>15</v>
      </c>
      <c r="C2417" s="36" t="s">
        <v>60</v>
      </c>
      <c r="D2417" s="36" t="s">
        <v>337</v>
      </c>
      <c r="E2417" s="38">
        <v>7824.91</v>
      </c>
      <c r="F2417" s="39">
        <v>100</v>
      </c>
    </row>
    <row r="2418" spans="1:6" x14ac:dyDescent="0.3">
      <c r="A2418" s="30" t="s">
        <v>77</v>
      </c>
      <c r="B2418" s="31" t="s">
        <v>32</v>
      </c>
      <c r="C2418" s="31" t="s">
        <v>36</v>
      </c>
      <c r="D2418" s="31" t="s">
        <v>339</v>
      </c>
      <c r="E2418" s="33">
        <v>9446.67</v>
      </c>
      <c r="F2418" s="34">
        <v>193</v>
      </c>
    </row>
    <row r="2419" spans="1:6" x14ac:dyDescent="0.3">
      <c r="A2419" s="35" t="s">
        <v>28</v>
      </c>
      <c r="B2419" s="36" t="s">
        <v>10</v>
      </c>
      <c r="C2419" s="36" t="s">
        <v>36</v>
      </c>
      <c r="D2419" s="36" t="s">
        <v>322</v>
      </c>
      <c r="E2419" s="38">
        <v>1447.58</v>
      </c>
      <c r="F2419" s="39">
        <v>67</v>
      </c>
    </row>
    <row r="2420" spans="1:6" x14ac:dyDescent="0.3">
      <c r="A2420" s="30" t="s">
        <v>34</v>
      </c>
      <c r="B2420" s="31" t="s">
        <v>25</v>
      </c>
      <c r="C2420" s="31" t="s">
        <v>59</v>
      </c>
      <c r="D2420" s="31" t="s">
        <v>310</v>
      </c>
      <c r="E2420" s="33">
        <v>3356.27</v>
      </c>
      <c r="F2420" s="34">
        <v>238</v>
      </c>
    </row>
    <row r="2421" spans="1:6" x14ac:dyDescent="0.3">
      <c r="A2421" s="35" t="s">
        <v>53</v>
      </c>
      <c r="B2421" s="36" t="s">
        <v>32</v>
      </c>
      <c r="C2421" s="36" t="s">
        <v>46</v>
      </c>
      <c r="D2421" s="37">
        <v>45325</v>
      </c>
      <c r="E2421" s="38">
        <v>1031.25</v>
      </c>
      <c r="F2421" s="39">
        <v>55</v>
      </c>
    </row>
    <row r="2422" spans="1:6" x14ac:dyDescent="0.3">
      <c r="A2422" s="30" t="s">
        <v>9</v>
      </c>
      <c r="B2422" s="31" t="s">
        <v>15</v>
      </c>
      <c r="C2422" s="31" t="s">
        <v>46</v>
      </c>
      <c r="D2422" s="31" t="s">
        <v>299</v>
      </c>
      <c r="E2422" s="33">
        <v>9471.51</v>
      </c>
      <c r="F2422" s="34">
        <v>95</v>
      </c>
    </row>
    <row r="2423" spans="1:6" x14ac:dyDescent="0.3">
      <c r="A2423" s="35" t="s">
        <v>41</v>
      </c>
      <c r="B2423" s="36" t="s">
        <v>35</v>
      </c>
      <c r="C2423" s="36" t="s">
        <v>59</v>
      </c>
      <c r="D2423" s="36" t="s">
        <v>292</v>
      </c>
      <c r="E2423" s="38">
        <v>10573.29</v>
      </c>
      <c r="F2423" s="39">
        <v>179</v>
      </c>
    </row>
    <row r="2424" spans="1:6" x14ac:dyDescent="0.3">
      <c r="A2424" s="30" t="s">
        <v>79</v>
      </c>
      <c r="B2424" s="31" t="s">
        <v>15</v>
      </c>
      <c r="C2424" s="31" t="s">
        <v>26</v>
      </c>
      <c r="D2424" s="32">
        <v>45631</v>
      </c>
      <c r="E2424" s="33">
        <v>3321.9</v>
      </c>
      <c r="F2424" s="34">
        <v>247</v>
      </c>
    </row>
    <row r="2425" spans="1:6" x14ac:dyDescent="0.3">
      <c r="A2425" s="35" t="s">
        <v>34</v>
      </c>
      <c r="B2425" s="36" t="s">
        <v>25</v>
      </c>
      <c r="C2425" s="36" t="s">
        <v>42</v>
      </c>
      <c r="D2425" s="37">
        <v>45298</v>
      </c>
      <c r="E2425" s="38">
        <v>5318</v>
      </c>
      <c r="F2425" s="39">
        <v>281</v>
      </c>
    </row>
    <row r="2426" spans="1:6" x14ac:dyDescent="0.3">
      <c r="A2426" s="30" t="s">
        <v>53</v>
      </c>
      <c r="B2426" s="31" t="s">
        <v>32</v>
      </c>
      <c r="C2426" s="31" t="s">
        <v>11</v>
      </c>
      <c r="D2426" s="32">
        <v>45512</v>
      </c>
      <c r="E2426" s="33">
        <v>415.67</v>
      </c>
      <c r="F2426" s="34">
        <v>59</v>
      </c>
    </row>
    <row r="2427" spans="1:6" x14ac:dyDescent="0.3">
      <c r="A2427" s="35" t="s">
        <v>77</v>
      </c>
      <c r="B2427" s="36" t="s">
        <v>15</v>
      </c>
      <c r="C2427" s="36" t="s">
        <v>26</v>
      </c>
      <c r="D2427" s="36" t="s">
        <v>319</v>
      </c>
      <c r="E2427" s="38">
        <v>8295.8799999999992</v>
      </c>
      <c r="F2427" s="39">
        <v>6</v>
      </c>
    </row>
    <row r="2428" spans="1:6" x14ac:dyDescent="0.3">
      <c r="A2428" s="30" t="s">
        <v>64</v>
      </c>
      <c r="B2428" s="31" t="s">
        <v>7</v>
      </c>
      <c r="C2428" s="31" t="s">
        <v>38</v>
      </c>
      <c r="D2428" s="31" t="s">
        <v>293</v>
      </c>
      <c r="E2428" s="33">
        <v>3857.25</v>
      </c>
      <c r="F2428" s="34">
        <v>54</v>
      </c>
    </row>
    <row r="2429" spans="1:6" x14ac:dyDescent="0.3">
      <c r="A2429" s="35" t="s">
        <v>71</v>
      </c>
      <c r="B2429" s="36" t="s">
        <v>10</v>
      </c>
      <c r="C2429" s="36" t="s">
        <v>13</v>
      </c>
      <c r="D2429" s="36" t="s">
        <v>292</v>
      </c>
      <c r="E2429" s="38">
        <v>14102.83</v>
      </c>
      <c r="F2429" s="39">
        <v>291</v>
      </c>
    </row>
    <row r="2430" spans="1:6" x14ac:dyDescent="0.3">
      <c r="A2430" s="30" t="s">
        <v>48</v>
      </c>
      <c r="B2430" s="31" t="s">
        <v>10</v>
      </c>
      <c r="C2430" s="31" t="s">
        <v>100</v>
      </c>
      <c r="D2430" s="32">
        <v>45419</v>
      </c>
      <c r="E2430" s="33">
        <v>2453.44</v>
      </c>
      <c r="F2430" s="34">
        <v>43</v>
      </c>
    </row>
    <row r="2431" spans="1:6" x14ac:dyDescent="0.3">
      <c r="A2431" s="35" t="s">
        <v>34</v>
      </c>
      <c r="B2431" s="36" t="s">
        <v>32</v>
      </c>
      <c r="C2431" s="36" t="s">
        <v>60</v>
      </c>
      <c r="D2431" s="37">
        <v>45389</v>
      </c>
      <c r="E2431" s="38">
        <v>5910.67</v>
      </c>
      <c r="F2431" s="39">
        <v>100</v>
      </c>
    </row>
    <row r="2432" spans="1:6" x14ac:dyDescent="0.3">
      <c r="A2432" s="30" t="s">
        <v>79</v>
      </c>
      <c r="B2432" s="31" t="s">
        <v>7</v>
      </c>
      <c r="C2432" s="31" t="s">
        <v>100</v>
      </c>
      <c r="D2432" s="31" t="s">
        <v>299</v>
      </c>
      <c r="E2432" s="33">
        <v>1515.42</v>
      </c>
      <c r="F2432" s="34">
        <v>230</v>
      </c>
    </row>
    <row r="2433" spans="1:6" x14ac:dyDescent="0.3">
      <c r="A2433" s="35" t="s">
        <v>22</v>
      </c>
      <c r="B2433" s="36" t="s">
        <v>15</v>
      </c>
      <c r="C2433" s="36" t="s">
        <v>65</v>
      </c>
      <c r="D2433" s="36" t="s">
        <v>267</v>
      </c>
      <c r="E2433" s="38">
        <v>4498.05</v>
      </c>
      <c r="F2433" s="39">
        <v>464</v>
      </c>
    </row>
    <row r="2434" spans="1:6" x14ac:dyDescent="0.3">
      <c r="A2434" s="30" t="s">
        <v>55</v>
      </c>
      <c r="B2434" s="31" t="s">
        <v>25</v>
      </c>
      <c r="C2434" s="31" t="s">
        <v>50</v>
      </c>
      <c r="D2434" s="32">
        <v>45298</v>
      </c>
      <c r="E2434" s="33">
        <v>8755.31</v>
      </c>
      <c r="F2434" s="34">
        <v>38</v>
      </c>
    </row>
    <row r="2435" spans="1:6" x14ac:dyDescent="0.3">
      <c r="A2435" s="35" t="s">
        <v>12</v>
      </c>
      <c r="B2435" s="36" t="s">
        <v>32</v>
      </c>
      <c r="C2435" s="36" t="s">
        <v>26</v>
      </c>
      <c r="D2435" s="36" t="s">
        <v>327</v>
      </c>
      <c r="E2435" s="38">
        <v>2651.48</v>
      </c>
      <c r="F2435" s="39">
        <v>60</v>
      </c>
    </row>
    <row r="2436" spans="1:6" x14ac:dyDescent="0.3">
      <c r="A2436" s="30" t="s">
        <v>41</v>
      </c>
      <c r="B2436" s="31" t="s">
        <v>7</v>
      </c>
      <c r="C2436" s="31" t="s">
        <v>18</v>
      </c>
      <c r="D2436" s="32">
        <v>45387</v>
      </c>
      <c r="E2436" s="33">
        <v>5119.3500000000004</v>
      </c>
      <c r="F2436" s="34">
        <v>77</v>
      </c>
    </row>
    <row r="2437" spans="1:6" x14ac:dyDescent="0.3">
      <c r="A2437" s="35" t="s">
        <v>41</v>
      </c>
      <c r="B2437" s="36" t="s">
        <v>15</v>
      </c>
      <c r="C2437" s="36" t="s">
        <v>87</v>
      </c>
      <c r="D2437" s="37">
        <v>45390</v>
      </c>
      <c r="E2437" s="38">
        <v>3360.74</v>
      </c>
      <c r="F2437" s="39">
        <v>119</v>
      </c>
    </row>
    <row r="2438" spans="1:6" x14ac:dyDescent="0.3">
      <c r="A2438" s="30" t="s">
        <v>41</v>
      </c>
      <c r="B2438" s="31" t="s">
        <v>10</v>
      </c>
      <c r="C2438" s="31" t="s">
        <v>100</v>
      </c>
      <c r="D2438" s="32">
        <v>45297</v>
      </c>
      <c r="E2438" s="33">
        <v>495.65</v>
      </c>
      <c r="F2438" s="34">
        <v>146</v>
      </c>
    </row>
    <row r="2439" spans="1:6" x14ac:dyDescent="0.3">
      <c r="A2439" s="35" t="s">
        <v>6</v>
      </c>
      <c r="B2439" s="36" t="s">
        <v>7</v>
      </c>
      <c r="C2439" s="36" t="s">
        <v>75</v>
      </c>
      <c r="D2439" s="36" t="s">
        <v>340</v>
      </c>
      <c r="E2439" s="38">
        <v>5108.8500000000004</v>
      </c>
      <c r="F2439" s="39">
        <v>187</v>
      </c>
    </row>
    <row r="2440" spans="1:6" x14ac:dyDescent="0.3">
      <c r="A2440" s="30" t="s">
        <v>55</v>
      </c>
      <c r="B2440" s="31" t="s">
        <v>32</v>
      </c>
      <c r="C2440" s="31" t="s">
        <v>26</v>
      </c>
      <c r="D2440" s="40">
        <v>45359</v>
      </c>
      <c r="E2440" s="33">
        <v>77.099999999999994</v>
      </c>
      <c r="F2440" s="34">
        <v>26</v>
      </c>
    </row>
    <row r="2441" spans="1:6" x14ac:dyDescent="0.3">
      <c r="A2441" s="35" t="s">
        <v>83</v>
      </c>
      <c r="B2441" s="36" t="s">
        <v>32</v>
      </c>
      <c r="C2441" s="36" t="s">
        <v>33</v>
      </c>
      <c r="D2441" s="37">
        <v>45571</v>
      </c>
      <c r="E2441" s="38">
        <v>1860.29</v>
      </c>
      <c r="F2441" s="39">
        <v>71</v>
      </c>
    </row>
    <row r="2442" spans="1:6" x14ac:dyDescent="0.3">
      <c r="A2442" s="30" t="s">
        <v>22</v>
      </c>
      <c r="B2442" s="31" t="s">
        <v>7</v>
      </c>
      <c r="C2442" s="31" t="s">
        <v>60</v>
      </c>
      <c r="D2442" s="31" t="s">
        <v>275</v>
      </c>
      <c r="E2442" s="33">
        <v>7917.76</v>
      </c>
      <c r="F2442" s="34">
        <v>50</v>
      </c>
    </row>
    <row r="2443" spans="1:6" x14ac:dyDescent="0.3">
      <c r="A2443" s="35" t="s">
        <v>40</v>
      </c>
      <c r="B2443" s="36" t="s">
        <v>15</v>
      </c>
      <c r="C2443" s="36" t="s">
        <v>18</v>
      </c>
      <c r="D2443" s="37">
        <v>45352</v>
      </c>
      <c r="E2443" s="38">
        <v>4059.92</v>
      </c>
      <c r="F2443" s="39">
        <v>179</v>
      </c>
    </row>
    <row r="2444" spans="1:6" x14ac:dyDescent="0.3">
      <c r="A2444" s="30" t="s">
        <v>40</v>
      </c>
      <c r="B2444" s="31" t="s">
        <v>10</v>
      </c>
      <c r="C2444" s="31" t="s">
        <v>23</v>
      </c>
      <c r="D2444" s="32">
        <v>45603</v>
      </c>
      <c r="E2444" s="33">
        <v>2816.85</v>
      </c>
      <c r="F2444" s="34">
        <v>188</v>
      </c>
    </row>
    <row r="2445" spans="1:6" x14ac:dyDescent="0.3">
      <c r="A2445" s="35" t="s">
        <v>83</v>
      </c>
      <c r="B2445" s="36" t="s">
        <v>25</v>
      </c>
      <c r="C2445" s="36" t="s">
        <v>46</v>
      </c>
      <c r="D2445" s="36" t="s">
        <v>341</v>
      </c>
      <c r="E2445" s="38">
        <v>5306.48</v>
      </c>
      <c r="F2445" s="39">
        <v>128</v>
      </c>
    </row>
    <row r="2446" spans="1:6" x14ac:dyDescent="0.3">
      <c r="A2446" s="30" t="s">
        <v>29</v>
      </c>
      <c r="B2446" s="31" t="s">
        <v>32</v>
      </c>
      <c r="C2446" s="31" t="s">
        <v>57</v>
      </c>
      <c r="D2446" s="31" t="s">
        <v>321</v>
      </c>
      <c r="E2446" s="33">
        <v>2756.63</v>
      </c>
      <c r="F2446" s="34">
        <v>66</v>
      </c>
    </row>
    <row r="2447" spans="1:6" x14ac:dyDescent="0.3">
      <c r="A2447" s="35" t="s">
        <v>83</v>
      </c>
      <c r="B2447" s="36" t="s">
        <v>10</v>
      </c>
      <c r="C2447" s="36" t="s">
        <v>42</v>
      </c>
      <c r="D2447" s="37">
        <v>45507</v>
      </c>
      <c r="E2447" s="38">
        <v>17903.7</v>
      </c>
      <c r="F2447" s="39">
        <v>107</v>
      </c>
    </row>
    <row r="2448" spans="1:6" x14ac:dyDescent="0.3">
      <c r="A2448" s="30" t="s">
        <v>34</v>
      </c>
      <c r="B2448" s="31" t="s">
        <v>15</v>
      </c>
      <c r="C2448" s="31" t="s">
        <v>33</v>
      </c>
      <c r="D2448" s="32">
        <v>45476</v>
      </c>
      <c r="E2448" s="33">
        <v>15825.08</v>
      </c>
      <c r="F2448" s="34">
        <v>284</v>
      </c>
    </row>
    <row r="2449" spans="1:6" x14ac:dyDescent="0.3">
      <c r="A2449" s="35" t="s">
        <v>53</v>
      </c>
      <c r="B2449" s="36" t="s">
        <v>10</v>
      </c>
      <c r="C2449" s="36" t="s">
        <v>100</v>
      </c>
      <c r="D2449" s="37">
        <v>45540</v>
      </c>
      <c r="E2449" s="38">
        <v>7745.33</v>
      </c>
      <c r="F2449" s="39">
        <v>164</v>
      </c>
    </row>
    <row r="2450" spans="1:6" x14ac:dyDescent="0.3">
      <c r="A2450" s="30" t="s">
        <v>31</v>
      </c>
      <c r="B2450" s="31" t="s">
        <v>25</v>
      </c>
      <c r="C2450" s="31" t="s">
        <v>11</v>
      </c>
      <c r="D2450" s="31" t="s">
        <v>342</v>
      </c>
      <c r="E2450" s="33">
        <v>2214.91</v>
      </c>
      <c r="F2450" s="34">
        <v>161</v>
      </c>
    </row>
    <row r="2451" spans="1:6" x14ac:dyDescent="0.3">
      <c r="A2451" s="35" t="s">
        <v>77</v>
      </c>
      <c r="B2451" s="36" t="s">
        <v>7</v>
      </c>
      <c r="C2451" s="36" t="s">
        <v>90</v>
      </c>
      <c r="D2451" s="36" t="s">
        <v>287</v>
      </c>
      <c r="E2451" s="38">
        <v>190.24</v>
      </c>
      <c r="F2451" s="39">
        <v>156</v>
      </c>
    </row>
    <row r="2452" spans="1:6" x14ac:dyDescent="0.3">
      <c r="A2452" s="30" t="s">
        <v>12</v>
      </c>
      <c r="B2452" s="31" t="s">
        <v>15</v>
      </c>
      <c r="C2452" s="31" t="s">
        <v>38</v>
      </c>
      <c r="D2452" s="31" t="s">
        <v>335</v>
      </c>
      <c r="E2452" s="33">
        <v>2960</v>
      </c>
      <c r="F2452" s="34">
        <v>141</v>
      </c>
    </row>
    <row r="2453" spans="1:6" x14ac:dyDescent="0.3">
      <c r="A2453" s="35" t="s">
        <v>40</v>
      </c>
      <c r="B2453" s="36" t="s">
        <v>35</v>
      </c>
      <c r="C2453" s="36" t="s">
        <v>75</v>
      </c>
      <c r="D2453" s="36" t="s">
        <v>289</v>
      </c>
      <c r="E2453" s="38">
        <v>2937.62</v>
      </c>
      <c r="F2453" s="39">
        <v>389</v>
      </c>
    </row>
    <row r="2454" spans="1:6" x14ac:dyDescent="0.3">
      <c r="A2454" s="30" t="s">
        <v>83</v>
      </c>
      <c r="B2454" s="31" t="s">
        <v>32</v>
      </c>
      <c r="C2454" s="31" t="s">
        <v>100</v>
      </c>
      <c r="D2454" s="32">
        <v>45601</v>
      </c>
      <c r="E2454" s="33">
        <v>4778.3599999999997</v>
      </c>
      <c r="F2454" s="34">
        <v>124</v>
      </c>
    </row>
    <row r="2455" spans="1:6" x14ac:dyDescent="0.3">
      <c r="A2455" s="35" t="s">
        <v>77</v>
      </c>
      <c r="B2455" s="36" t="s">
        <v>10</v>
      </c>
      <c r="C2455" s="36" t="s">
        <v>42</v>
      </c>
      <c r="D2455" s="36" t="s">
        <v>272</v>
      </c>
      <c r="E2455" s="38">
        <v>5401.01</v>
      </c>
      <c r="F2455" s="39">
        <v>41</v>
      </c>
    </row>
    <row r="2456" spans="1:6" x14ac:dyDescent="0.3">
      <c r="A2456" s="30" t="s">
        <v>31</v>
      </c>
      <c r="B2456" s="31" t="s">
        <v>32</v>
      </c>
      <c r="C2456" s="31" t="s">
        <v>26</v>
      </c>
      <c r="D2456" s="31" t="s">
        <v>298</v>
      </c>
      <c r="E2456" s="33">
        <v>15372.94</v>
      </c>
      <c r="F2456" s="34">
        <v>124</v>
      </c>
    </row>
    <row r="2457" spans="1:6" x14ac:dyDescent="0.3">
      <c r="A2457" s="35" t="s">
        <v>58</v>
      </c>
      <c r="B2457" s="36" t="s">
        <v>25</v>
      </c>
      <c r="C2457" s="36" t="s">
        <v>8</v>
      </c>
      <c r="D2457" s="37">
        <v>45416</v>
      </c>
      <c r="E2457" s="38">
        <v>7121.02</v>
      </c>
      <c r="F2457" s="39">
        <v>433</v>
      </c>
    </row>
    <row r="2458" spans="1:6" x14ac:dyDescent="0.3">
      <c r="A2458" s="30" t="s">
        <v>40</v>
      </c>
      <c r="B2458" s="31" t="s">
        <v>25</v>
      </c>
      <c r="C2458" s="31" t="s">
        <v>18</v>
      </c>
      <c r="D2458" s="31" t="s">
        <v>333</v>
      </c>
      <c r="E2458" s="33">
        <v>9057.64</v>
      </c>
      <c r="F2458" s="34">
        <v>56</v>
      </c>
    </row>
    <row r="2459" spans="1:6" x14ac:dyDescent="0.3">
      <c r="A2459" s="35" t="s">
        <v>28</v>
      </c>
      <c r="B2459" s="36" t="s">
        <v>35</v>
      </c>
      <c r="C2459" s="36" t="s">
        <v>65</v>
      </c>
      <c r="D2459" s="36" t="s">
        <v>327</v>
      </c>
      <c r="E2459" s="38">
        <v>5439.43</v>
      </c>
      <c r="F2459" s="39">
        <v>125</v>
      </c>
    </row>
    <row r="2460" spans="1:6" x14ac:dyDescent="0.3">
      <c r="A2460" s="30" t="s">
        <v>41</v>
      </c>
      <c r="B2460" s="31" t="s">
        <v>15</v>
      </c>
      <c r="C2460" s="31" t="s">
        <v>59</v>
      </c>
      <c r="D2460" s="31" t="s">
        <v>275</v>
      </c>
      <c r="E2460" s="33">
        <v>2659.78</v>
      </c>
      <c r="F2460" s="34">
        <v>178</v>
      </c>
    </row>
    <row r="2461" spans="1:6" x14ac:dyDescent="0.3">
      <c r="A2461" s="35" t="s">
        <v>79</v>
      </c>
      <c r="B2461" s="36" t="s">
        <v>15</v>
      </c>
      <c r="C2461" s="36" t="s">
        <v>36</v>
      </c>
      <c r="D2461" s="36" t="s">
        <v>272</v>
      </c>
      <c r="E2461" s="38">
        <v>7897.59</v>
      </c>
      <c r="F2461" s="39">
        <v>3</v>
      </c>
    </row>
    <row r="2462" spans="1:6" x14ac:dyDescent="0.3">
      <c r="A2462" s="30" t="s">
        <v>31</v>
      </c>
      <c r="B2462" s="31" t="s">
        <v>7</v>
      </c>
      <c r="C2462" s="31" t="s">
        <v>59</v>
      </c>
      <c r="D2462" s="32">
        <v>45419</v>
      </c>
      <c r="E2462" s="33">
        <v>1959.22</v>
      </c>
      <c r="F2462" s="34">
        <v>70</v>
      </c>
    </row>
    <row r="2463" spans="1:6" x14ac:dyDescent="0.3">
      <c r="A2463" s="35" t="s">
        <v>41</v>
      </c>
      <c r="B2463" s="36" t="s">
        <v>35</v>
      </c>
      <c r="C2463" s="36" t="s">
        <v>87</v>
      </c>
      <c r="D2463" s="37">
        <v>45597</v>
      </c>
      <c r="E2463" s="38">
        <v>15305.32</v>
      </c>
      <c r="F2463" s="39">
        <v>91</v>
      </c>
    </row>
    <row r="2464" spans="1:6" x14ac:dyDescent="0.3">
      <c r="A2464" s="30" t="s">
        <v>70</v>
      </c>
      <c r="B2464" s="31" t="s">
        <v>32</v>
      </c>
      <c r="C2464" s="31" t="s">
        <v>59</v>
      </c>
      <c r="D2464" s="32">
        <v>45476</v>
      </c>
      <c r="E2464" s="33">
        <v>11257.11</v>
      </c>
      <c r="F2464" s="34">
        <v>21</v>
      </c>
    </row>
    <row r="2465" spans="1:6" x14ac:dyDescent="0.3">
      <c r="A2465" s="35" t="s">
        <v>55</v>
      </c>
      <c r="B2465" s="36" t="s">
        <v>35</v>
      </c>
      <c r="C2465" s="36" t="s">
        <v>26</v>
      </c>
      <c r="D2465" s="37">
        <v>45385</v>
      </c>
      <c r="E2465" s="38">
        <v>9207.09</v>
      </c>
      <c r="F2465" s="39">
        <v>109</v>
      </c>
    </row>
    <row r="2466" spans="1:6" x14ac:dyDescent="0.3">
      <c r="A2466" s="30" t="s">
        <v>37</v>
      </c>
      <c r="B2466" s="31" t="s">
        <v>35</v>
      </c>
      <c r="C2466" s="31" t="s">
        <v>42</v>
      </c>
      <c r="D2466" s="31" t="s">
        <v>292</v>
      </c>
      <c r="E2466" s="33">
        <v>2769.94</v>
      </c>
      <c r="F2466" s="34">
        <v>302</v>
      </c>
    </row>
    <row r="2467" spans="1:6" x14ac:dyDescent="0.3">
      <c r="A2467" s="35" t="s">
        <v>55</v>
      </c>
      <c r="B2467" s="36" t="s">
        <v>7</v>
      </c>
      <c r="C2467" s="36" t="s">
        <v>13</v>
      </c>
      <c r="D2467" s="37">
        <v>45601</v>
      </c>
      <c r="E2467" s="38">
        <v>7477.56</v>
      </c>
      <c r="F2467" s="39">
        <v>85</v>
      </c>
    </row>
    <row r="2468" spans="1:6" x14ac:dyDescent="0.3">
      <c r="A2468" s="30" t="s">
        <v>37</v>
      </c>
      <c r="B2468" s="31" t="s">
        <v>32</v>
      </c>
      <c r="C2468" s="31" t="s">
        <v>46</v>
      </c>
      <c r="D2468" s="31" t="s">
        <v>302</v>
      </c>
      <c r="E2468" s="33">
        <v>5231.54</v>
      </c>
      <c r="F2468" s="34">
        <v>8</v>
      </c>
    </row>
    <row r="2469" spans="1:6" x14ac:dyDescent="0.3">
      <c r="A2469" s="35" t="s">
        <v>37</v>
      </c>
      <c r="B2469" s="36" t="s">
        <v>10</v>
      </c>
      <c r="C2469" s="36" t="s">
        <v>33</v>
      </c>
      <c r="D2469" s="36" t="s">
        <v>275</v>
      </c>
      <c r="E2469" s="38">
        <v>3745.21</v>
      </c>
      <c r="F2469" s="39">
        <v>161</v>
      </c>
    </row>
    <row r="2470" spans="1:6" x14ac:dyDescent="0.3">
      <c r="A2470" s="30" t="s">
        <v>83</v>
      </c>
      <c r="B2470" s="31" t="s">
        <v>10</v>
      </c>
      <c r="C2470" s="31" t="s">
        <v>18</v>
      </c>
      <c r="D2470" s="32">
        <v>45359</v>
      </c>
      <c r="E2470" s="33">
        <v>8503.93</v>
      </c>
      <c r="F2470" s="34">
        <v>19</v>
      </c>
    </row>
    <row r="2471" spans="1:6" x14ac:dyDescent="0.3">
      <c r="A2471" s="35" t="s">
        <v>64</v>
      </c>
      <c r="B2471" s="36" t="s">
        <v>25</v>
      </c>
      <c r="C2471" s="36" t="s">
        <v>8</v>
      </c>
      <c r="D2471" s="36" t="s">
        <v>343</v>
      </c>
      <c r="E2471" s="38">
        <v>12524.3</v>
      </c>
      <c r="F2471" s="39">
        <v>251</v>
      </c>
    </row>
    <row r="2472" spans="1:6" x14ac:dyDescent="0.3">
      <c r="A2472" s="30" t="s">
        <v>64</v>
      </c>
      <c r="B2472" s="31" t="s">
        <v>15</v>
      </c>
      <c r="C2472" s="31" t="s">
        <v>57</v>
      </c>
      <c r="D2472" s="31" t="s">
        <v>280</v>
      </c>
      <c r="E2472" s="33">
        <v>472.27</v>
      </c>
      <c r="F2472" s="34">
        <v>101</v>
      </c>
    </row>
    <row r="2473" spans="1:6" x14ac:dyDescent="0.3">
      <c r="A2473" s="35" t="s">
        <v>58</v>
      </c>
      <c r="B2473" s="36" t="s">
        <v>7</v>
      </c>
      <c r="C2473" s="36" t="s">
        <v>13</v>
      </c>
      <c r="D2473" s="37">
        <v>45475</v>
      </c>
      <c r="E2473" s="38">
        <v>9771.8700000000008</v>
      </c>
      <c r="F2473" s="39">
        <v>158</v>
      </c>
    </row>
    <row r="2474" spans="1:6" x14ac:dyDescent="0.3">
      <c r="A2474" s="30" t="s">
        <v>37</v>
      </c>
      <c r="B2474" s="31" t="s">
        <v>15</v>
      </c>
      <c r="C2474" s="31" t="s">
        <v>65</v>
      </c>
      <c r="D2474" s="32">
        <v>45511</v>
      </c>
      <c r="E2474" s="33">
        <v>8130.06</v>
      </c>
      <c r="F2474" s="34">
        <v>140</v>
      </c>
    </row>
    <row r="2475" spans="1:6" x14ac:dyDescent="0.3">
      <c r="A2475" s="35" t="s">
        <v>58</v>
      </c>
      <c r="B2475" s="36" t="s">
        <v>10</v>
      </c>
      <c r="C2475" s="36" t="s">
        <v>46</v>
      </c>
      <c r="D2475" s="36" t="s">
        <v>344</v>
      </c>
      <c r="E2475" s="38">
        <v>1624.06</v>
      </c>
      <c r="F2475" s="39">
        <v>96</v>
      </c>
    </row>
    <row r="2476" spans="1:6" x14ac:dyDescent="0.3">
      <c r="A2476" s="30" t="s">
        <v>83</v>
      </c>
      <c r="B2476" s="31" t="s">
        <v>7</v>
      </c>
      <c r="C2476" s="31" t="s">
        <v>8</v>
      </c>
      <c r="D2476" s="32">
        <v>45508</v>
      </c>
      <c r="E2476" s="33">
        <v>2984.4</v>
      </c>
      <c r="F2476" s="34">
        <v>214</v>
      </c>
    </row>
    <row r="2477" spans="1:6" x14ac:dyDescent="0.3">
      <c r="A2477" s="35" t="s">
        <v>53</v>
      </c>
      <c r="B2477" s="36" t="s">
        <v>15</v>
      </c>
      <c r="C2477" s="36" t="s">
        <v>26</v>
      </c>
      <c r="D2477" s="36" t="s">
        <v>343</v>
      </c>
      <c r="E2477" s="38">
        <v>15593.5</v>
      </c>
      <c r="F2477" s="39">
        <v>56</v>
      </c>
    </row>
    <row r="2478" spans="1:6" x14ac:dyDescent="0.3">
      <c r="A2478" s="30" t="s">
        <v>14</v>
      </c>
      <c r="B2478" s="31" t="s">
        <v>10</v>
      </c>
      <c r="C2478" s="31" t="s">
        <v>57</v>
      </c>
      <c r="D2478" s="32">
        <v>45387</v>
      </c>
      <c r="E2478" s="33">
        <v>3387.76</v>
      </c>
      <c r="F2478" s="34">
        <v>60</v>
      </c>
    </row>
    <row r="2479" spans="1:6" x14ac:dyDescent="0.3">
      <c r="A2479" s="35" t="s">
        <v>34</v>
      </c>
      <c r="B2479" s="36" t="s">
        <v>32</v>
      </c>
      <c r="C2479" s="36" t="s">
        <v>11</v>
      </c>
      <c r="D2479" s="37">
        <v>45601</v>
      </c>
      <c r="E2479" s="38">
        <v>2847.18</v>
      </c>
      <c r="F2479" s="39">
        <v>115</v>
      </c>
    </row>
    <row r="2480" spans="1:6" x14ac:dyDescent="0.3">
      <c r="A2480" s="30" t="s">
        <v>34</v>
      </c>
      <c r="B2480" s="31" t="s">
        <v>32</v>
      </c>
      <c r="C2480" s="31" t="s">
        <v>36</v>
      </c>
      <c r="D2480" s="31" t="s">
        <v>345</v>
      </c>
      <c r="E2480" s="33">
        <v>7511.77</v>
      </c>
      <c r="F2480" s="34">
        <v>49</v>
      </c>
    </row>
    <row r="2481" spans="1:6" x14ac:dyDescent="0.3">
      <c r="A2481" s="35" t="s">
        <v>58</v>
      </c>
      <c r="B2481" s="36" t="s">
        <v>35</v>
      </c>
      <c r="C2481" s="36" t="s">
        <v>50</v>
      </c>
      <c r="D2481" s="37">
        <v>45573</v>
      </c>
      <c r="E2481" s="38">
        <v>2711.58</v>
      </c>
      <c r="F2481" s="39">
        <v>216</v>
      </c>
    </row>
    <row r="2482" spans="1:6" x14ac:dyDescent="0.3">
      <c r="A2482" s="30" t="s">
        <v>58</v>
      </c>
      <c r="B2482" s="31" t="s">
        <v>32</v>
      </c>
      <c r="C2482" s="31" t="s">
        <v>57</v>
      </c>
      <c r="D2482" s="32">
        <v>45387</v>
      </c>
      <c r="E2482" s="33">
        <v>1673.44</v>
      </c>
      <c r="F2482" s="34">
        <v>314</v>
      </c>
    </row>
    <row r="2483" spans="1:6" x14ac:dyDescent="0.3">
      <c r="A2483" s="35" t="s">
        <v>70</v>
      </c>
      <c r="B2483" s="36" t="s">
        <v>32</v>
      </c>
      <c r="C2483" s="36" t="s">
        <v>20</v>
      </c>
      <c r="D2483" s="36" t="s">
        <v>304</v>
      </c>
      <c r="E2483" s="38">
        <v>8853.16</v>
      </c>
      <c r="F2483" s="39">
        <v>261</v>
      </c>
    </row>
    <row r="2484" spans="1:6" x14ac:dyDescent="0.3">
      <c r="A2484" s="30" t="s">
        <v>79</v>
      </c>
      <c r="B2484" s="31" t="s">
        <v>35</v>
      </c>
      <c r="C2484" s="31" t="s">
        <v>73</v>
      </c>
      <c r="D2484" s="32">
        <v>45359</v>
      </c>
      <c r="E2484" s="33">
        <v>4722.3900000000003</v>
      </c>
      <c r="F2484" s="34">
        <v>258</v>
      </c>
    </row>
    <row r="2485" spans="1:6" x14ac:dyDescent="0.3">
      <c r="A2485" s="35" t="s">
        <v>40</v>
      </c>
      <c r="B2485" s="36" t="s">
        <v>25</v>
      </c>
      <c r="C2485" s="36" t="s">
        <v>46</v>
      </c>
      <c r="D2485" s="36" t="s">
        <v>328</v>
      </c>
      <c r="E2485" s="38">
        <v>8408.1200000000008</v>
      </c>
      <c r="F2485" s="39">
        <v>318</v>
      </c>
    </row>
    <row r="2486" spans="1:6" x14ac:dyDescent="0.3">
      <c r="A2486" s="30" t="s">
        <v>77</v>
      </c>
      <c r="B2486" s="31" t="s">
        <v>15</v>
      </c>
      <c r="C2486" s="31" t="s">
        <v>75</v>
      </c>
      <c r="D2486" s="32">
        <v>45508</v>
      </c>
      <c r="E2486" s="33">
        <v>2442.36</v>
      </c>
      <c r="F2486" s="34">
        <v>78</v>
      </c>
    </row>
    <row r="2487" spans="1:6" x14ac:dyDescent="0.3">
      <c r="A2487" s="35" t="s">
        <v>70</v>
      </c>
      <c r="B2487" s="36" t="s">
        <v>7</v>
      </c>
      <c r="C2487" s="36" t="s">
        <v>33</v>
      </c>
      <c r="D2487" s="37">
        <v>45299</v>
      </c>
      <c r="E2487" s="38">
        <v>4010.08</v>
      </c>
      <c r="F2487" s="39">
        <v>3</v>
      </c>
    </row>
    <row r="2488" spans="1:6" x14ac:dyDescent="0.3">
      <c r="A2488" s="30" t="s">
        <v>58</v>
      </c>
      <c r="B2488" s="31" t="s">
        <v>35</v>
      </c>
      <c r="C2488" s="31" t="s">
        <v>36</v>
      </c>
      <c r="D2488" s="31" t="s">
        <v>337</v>
      </c>
      <c r="E2488" s="33">
        <v>492.21</v>
      </c>
      <c r="F2488" s="34">
        <v>45</v>
      </c>
    </row>
    <row r="2489" spans="1:6" x14ac:dyDescent="0.3">
      <c r="A2489" s="35" t="s">
        <v>37</v>
      </c>
      <c r="B2489" s="36" t="s">
        <v>10</v>
      </c>
      <c r="C2489" s="36" t="s">
        <v>8</v>
      </c>
      <c r="D2489" s="36" t="s">
        <v>292</v>
      </c>
      <c r="E2489" s="38">
        <v>11650.88</v>
      </c>
      <c r="F2489" s="39">
        <v>192</v>
      </c>
    </row>
    <row r="2490" spans="1:6" x14ac:dyDescent="0.3">
      <c r="A2490" s="30" t="s">
        <v>31</v>
      </c>
      <c r="B2490" s="31" t="s">
        <v>25</v>
      </c>
      <c r="C2490" s="31" t="s">
        <v>65</v>
      </c>
      <c r="D2490" s="31" t="s">
        <v>270</v>
      </c>
      <c r="E2490" s="33">
        <v>6426.04</v>
      </c>
      <c r="F2490" s="34">
        <v>132</v>
      </c>
    </row>
    <row r="2491" spans="1:6" x14ac:dyDescent="0.3">
      <c r="A2491" s="35" t="s">
        <v>34</v>
      </c>
      <c r="B2491" s="36" t="s">
        <v>15</v>
      </c>
      <c r="C2491" s="36" t="s">
        <v>11</v>
      </c>
      <c r="D2491" s="36" t="s">
        <v>300</v>
      </c>
      <c r="E2491" s="38">
        <v>2665.28</v>
      </c>
      <c r="F2491" s="39">
        <v>54</v>
      </c>
    </row>
    <row r="2492" spans="1:6" x14ac:dyDescent="0.3">
      <c r="A2492" s="30" t="s">
        <v>83</v>
      </c>
      <c r="B2492" s="31" t="s">
        <v>35</v>
      </c>
      <c r="C2492" s="31" t="s">
        <v>36</v>
      </c>
      <c r="D2492" s="32">
        <v>45566</v>
      </c>
      <c r="E2492" s="33">
        <v>2048.58</v>
      </c>
      <c r="F2492" s="34">
        <v>170</v>
      </c>
    </row>
    <row r="2493" spans="1:6" x14ac:dyDescent="0.3">
      <c r="A2493" s="35" t="s">
        <v>12</v>
      </c>
      <c r="B2493" s="36" t="s">
        <v>15</v>
      </c>
      <c r="C2493" s="36" t="s">
        <v>59</v>
      </c>
      <c r="D2493" s="37">
        <v>45601</v>
      </c>
      <c r="E2493" s="38">
        <v>6267.19</v>
      </c>
      <c r="F2493" s="39">
        <v>83</v>
      </c>
    </row>
    <row r="2494" spans="1:6" x14ac:dyDescent="0.3">
      <c r="A2494" s="30" t="s">
        <v>41</v>
      </c>
      <c r="B2494" s="31" t="s">
        <v>25</v>
      </c>
      <c r="C2494" s="31" t="s">
        <v>11</v>
      </c>
      <c r="D2494" s="31" t="s">
        <v>346</v>
      </c>
      <c r="E2494" s="33">
        <v>12886.26</v>
      </c>
      <c r="F2494" s="34">
        <v>21</v>
      </c>
    </row>
    <row r="2495" spans="1:6" x14ac:dyDescent="0.3">
      <c r="A2495" s="35" t="s">
        <v>55</v>
      </c>
      <c r="B2495" s="36" t="s">
        <v>32</v>
      </c>
      <c r="C2495" s="36" t="s">
        <v>90</v>
      </c>
      <c r="D2495" s="36" t="s">
        <v>347</v>
      </c>
      <c r="E2495" s="38">
        <v>6143.64</v>
      </c>
      <c r="F2495" s="39">
        <v>117</v>
      </c>
    </row>
    <row r="2496" spans="1:6" x14ac:dyDescent="0.3">
      <c r="A2496" s="30" t="s">
        <v>34</v>
      </c>
      <c r="B2496" s="31" t="s">
        <v>15</v>
      </c>
      <c r="C2496" s="31" t="s">
        <v>65</v>
      </c>
      <c r="D2496" s="32">
        <v>45299</v>
      </c>
      <c r="E2496" s="33">
        <v>8273.83</v>
      </c>
      <c r="F2496" s="34">
        <v>130</v>
      </c>
    </row>
    <row r="2497" spans="1:6" x14ac:dyDescent="0.3">
      <c r="A2497" s="35" t="s">
        <v>28</v>
      </c>
      <c r="B2497" s="36" t="s">
        <v>35</v>
      </c>
      <c r="C2497" s="36" t="s">
        <v>11</v>
      </c>
      <c r="D2497" s="36" t="s">
        <v>276</v>
      </c>
      <c r="E2497" s="38">
        <v>12163.59</v>
      </c>
      <c r="F2497" s="39">
        <v>264</v>
      </c>
    </row>
    <row r="2498" spans="1:6" x14ac:dyDescent="0.3">
      <c r="A2498" s="30" t="s">
        <v>28</v>
      </c>
      <c r="B2498" s="31" t="s">
        <v>15</v>
      </c>
      <c r="C2498" s="31" t="s">
        <v>38</v>
      </c>
      <c r="D2498" s="31" t="s">
        <v>335</v>
      </c>
      <c r="E2498" s="33">
        <v>7192.41</v>
      </c>
      <c r="F2498" s="34">
        <v>159</v>
      </c>
    </row>
    <row r="2499" spans="1:6" x14ac:dyDescent="0.3">
      <c r="A2499" s="35" t="s">
        <v>79</v>
      </c>
      <c r="B2499" s="36" t="s">
        <v>32</v>
      </c>
      <c r="C2499" s="36" t="s">
        <v>33</v>
      </c>
      <c r="D2499" s="36" t="s">
        <v>288</v>
      </c>
      <c r="E2499" s="38">
        <v>1452.94</v>
      </c>
      <c r="F2499" s="39">
        <v>112</v>
      </c>
    </row>
    <row r="2500" spans="1:6" x14ac:dyDescent="0.3">
      <c r="A2500" s="30" t="s">
        <v>29</v>
      </c>
      <c r="B2500" s="31" t="s">
        <v>15</v>
      </c>
      <c r="C2500" s="31" t="s">
        <v>26</v>
      </c>
      <c r="D2500" s="31" t="s">
        <v>345</v>
      </c>
      <c r="E2500" s="33">
        <v>3375.83</v>
      </c>
      <c r="F2500" s="34">
        <v>41</v>
      </c>
    </row>
    <row r="2501" spans="1:6" x14ac:dyDescent="0.3">
      <c r="A2501" s="35" t="s">
        <v>58</v>
      </c>
      <c r="B2501" s="36" t="s">
        <v>10</v>
      </c>
      <c r="C2501" s="36" t="s">
        <v>20</v>
      </c>
      <c r="D2501" s="36" t="s">
        <v>348</v>
      </c>
      <c r="E2501" s="38">
        <v>8328.7999999999993</v>
      </c>
      <c r="F2501" s="39">
        <v>327</v>
      </c>
    </row>
    <row r="2502" spans="1:6" x14ac:dyDescent="0.3">
      <c r="A2502" s="30" t="s">
        <v>48</v>
      </c>
      <c r="B2502" s="31" t="s">
        <v>7</v>
      </c>
      <c r="C2502" s="31" t="s">
        <v>59</v>
      </c>
      <c r="D2502" s="32">
        <v>45293</v>
      </c>
      <c r="E2502" s="33">
        <v>1634.54</v>
      </c>
      <c r="F2502" s="34">
        <v>70</v>
      </c>
    </row>
    <row r="2503" spans="1:6" x14ac:dyDescent="0.3">
      <c r="A2503" s="35" t="s">
        <v>70</v>
      </c>
      <c r="B2503" s="36" t="s">
        <v>15</v>
      </c>
      <c r="C2503" s="36" t="s">
        <v>23</v>
      </c>
      <c r="D2503" s="37">
        <v>45325</v>
      </c>
      <c r="E2503" s="38">
        <v>8265.41</v>
      </c>
      <c r="F2503" s="39">
        <v>298</v>
      </c>
    </row>
    <row r="2504" spans="1:6" x14ac:dyDescent="0.3">
      <c r="A2504" s="30" t="s">
        <v>12</v>
      </c>
      <c r="B2504" s="31" t="s">
        <v>7</v>
      </c>
      <c r="C2504" s="31" t="s">
        <v>57</v>
      </c>
      <c r="D2504" s="32">
        <v>45447</v>
      </c>
      <c r="E2504" s="33">
        <v>1448.1</v>
      </c>
      <c r="F2504" s="34">
        <v>92</v>
      </c>
    </row>
    <row r="2505" spans="1:6" x14ac:dyDescent="0.3">
      <c r="A2505" s="35" t="s">
        <v>22</v>
      </c>
      <c r="B2505" s="36" t="s">
        <v>15</v>
      </c>
      <c r="C2505" s="36" t="s">
        <v>73</v>
      </c>
      <c r="D2505" s="36" t="s">
        <v>329</v>
      </c>
      <c r="E2505" s="38">
        <v>709.53</v>
      </c>
      <c r="F2505" s="39">
        <v>77</v>
      </c>
    </row>
    <row r="2506" spans="1:6" x14ac:dyDescent="0.3">
      <c r="A2506" s="30" t="s">
        <v>48</v>
      </c>
      <c r="B2506" s="31" t="s">
        <v>7</v>
      </c>
      <c r="C2506" s="31" t="s">
        <v>57</v>
      </c>
      <c r="D2506" s="31" t="s">
        <v>349</v>
      </c>
      <c r="E2506" s="33">
        <v>12197.19</v>
      </c>
      <c r="F2506" s="34">
        <v>135</v>
      </c>
    </row>
    <row r="2507" spans="1:6" x14ac:dyDescent="0.3">
      <c r="A2507" s="35" t="s">
        <v>31</v>
      </c>
      <c r="B2507" s="36" t="s">
        <v>35</v>
      </c>
      <c r="C2507" s="36" t="s">
        <v>26</v>
      </c>
      <c r="D2507" s="36" t="s">
        <v>290</v>
      </c>
      <c r="E2507" s="38">
        <v>10917.59</v>
      </c>
      <c r="F2507" s="39">
        <v>302</v>
      </c>
    </row>
    <row r="2508" spans="1:6" x14ac:dyDescent="0.3">
      <c r="A2508" s="30" t="s">
        <v>48</v>
      </c>
      <c r="B2508" s="31" t="s">
        <v>32</v>
      </c>
      <c r="C2508" s="31" t="s">
        <v>50</v>
      </c>
      <c r="D2508" s="32">
        <v>45603</v>
      </c>
      <c r="E2508" s="33">
        <v>1679.89</v>
      </c>
      <c r="F2508" s="34">
        <v>287</v>
      </c>
    </row>
    <row r="2509" spans="1:6" x14ac:dyDescent="0.3">
      <c r="A2509" s="35" t="s">
        <v>28</v>
      </c>
      <c r="B2509" s="36" t="s">
        <v>10</v>
      </c>
      <c r="C2509" s="36" t="s">
        <v>65</v>
      </c>
      <c r="D2509" s="36" t="s">
        <v>270</v>
      </c>
      <c r="E2509" s="38">
        <v>2303.17</v>
      </c>
      <c r="F2509" s="39">
        <v>225</v>
      </c>
    </row>
    <row r="2510" spans="1:6" x14ac:dyDescent="0.3">
      <c r="A2510" s="30" t="s">
        <v>19</v>
      </c>
      <c r="B2510" s="31" t="s">
        <v>25</v>
      </c>
      <c r="C2510" s="31" t="s">
        <v>18</v>
      </c>
      <c r="D2510" s="32">
        <v>45480</v>
      </c>
      <c r="E2510" s="33">
        <v>9261.26</v>
      </c>
      <c r="F2510" s="34">
        <v>65</v>
      </c>
    </row>
    <row r="2511" spans="1:6" x14ac:dyDescent="0.3">
      <c r="A2511" s="35" t="s">
        <v>14</v>
      </c>
      <c r="B2511" s="36" t="s">
        <v>10</v>
      </c>
      <c r="C2511" s="36" t="s">
        <v>11</v>
      </c>
      <c r="D2511" s="36" t="s">
        <v>306</v>
      </c>
      <c r="E2511" s="38">
        <v>5252.8</v>
      </c>
      <c r="F2511" s="39">
        <v>415</v>
      </c>
    </row>
    <row r="2512" spans="1:6" x14ac:dyDescent="0.3">
      <c r="A2512" s="30" t="s">
        <v>40</v>
      </c>
      <c r="B2512" s="31" t="s">
        <v>10</v>
      </c>
      <c r="C2512" s="31" t="s">
        <v>57</v>
      </c>
      <c r="D2512" s="31" t="s">
        <v>327</v>
      </c>
      <c r="E2512" s="33">
        <v>5385.55</v>
      </c>
      <c r="F2512" s="34">
        <v>161</v>
      </c>
    </row>
    <row r="2513" spans="1:6" x14ac:dyDescent="0.3">
      <c r="A2513" s="35" t="s">
        <v>67</v>
      </c>
      <c r="B2513" s="36" t="s">
        <v>25</v>
      </c>
      <c r="C2513" s="36" t="s">
        <v>26</v>
      </c>
      <c r="D2513" s="37">
        <v>45325</v>
      </c>
      <c r="E2513" s="38">
        <v>3741.19</v>
      </c>
      <c r="F2513" s="39">
        <v>222</v>
      </c>
    </row>
    <row r="2514" spans="1:6" x14ac:dyDescent="0.3">
      <c r="A2514" s="30" t="s">
        <v>22</v>
      </c>
      <c r="B2514" s="31" t="s">
        <v>35</v>
      </c>
      <c r="C2514" s="31" t="s">
        <v>73</v>
      </c>
      <c r="D2514" s="31" t="s">
        <v>348</v>
      </c>
      <c r="E2514" s="33">
        <v>2223.4899999999998</v>
      </c>
      <c r="F2514" s="34">
        <v>127</v>
      </c>
    </row>
    <row r="2515" spans="1:6" x14ac:dyDescent="0.3">
      <c r="A2515" s="35" t="s">
        <v>70</v>
      </c>
      <c r="B2515" s="36" t="s">
        <v>32</v>
      </c>
      <c r="C2515" s="36" t="s">
        <v>38</v>
      </c>
      <c r="D2515" s="36" t="s">
        <v>307</v>
      </c>
      <c r="E2515" s="38">
        <v>7720.37</v>
      </c>
      <c r="F2515" s="39">
        <v>156</v>
      </c>
    </row>
    <row r="2516" spans="1:6" x14ac:dyDescent="0.3">
      <c r="A2516" s="30" t="s">
        <v>9</v>
      </c>
      <c r="B2516" s="31" t="s">
        <v>35</v>
      </c>
      <c r="C2516" s="31" t="s">
        <v>59</v>
      </c>
      <c r="D2516" s="31" t="s">
        <v>345</v>
      </c>
      <c r="E2516" s="33">
        <v>468.09</v>
      </c>
      <c r="F2516" s="34">
        <v>3</v>
      </c>
    </row>
    <row r="2517" spans="1:6" x14ac:dyDescent="0.3">
      <c r="A2517" s="35" t="s">
        <v>29</v>
      </c>
      <c r="B2517" s="36" t="s">
        <v>32</v>
      </c>
      <c r="C2517" s="36" t="s">
        <v>87</v>
      </c>
      <c r="D2517" s="37">
        <v>45541</v>
      </c>
      <c r="E2517" s="38">
        <v>3083.39</v>
      </c>
      <c r="F2517" s="39">
        <v>55</v>
      </c>
    </row>
    <row r="2518" spans="1:6" x14ac:dyDescent="0.3">
      <c r="A2518" s="30" t="s">
        <v>9</v>
      </c>
      <c r="B2518" s="31" t="s">
        <v>15</v>
      </c>
      <c r="C2518" s="31" t="s">
        <v>90</v>
      </c>
      <c r="D2518" s="31" t="s">
        <v>350</v>
      </c>
      <c r="E2518" s="33">
        <v>6898.94</v>
      </c>
      <c r="F2518" s="34">
        <v>58</v>
      </c>
    </row>
    <row r="2519" spans="1:6" x14ac:dyDescent="0.3">
      <c r="A2519" s="35" t="s">
        <v>83</v>
      </c>
      <c r="B2519" s="36" t="s">
        <v>25</v>
      </c>
      <c r="C2519" s="36" t="s">
        <v>13</v>
      </c>
      <c r="D2519" s="37">
        <v>45385</v>
      </c>
      <c r="E2519" s="38">
        <v>1036.05</v>
      </c>
      <c r="F2519" s="39">
        <v>291</v>
      </c>
    </row>
    <row r="2520" spans="1:6" x14ac:dyDescent="0.3">
      <c r="A2520" s="30" t="s">
        <v>70</v>
      </c>
      <c r="B2520" s="31" t="s">
        <v>35</v>
      </c>
      <c r="C2520" s="31" t="s">
        <v>46</v>
      </c>
      <c r="D2520" s="32">
        <v>45480</v>
      </c>
      <c r="E2520" s="33">
        <v>17518.04</v>
      </c>
      <c r="F2520" s="34">
        <v>28</v>
      </c>
    </row>
    <row r="2521" spans="1:6" x14ac:dyDescent="0.3">
      <c r="A2521" s="35" t="s">
        <v>58</v>
      </c>
      <c r="B2521" s="36" t="s">
        <v>35</v>
      </c>
      <c r="C2521" s="36" t="s">
        <v>75</v>
      </c>
      <c r="D2521" s="36" t="s">
        <v>270</v>
      </c>
      <c r="E2521" s="38">
        <v>11691.86</v>
      </c>
      <c r="F2521" s="39">
        <v>128</v>
      </c>
    </row>
    <row r="2522" spans="1:6" x14ac:dyDescent="0.3">
      <c r="A2522" s="30" t="s">
        <v>48</v>
      </c>
      <c r="B2522" s="31" t="s">
        <v>15</v>
      </c>
      <c r="C2522" s="31" t="s">
        <v>65</v>
      </c>
      <c r="D2522" s="31" t="s">
        <v>301</v>
      </c>
      <c r="E2522" s="33">
        <v>3136.53</v>
      </c>
      <c r="F2522" s="34">
        <v>74</v>
      </c>
    </row>
    <row r="2523" spans="1:6" x14ac:dyDescent="0.3">
      <c r="A2523" s="35" t="s">
        <v>77</v>
      </c>
      <c r="B2523" s="36" t="s">
        <v>15</v>
      </c>
      <c r="C2523" s="36" t="s">
        <v>11</v>
      </c>
      <c r="D2523" s="36" t="s">
        <v>317</v>
      </c>
      <c r="E2523" s="38">
        <v>1677.71</v>
      </c>
      <c r="F2523" s="39">
        <v>325</v>
      </c>
    </row>
    <row r="2524" spans="1:6" x14ac:dyDescent="0.3">
      <c r="A2524" s="30" t="s">
        <v>12</v>
      </c>
      <c r="B2524" s="31" t="s">
        <v>7</v>
      </c>
      <c r="C2524" s="31" t="s">
        <v>26</v>
      </c>
      <c r="D2524" s="31" t="s">
        <v>351</v>
      </c>
      <c r="E2524" s="33">
        <v>8937.3700000000008</v>
      </c>
      <c r="F2524" s="34">
        <v>66</v>
      </c>
    </row>
    <row r="2525" spans="1:6" x14ac:dyDescent="0.3">
      <c r="A2525" s="35" t="s">
        <v>83</v>
      </c>
      <c r="B2525" s="36" t="s">
        <v>7</v>
      </c>
      <c r="C2525" s="36" t="s">
        <v>60</v>
      </c>
      <c r="D2525" s="36" t="s">
        <v>277</v>
      </c>
      <c r="E2525" s="38">
        <v>4761.38</v>
      </c>
      <c r="F2525" s="39">
        <v>406</v>
      </c>
    </row>
    <row r="2526" spans="1:6" x14ac:dyDescent="0.3">
      <c r="A2526" s="30" t="s">
        <v>12</v>
      </c>
      <c r="B2526" s="31" t="s">
        <v>7</v>
      </c>
      <c r="C2526" s="31" t="s">
        <v>100</v>
      </c>
      <c r="D2526" s="31" t="s">
        <v>352</v>
      </c>
      <c r="E2526" s="33">
        <v>942.02</v>
      </c>
      <c r="F2526" s="34">
        <v>84</v>
      </c>
    </row>
    <row r="2527" spans="1:6" x14ac:dyDescent="0.3">
      <c r="A2527" s="35" t="s">
        <v>6</v>
      </c>
      <c r="B2527" s="36" t="s">
        <v>15</v>
      </c>
      <c r="C2527" s="36" t="s">
        <v>13</v>
      </c>
      <c r="D2527" s="36" t="s">
        <v>349</v>
      </c>
      <c r="E2527" s="38">
        <v>6623.03</v>
      </c>
      <c r="F2527" s="39">
        <v>39</v>
      </c>
    </row>
    <row r="2528" spans="1:6" x14ac:dyDescent="0.3">
      <c r="A2528" s="30" t="s">
        <v>40</v>
      </c>
      <c r="B2528" s="31" t="s">
        <v>10</v>
      </c>
      <c r="C2528" s="31" t="s">
        <v>36</v>
      </c>
      <c r="D2528" s="31" t="s">
        <v>270</v>
      </c>
      <c r="E2528" s="33">
        <v>4067.36</v>
      </c>
      <c r="F2528" s="34">
        <v>94</v>
      </c>
    </row>
    <row r="2529" spans="1:6" x14ac:dyDescent="0.3">
      <c r="A2529" s="35" t="s">
        <v>48</v>
      </c>
      <c r="B2529" s="36" t="s">
        <v>35</v>
      </c>
      <c r="C2529" s="36" t="s">
        <v>57</v>
      </c>
      <c r="D2529" s="37">
        <v>45386</v>
      </c>
      <c r="E2529" s="38">
        <v>4712.55</v>
      </c>
      <c r="F2529" s="39">
        <v>211</v>
      </c>
    </row>
    <row r="2530" spans="1:6" x14ac:dyDescent="0.3">
      <c r="A2530" s="30" t="s">
        <v>55</v>
      </c>
      <c r="B2530" s="31" t="s">
        <v>7</v>
      </c>
      <c r="C2530" s="31" t="s">
        <v>18</v>
      </c>
      <c r="D2530" s="32">
        <v>45510</v>
      </c>
      <c r="E2530" s="33">
        <v>9571.2999999999993</v>
      </c>
      <c r="F2530" s="34">
        <v>594</v>
      </c>
    </row>
    <row r="2531" spans="1:6" x14ac:dyDescent="0.3">
      <c r="A2531" s="35" t="s">
        <v>37</v>
      </c>
      <c r="B2531" s="36" t="s">
        <v>35</v>
      </c>
      <c r="C2531" s="36" t="s">
        <v>50</v>
      </c>
      <c r="D2531" s="37">
        <v>45330</v>
      </c>
      <c r="E2531" s="38">
        <v>6779.99</v>
      </c>
      <c r="F2531" s="39">
        <v>46</v>
      </c>
    </row>
    <row r="2532" spans="1:6" x14ac:dyDescent="0.3">
      <c r="A2532" s="30" t="s">
        <v>70</v>
      </c>
      <c r="B2532" s="31" t="s">
        <v>32</v>
      </c>
      <c r="C2532" s="31" t="s">
        <v>42</v>
      </c>
      <c r="D2532" s="31" t="s">
        <v>347</v>
      </c>
      <c r="E2532" s="33">
        <v>10772.46</v>
      </c>
      <c r="F2532" s="34">
        <v>150</v>
      </c>
    </row>
    <row r="2533" spans="1:6" x14ac:dyDescent="0.3">
      <c r="A2533" s="35" t="s">
        <v>48</v>
      </c>
      <c r="B2533" s="36" t="s">
        <v>10</v>
      </c>
      <c r="C2533" s="36" t="s">
        <v>50</v>
      </c>
      <c r="D2533" s="36" t="s">
        <v>299</v>
      </c>
      <c r="E2533" s="38">
        <v>189.34</v>
      </c>
      <c r="F2533" s="39">
        <v>140</v>
      </c>
    </row>
    <row r="2534" spans="1:6" x14ac:dyDescent="0.3">
      <c r="A2534" s="30" t="s">
        <v>45</v>
      </c>
      <c r="B2534" s="31" t="s">
        <v>10</v>
      </c>
      <c r="C2534" s="31" t="s">
        <v>23</v>
      </c>
      <c r="D2534" s="31" t="s">
        <v>353</v>
      </c>
      <c r="E2534" s="33">
        <v>3015.47</v>
      </c>
      <c r="F2534" s="34">
        <v>115</v>
      </c>
    </row>
    <row r="2535" spans="1:6" x14ac:dyDescent="0.3">
      <c r="A2535" s="35" t="s">
        <v>71</v>
      </c>
      <c r="B2535" s="36" t="s">
        <v>15</v>
      </c>
      <c r="C2535" s="36" t="s">
        <v>90</v>
      </c>
      <c r="D2535" s="37">
        <v>45327</v>
      </c>
      <c r="E2535" s="38">
        <v>3538.27</v>
      </c>
      <c r="F2535" s="39">
        <v>16</v>
      </c>
    </row>
    <row r="2536" spans="1:6" x14ac:dyDescent="0.3">
      <c r="A2536" s="30" t="s">
        <v>48</v>
      </c>
      <c r="B2536" s="31" t="s">
        <v>15</v>
      </c>
      <c r="C2536" s="31" t="s">
        <v>20</v>
      </c>
      <c r="D2536" s="32">
        <v>45474</v>
      </c>
      <c r="E2536" s="33">
        <v>5196.97</v>
      </c>
      <c r="F2536" s="34">
        <v>87</v>
      </c>
    </row>
    <row r="2537" spans="1:6" x14ac:dyDescent="0.3">
      <c r="A2537" s="35" t="s">
        <v>34</v>
      </c>
      <c r="B2537" s="36" t="s">
        <v>7</v>
      </c>
      <c r="C2537" s="36" t="s">
        <v>26</v>
      </c>
      <c r="D2537" s="36" t="s">
        <v>315</v>
      </c>
      <c r="E2537" s="38">
        <v>6654.14</v>
      </c>
      <c r="F2537" s="39">
        <v>102</v>
      </c>
    </row>
    <row r="2538" spans="1:6" x14ac:dyDescent="0.3">
      <c r="A2538" s="30" t="s">
        <v>83</v>
      </c>
      <c r="B2538" s="31" t="s">
        <v>35</v>
      </c>
      <c r="C2538" s="31" t="s">
        <v>87</v>
      </c>
      <c r="D2538" s="31" t="s">
        <v>354</v>
      </c>
      <c r="E2538" s="33">
        <v>8639.19</v>
      </c>
      <c r="F2538" s="34">
        <v>402</v>
      </c>
    </row>
    <row r="2539" spans="1:6" x14ac:dyDescent="0.3">
      <c r="A2539" s="35" t="s">
        <v>9</v>
      </c>
      <c r="B2539" s="36" t="s">
        <v>7</v>
      </c>
      <c r="C2539" s="36" t="s">
        <v>38</v>
      </c>
      <c r="D2539" s="37">
        <v>45386</v>
      </c>
      <c r="E2539" s="38">
        <v>6397.05</v>
      </c>
      <c r="F2539" s="39">
        <v>136</v>
      </c>
    </row>
    <row r="2540" spans="1:6" x14ac:dyDescent="0.3">
      <c r="A2540" s="30" t="s">
        <v>22</v>
      </c>
      <c r="B2540" s="31" t="s">
        <v>35</v>
      </c>
      <c r="C2540" s="31" t="s">
        <v>57</v>
      </c>
      <c r="D2540" s="31" t="s">
        <v>268</v>
      </c>
      <c r="E2540" s="33">
        <v>14596.37</v>
      </c>
      <c r="F2540" s="34">
        <v>196</v>
      </c>
    </row>
    <row r="2541" spans="1:6" x14ac:dyDescent="0.3">
      <c r="A2541" s="35" t="s">
        <v>22</v>
      </c>
      <c r="B2541" s="36" t="s">
        <v>25</v>
      </c>
      <c r="C2541" s="36" t="s">
        <v>50</v>
      </c>
      <c r="D2541" s="36" t="s">
        <v>294</v>
      </c>
      <c r="E2541" s="38">
        <v>7712.91</v>
      </c>
      <c r="F2541" s="39">
        <v>192</v>
      </c>
    </row>
    <row r="2542" spans="1:6" x14ac:dyDescent="0.3">
      <c r="A2542" s="30" t="s">
        <v>22</v>
      </c>
      <c r="B2542" s="31" t="s">
        <v>15</v>
      </c>
      <c r="C2542" s="31" t="s">
        <v>38</v>
      </c>
      <c r="D2542" s="31" t="s">
        <v>328</v>
      </c>
      <c r="E2542" s="33">
        <v>2456.77</v>
      </c>
      <c r="F2542" s="34">
        <v>188</v>
      </c>
    </row>
    <row r="2543" spans="1:6" x14ac:dyDescent="0.3">
      <c r="A2543" s="35" t="s">
        <v>37</v>
      </c>
      <c r="B2543" s="36" t="s">
        <v>25</v>
      </c>
      <c r="C2543" s="36" t="s">
        <v>57</v>
      </c>
      <c r="D2543" s="37">
        <v>45475</v>
      </c>
      <c r="E2543" s="38">
        <v>1435.27</v>
      </c>
      <c r="F2543" s="39">
        <v>138</v>
      </c>
    </row>
    <row r="2544" spans="1:6" x14ac:dyDescent="0.3">
      <c r="A2544" s="30" t="s">
        <v>58</v>
      </c>
      <c r="B2544" s="31" t="s">
        <v>25</v>
      </c>
      <c r="C2544" s="31" t="s">
        <v>38</v>
      </c>
      <c r="D2544" s="32">
        <v>45597</v>
      </c>
      <c r="E2544" s="33">
        <v>4324.4799999999996</v>
      </c>
      <c r="F2544" s="34">
        <v>202</v>
      </c>
    </row>
    <row r="2545" spans="1:6" x14ac:dyDescent="0.3">
      <c r="A2545" s="35" t="s">
        <v>6</v>
      </c>
      <c r="B2545" s="36" t="s">
        <v>10</v>
      </c>
      <c r="C2545" s="36" t="s">
        <v>20</v>
      </c>
      <c r="D2545" s="36" t="s">
        <v>310</v>
      </c>
      <c r="E2545" s="38">
        <v>2207.7600000000002</v>
      </c>
      <c r="F2545" s="39">
        <v>247</v>
      </c>
    </row>
    <row r="2546" spans="1:6" x14ac:dyDescent="0.3">
      <c r="A2546" s="30" t="s">
        <v>79</v>
      </c>
      <c r="B2546" s="31" t="s">
        <v>15</v>
      </c>
      <c r="C2546" s="31" t="s">
        <v>8</v>
      </c>
      <c r="D2546" s="32">
        <v>45299</v>
      </c>
      <c r="E2546" s="33">
        <v>7571.51</v>
      </c>
      <c r="F2546" s="34">
        <v>26</v>
      </c>
    </row>
    <row r="2547" spans="1:6" x14ac:dyDescent="0.3">
      <c r="A2547" s="35" t="s">
        <v>45</v>
      </c>
      <c r="B2547" s="36" t="s">
        <v>15</v>
      </c>
      <c r="C2547" s="36" t="s">
        <v>8</v>
      </c>
      <c r="D2547" s="37">
        <v>45417</v>
      </c>
      <c r="E2547" s="38">
        <v>7189.76</v>
      </c>
      <c r="F2547" s="39">
        <v>262</v>
      </c>
    </row>
    <row r="2548" spans="1:6" x14ac:dyDescent="0.3">
      <c r="A2548" s="30" t="s">
        <v>77</v>
      </c>
      <c r="B2548" s="31" t="s">
        <v>25</v>
      </c>
      <c r="C2548" s="31" t="s">
        <v>73</v>
      </c>
      <c r="D2548" s="31" t="s">
        <v>293</v>
      </c>
      <c r="E2548" s="33">
        <v>10858.21</v>
      </c>
      <c r="F2548" s="34">
        <v>451</v>
      </c>
    </row>
    <row r="2549" spans="1:6" x14ac:dyDescent="0.3">
      <c r="A2549" s="35" t="s">
        <v>79</v>
      </c>
      <c r="B2549" s="36" t="s">
        <v>25</v>
      </c>
      <c r="C2549" s="36" t="s">
        <v>75</v>
      </c>
      <c r="D2549" s="37">
        <v>45383</v>
      </c>
      <c r="E2549" s="38">
        <v>6524.65</v>
      </c>
      <c r="F2549" s="39">
        <v>369</v>
      </c>
    </row>
    <row r="2550" spans="1:6" x14ac:dyDescent="0.3">
      <c r="A2550" s="30" t="s">
        <v>45</v>
      </c>
      <c r="B2550" s="31" t="s">
        <v>25</v>
      </c>
      <c r="C2550" s="31" t="s">
        <v>26</v>
      </c>
      <c r="D2550" s="32">
        <v>45540</v>
      </c>
      <c r="E2550" s="33">
        <v>4624.45</v>
      </c>
      <c r="F2550" s="34">
        <v>212</v>
      </c>
    </row>
    <row r="2551" spans="1:6" x14ac:dyDescent="0.3">
      <c r="A2551" s="35" t="s">
        <v>29</v>
      </c>
      <c r="B2551" s="36" t="s">
        <v>10</v>
      </c>
      <c r="C2551" s="36" t="s">
        <v>18</v>
      </c>
      <c r="D2551" s="37">
        <v>45448</v>
      </c>
      <c r="E2551" s="38">
        <v>1961.82</v>
      </c>
      <c r="F2551" s="39">
        <v>80</v>
      </c>
    </row>
    <row r="2552" spans="1:6" x14ac:dyDescent="0.3">
      <c r="A2552" s="30" t="s">
        <v>53</v>
      </c>
      <c r="B2552" s="31" t="s">
        <v>7</v>
      </c>
      <c r="C2552" s="31" t="s">
        <v>59</v>
      </c>
      <c r="D2552" s="31" t="s">
        <v>270</v>
      </c>
      <c r="E2552" s="33">
        <v>12782.63</v>
      </c>
      <c r="F2552" s="34">
        <v>158</v>
      </c>
    </row>
    <row r="2553" spans="1:6" x14ac:dyDescent="0.3">
      <c r="A2553" s="35" t="s">
        <v>45</v>
      </c>
      <c r="B2553" s="36" t="s">
        <v>15</v>
      </c>
      <c r="C2553" s="36" t="s">
        <v>65</v>
      </c>
      <c r="D2553" s="36" t="s">
        <v>349</v>
      </c>
      <c r="E2553" s="38">
        <v>4928.3</v>
      </c>
      <c r="F2553" s="39">
        <v>71</v>
      </c>
    </row>
    <row r="2554" spans="1:6" x14ac:dyDescent="0.3">
      <c r="A2554" s="30" t="s">
        <v>9</v>
      </c>
      <c r="B2554" s="31" t="s">
        <v>32</v>
      </c>
      <c r="C2554" s="31" t="s">
        <v>90</v>
      </c>
      <c r="D2554" s="31" t="s">
        <v>273</v>
      </c>
      <c r="E2554" s="33">
        <v>1115.8399999999999</v>
      </c>
      <c r="F2554" s="34">
        <v>22</v>
      </c>
    </row>
    <row r="2555" spans="1:6" x14ac:dyDescent="0.3">
      <c r="A2555" s="35" t="s">
        <v>71</v>
      </c>
      <c r="B2555" s="36" t="s">
        <v>15</v>
      </c>
      <c r="C2555" s="36" t="s">
        <v>20</v>
      </c>
      <c r="D2555" s="36" t="s">
        <v>321</v>
      </c>
      <c r="E2555" s="38">
        <v>5346.62</v>
      </c>
      <c r="F2555" s="39">
        <v>109</v>
      </c>
    </row>
    <row r="2556" spans="1:6" x14ac:dyDescent="0.3">
      <c r="A2556" s="30" t="s">
        <v>55</v>
      </c>
      <c r="B2556" s="31" t="s">
        <v>10</v>
      </c>
      <c r="C2556" s="31" t="s">
        <v>46</v>
      </c>
      <c r="D2556" s="32">
        <v>45327</v>
      </c>
      <c r="E2556" s="33">
        <v>3168.11</v>
      </c>
      <c r="F2556" s="34">
        <v>93</v>
      </c>
    </row>
    <row r="2557" spans="1:6" x14ac:dyDescent="0.3">
      <c r="A2557" s="35" t="s">
        <v>83</v>
      </c>
      <c r="B2557" s="36" t="s">
        <v>15</v>
      </c>
      <c r="C2557" s="36" t="s">
        <v>18</v>
      </c>
      <c r="D2557" s="36" t="s">
        <v>295</v>
      </c>
      <c r="E2557" s="38">
        <v>9007.92</v>
      </c>
      <c r="F2557" s="39">
        <v>52</v>
      </c>
    </row>
    <row r="2558" spans="1:6" x14ac:dyDescent="0.3">
      <c r="A2558" s="30" t="s">
        <v>34</v>
      </c>
      <c r="B2558" s="31" t="s">
        <v>32</v>
      </c>
      <c r="C2558" s="31" t="s">
        <v>65</v>
      </c>
      <c r="D2558" s="31" t="s">
        <v>313</v>
      </c>
      <c r="E2558" s="33">
        <v>7400.07</v>
      </c>
      <c r="F2558" s="34">
        <v>383</v>
      </c>
    </row>
    <row r="2559" spans="1:6" x14ac:dyDescent="0.3">
      <c r="A2559" s="35" t="s">
        <v>55</v>
      </c>
      <c r="B2559" s="36" t="s">
        <v>35</v>
      </c>
      <c r="C2559" s="36" t="s">
        <v>20</v>
      </c>
      <c r="D2559" s="36" t="s">
        <v>349</v>
      </c>
      <c r="E2559" s="38">
        <v>1420.22</v>
      </c>
      <c r="F2559" s="39">
        <v>422</v>
      </c>
    </row>
    <row r="2560" spans="1:6" x14ac:dyDescent="0.3">
      <c r="A2560" s="30" t="s">
        <v>19</v>
      </c>
      <c r="B2560" s="31" t="s">
        <v>7</v>
      </c>
      <c r="C2560" s="31" t="s">
        <v>23</v>
      </c>
      <c r="D2560" s="31" t="s">
        <v>351</v>
      </c>
      <c r="E2560" s="33">
        <v>2555.9499999999998</v>
      </c>
      <c r="F2560" s="34">
        <v>109</v>
      </c>
    </row>
    <row r="2561" spans="1:6" x14ac:dyDescent="0.3">
      <c r="A2561" s="35" t="s">
        <v>22</v>
      </c>
      <c r="B2561" s="36" t="s">
        <v>7</v>
      </c>
      <c r="C2561" s="36" t="s">
        <v>36</v>
      </c>
      <c r="D2561" s="36" t="s">
        <v>327</v>
      </c>
      <c r="E2561" s="38">
        <v>4059.65</v>
      </c>
      <c r="F2561" s="39">
        <v>175</v>
      </c>
    </row>
    <row r="2562" spans="1:6" x14ac:dyDescent="0.3">
      <c r="A2562" s="30" t="s">
        <v>79</v>
      </c>
      <c r="B2562" s="31" t="s">
        <v>32</v>
      </c>
      <c r="C2562" s="31" t="s">
        <v>90</v>
      </c>
      <c r="D2562" s="31" t="s">
        <v>287</v>
      </c>
      <c r="E2562" s="33">
        <v>18581.37</v>
      </c>
      <c r="F2562" s="34">
        <v>83</v>
      </c>
    </row>
    <row r="2563" spans="1:6" x14ac:dyDescent="0.3">
      <c r="A2563" s="35" t="s">
        <v>14</v>
      </c>
      <c r="B2563" s="36" t="s">
        <v>10</v>
      </c>
      <c r="C2563" s="36" t="s">
        <v>13</v>
      </c>
      <c r="D2563" s="37">
        <v>45383</v>
      </c>
      <c r="E2563" s="38">
        <v>8813.58</v>
      </c>
      <c r="F2563" s="39">
        <v>182</v>
      </c>
    </row>
    <row r="2564" spans="1:6" x14ac:dyDescent="0.3">
      <c r="A2564" s="30" t="s">
        <v>53</v>
      </c>
      <c r="B2564" s="31" t="s">
        <v>15</v>
      </c>
      <c r="C2564" s="31" t="s">
        <v>36</v>
      </c>
      <c r="D2564" s="32">
        <v>45389</v>
      </c>
      <c r="E2564" s="33">
        <v>7914.74</v>
      </c>
      <c r="F2564" s="34">
        <v>31</v>
      </c>
    </row>
    <row r="2565" spans="1:6" x14ac:dyDescent="0.3">
      <c r="A2565" s="35" t="s">
        <v>41</v>
      </c>
      <c r="B2565" s="36" t="s">
        <v>32</v>
      </c>
      <c r="C2565" s="36" t="s">
        <v>18</v>
      </c>
      <c r="D2565" s="36" t="s">
        <v>268</v>
      </c>
      <c r="E2565" s="38">
        <v>2787.72</v>
      </c>
      <c r="F2565" s="39">
        <v>342</v>
      </c>
    </row>
    <row r="2566" spans="1:6" x14ac:dyDescent="0.3">
      <c r="A2566" s="30" t="s">
        <v>71</v>
      </c>
      <c r="B2566" s="31" t="s">
        <v>15</v>
      </c>
      <c r="C2566" s="31" t="s">
        <v>60</v>
      </c>
      <c r="D2566" s="31" t="s">
        <v>329</v>
      </c>
      <c r="E2566" s="33">
        <v>681.71</v>
      </c>
      <c r="F2566" s="34">
        <v>170</v>
      </c>
    </row>
    <row r="2567" spans="1:6" x14ac:dyDescent="0.3">
      <c r="A2567" s="35" t="s">
        <v>19</v>
      </c>
      <c r="B2567" s="36" t="s">
        <v>15</v>
      </c>
      <c r="C2567" s="36" t="s">
        <v>65</v>
      </c>
      <c r="D2567" s="36" t="s">
        <v>355</v>
      </c>
      <c r="E2567" s="38">
        <v>6827.53</v>
      </c>
      <c r="F2567" s="39">
        <v>241</v>
      </c>
    </row>
    <row r="2568" spans="1:6" x14ac:dyDescent="0.3">
      <c r="A2568" s="30" t="s">
        <v>14</v>
      </c>
      <c r="B2568" s="31" t="s">
        <v>32</v>
      </c>
      <c r="C2568" s="31" t="s">
        <v>33</v>
      </c>
      <c r="D2568" s="31" t="s">
        <v>282</v>
      </c>
      <c r="E2568" s="33">
        <v>1082</v>
      </c>
      <c r="F2568" s="34">
        <v>158</v>
      </c>
    </row>
    <row r="2569" spans="1:6" x14ac:dyDescent="0.3">
      <c r="A2569" s="35" t="s">
        <v>12</v>
      </c>
      <c r="B2569" s="36" t="s">
        <v>32</v>
      </c>
      <c r="C2569" s="36" t="s">
        <v>57</v>
      </c>
      <c r="D2569" s="36" t="s">
        <v>281</v>
      </c>
      <c r="E2569" s="38">
        <v>2966.98</v>
      </c>
      <c r="F2569" s="39">
        <v>121</v>
      </c>
    </row>
    <row r="2570" spans="1:6" x14ac:dyDescent="0.3">
      <c r="A2570" s="30" t="s">
        <v>34</v>
      </c>
      <c r="B2570" s="31" t="s">
        <v>7</v>
      </c>
      <c r="C2570" s="31" t="s">
        <v>46</v>
      </c>
      <c r="D2570" s="32">
        <v>45566</v>
      </c>
      <c r="E2570" s="33">
        <v>3951.74</v>
      </c>
      <c r="F2570" s="34">
        <v>287</v>
      </c>
    </row>
    <row r="2571" spans="1:6" x14ac:dyDescent="0.3">
      <c r="A2571" s="35" t="s">
        <v>48</v>
      </c>
      <c r="B2571" s="36" t="s">
        <v>32</v>
      </c>
      <c r="C2571" s="36" t="s">
        <v>73</v>
      </c>
      <c r="D2571" s="36" t="s">
        <v>337</v>
      </c>
      <c r="E2571" s="38">
        <v>3151.23</v>
      </c>
      <c r="F2571" s="39">
        <v>144</v>
      </c>
    </row>
    <row r="2572" spans="1:6" x14ac:dyDescent="0.3">
      <c r="A2572" s="30" t="s">
        <v>40</v>
      </c>
      <c r="B2572" s="31" t="s">
        <v>35</v>
      </c>
      <c r="C2572" s="31" t="s">
        <v>46</v>
      </c>
      <c r="D2572" s="32">
        <v>45506</v>
      </c>
      <c r="E2572" s="33">
        <v>2672.67</v>
      </c>
      <c r="F2572" s="34">
        <v>317</v>
      </c>
    </row>
    <row r="2573" spans="1:6" x14ac:dyDescent="0.3">
      <c r="A2573" s="35" t="s">
        <v>28</v>
      </c>
      <c r="B2573" s="36" t="s">
        <v>10</v>
      </c>
      <c r="C2573" s="36" t="s">
        <v>90</v>
      </c>
      <c r="D2573" s="36" t="s">
        <v>310</v>
      </c>
      <c r="E2573" s="38">
        <v>1742.37</v>
      </c>
      <c r="F2573" s="39">
        <v>106</v>
      </c>
    </row>
    <row r="2574" spans="1:6" x14ac:dyDescent="0.3">
      <c r="A2574" s="30" t="s">
        <v>22</v>
      </c>
      <c r="B2574" s="31" t="s">
        <v>32</v>
      </c>
      <c r="C2574" s="31" t="s">
        <v>36</v>
      </c>
      <c r="D2574" s="32">
        <v>45356</v>
      </c>
      <c r="E2574" s="33">
        <v>7301.31</v>
      </c>
      <c r="F2574" s="34">
        <v>42</v>
      </c>
    </row>
    <row r="2575" spans="1:6" x14ac:dyDescent="0.3">
      <c r="A2575" s="35" t="s">
        <v>45</v>
      </c>
      <c r="B2575" s="36" t="s">
        <v>32</v>
      </c>
      <c r="C2575" s="36" t="s">
        <v>57</v>
      </c>
      <c r="D2575" s="36" t="s">
        <v>333</v>
      </c>
      <c r="E2575" s="38">
        <v>6322.14</v>
      </c>
      <c r="F2575" s="39">
        <v>26</v>
      </c>
    </row>
    <row r="2576" spans="1:6" x14ac:dyDescent="0.3">
      <c r="A2576" s="30" t="s">
        <v>22</v>
      </c>
      <c r="B2576" s="31" t="s">
        <v>10</v>
      </c>
      <c r="C2576" s="31" t="s">
        <v>26</v>
      </c>
      <c r="D2576" s="32">
        <v>45543</v>
      </c>
      <c r="E2576" s="33">
        <v>13731.44</v>
      </c>
      <c r="F2576" s="34">
        <v>82</v>
      </c>
    </row>
    <row r="2577" spans="1:6" x14ac:dyDescent="0.3">
      <c r="A2577" s="35" t="s">
        <v>64</v>
      </c>
      <c r="B2577" s="36" t="s">
        <v>25</v>
      </c>
      <c r="C2577" s="36" t="s">
        <v>60</v>
      </c>
      <c r="D2577" s="37">
        <v>45603</v>
      </c>
      <c r="E2577" s="38">
        <v>4051.88</v>
      </c>
      <c r="F2577" s="39">
        <v>253</v>
      </c>
    </row>
    <row r="2578" spans="1:6" x14ac:dyDescent="0.3">
      <c r="A2578" s="30" t="s">
        <v>55</v>
      </c>
      <c r="B2578" s="31" t="s">
        <v>7</v>
      </c>
      <c r="C2578" s="31" t="s">
        <v>60</v>
      </c>
      <c r="D2578" s="31" t="s">
        <v>328</v>
      </c>
      <c r="E2578" s="33">
        <v>8474.69</v>
      </c>
      <c r="F2578" s="34">
        <v>115</v>
      </c>
    </row>
    <row r="2579" spans="1:6" x14ac:dyDescent="0.3">
      <c r="A2579" s="35" t="s">
        <v>9</v>
      </c>
      <c r="B2579" s="36" t="s">
        <v>35</v>
      </c>
      <c r="C2579" s="36" t="s">
        <v>60</v>
      </c>
      <c r="D2579" s="36" t="s">
        <v>266</v>
      </c>
      <c r="E2579" s="38">
        <v>9426.56</v>
      </c>
      <c r="F2579" s="39">
        <v>49</v>
      </c>
    </row>
    <row r="2580" spans="1:6" x14ac:dyDescent="0.3">
      <c r="A2580" s="30" t="s">
        <v>64</v>
      </c>
      <c r="B2580" s="31" t="s">
        <v>25</v>
      </c>
      <c r="C2580" s="31" t="s">
        <v>65</v>
      </c>
      <c r="D2580" s="31" t="s">
        <v>337</v>
      </c>
      <c r="E2580" s="33">
        <v>9770.2800000000007</v>
      </c>
      <c r="F2580" s="34">
        <v>154</v>
      </c>
    </row>
    <row r="2581" spans="1:6" x14ac:dyDescent="0.3">
      <c r="A2581" s="35" t="s">
        <v>19</v>
      </c>
      <c r="B2581" s="36" t="s">
        <v>25</v>
      </c>
      <c r="C2581" s="36" t="s">
        <v>87</v>
      </c>
      <c r="D2581" s="36" t="s">
        <v>320</v>
      </c>
      <c r="E2581" s="38">
        <v>14234.61</v>
      </c>
      <c r="F2581" s="39">
        <v>45</v>
      </c>
    </row>
    <row r="2582" spans="1:6" x14ac:dyDescent="0.3">
      <c r="A2582" s="30" t="s">
        <v>58</v>
      </c>
      <c r="B2582" s="31" t="s">
        <v>15</v>
      </c>
      <c r="C2582" s="31" t="s">
        <v>42</v>
      </c>
      <c r="D2582" s="32">
        <v>45570</v>
      </c>
      <c r="E2582" s="33">
        <v>6885.01</v>
      </c>
      <c r="F2582" s="34">
        <v>40</v>
      </c>
    </row>
    <row r="2583" spans="1:6" x14ac:dyDescent="0.3">
      <c r="A2583" s="35" t="s">
        <v>40</v>
      </c>
      <c r="B2583" s="36" t="s">
        <v>15</v>
      </c>
      <c r="C2583" s="36" t="s">
        <v>50</v>
      </c>
      <c r="D2583" s="36" t="s">
        <v>348</v>
      </c>
      <c r="E2583" s="38">
        <v>14687.62</v>
      </c>
      <c r="F2583" s="39">
        <v>293</v>
      </c>
    </row>
    <row r="2584" spans="1:6" x14ac:dyDescent="0.3">
      <c r="A2584" s="30" t="s">
        <v>41</v>
      </c>
      <c r="B2584" s="31" t="s">
        <v>35</v>
      </c>
      <c r="C2584" s="31" t="s">
        <v>18</v>
      </c>
      <c r="D2584" s="31" t="s">
        <v>279</v>
      </c>
      <c r="E2584" s="33">
        <v>16585.43</v>
      </c>
      <c r="F2584" s="34">
        <v>388</v>
      </c>
    </row>
    <row r="2585" spans="1:6" x14ac:dyDescent="0.3">
      <c r="A2585" s="35" t="s">
        <v>28</v>
      </c>
      <c r="B2585" s="36" t="s">
        <v>32</v>
      </c>
      <c r="C2585" s="36" t="s">
        <v>42</v>
      </c>
      <c r="D2585" s="36" t="s">
        <v>306</v>
      </c>
      <c r="E2585" s="38">
        <v>17415.669999999998</v>
      </c>
      <c r="F2585" s="39">
        <v>148</v>
      </c>
    </row>
    <row r="2586" spans="1:6" x14ac:dyDescent="0.3">
      <c r="A2586" s="30" t="s">
        <v>45</v>
      </c>
      <c r="B2586" s="31" t="s">
        <v>25</v>
      </c>
      <c r="C2586" s="31" t="s">
        <v>87</v>
      </c>
      <c r="D2586" s="31" t="s">
        <v>331</v>
      </c>
      <c r="E2586" s="33">
        <v>5954.47</v>
      </c>
      <c r="F2586" s="34">
        <v>236</v>
      </c>
    </row>
    <row r="2587" spans="1:6" x14ac:dyDescent="0.3">
      <c r="A2587" s="35" t="s">
        <v>9</v>
      </c>
      <c r="B2587" s="36" t="s">
        <v>7</v>
      </c>
      <c r="C2587" s="36" t="s">
        <v>11</v>
      </c>
      <c r="D2587" s="37">
        <v>45603</v>
      </c>
      <c r="E2587" s="38">
        <v>4179.91</v>
      </c>
      <c r="F2587" s="39">
        <v>140</v>
      </c>
    </row>
    <row r="2588" spans="1:6" x14ac:dyDescent="0.3">
      <c r="A2588" s="30" t="s">
        <v>40</v>
      </c>
      <c r="B2588" s="31" t="s">
        <v>35</v>
      </c>
      <c r="C2588" s="31" t="s">
        <v>50</v>
      </c>
      <c r="D2588" s="32">
        <v>45352</v>
      </c>
      <c r="E2588" s="33">
        <v>3939.95</v>
      </c>
      <c r="F2588" s="34">
        <v>365</v>
      </c>
    </row>
    <row r="2589" spans="1:6" x14ac:dyDescent="0.3">
      <c r="A2589" s="35" t="s">
        <v>29</v>
      </c>
      <c r="B2589" s="36" t="s">
        <v>25</v>
      </c>
      <c r="C2589" s="36" t="s">
        <v>100</v>
      </c>
      <c r="D2589" s="36" t="s">
        <v>285</v>
      </c>
      <c r="E2589" s="38">
        <v>791.19</v>
      </c>
      <c r="F2589" s="39">
        <v>280</v>
      </c>
    </row>
    <row r="2590" spans="1:6" x14ac:dyDescent="0.3">
      <c r="A2590" s="30" t="s">
        <v>41</v>
      </c>
      <c r="B2590" s="31" t="s">
        <v>32</v>
      </c>
      <c r="C2590" s="31" t="s">
        <v>26</v>
      </c>
      <c r="D2590" s="31" t="s">
        <v>271</v>
      </c>
      <c r="E2590" s="33">
        <v>2941.65</v>
      </c>
      <c r="F2590" s="34">
        <v>360</v>
      </c>
    </row>
    <row r="2591" spans="1:6" x14ac:dyDescent="0.3">
      <c r="A2591" s="35" t="s">
        <v>28</v>
      </c>
      <c r="B2591" s="36" t="s">
        <v>32</v>
      </c>
      <c r="C2591" s="36" t="s">
        <v>8</v>
      </c>
      <c r="D2591" s="36" t="s">
        <v>306</v>
      </c>
      <c r="E2591" s="38">
        <v>12476.68</v>
      </c>
      <c r="F2591" s="39">
        <v>162</v>
      </c>
    </row>
    <row r="2592" spans="1:6" x14ac:dyDescent="0.3">
      <c r="A2592" s="30" t="s">
        <v>37</v>
      </c>
      <c r="B2592" s="31" t="s">
        <v>25</v>
      </c>
      <c r="C2592" s="31" t="s">
        <v>36</v>
      </c>
      <c r="D2592" s="32">
        <v>45448</v>
      </c>
      <c r="E2592" s="33">
        <v>2817.14</v>
      </c>
      <c r="F2592" s="34">
        <v>191</v>
      </c>
    </row>
    <row r="2593" spans="1:6" x14ac:dyDescent="0.3">
      <c r="A2593" s="35" t="s">
        <v>31</v>
      </c>
      <c r="B2593" s="36" t="s">
        <v>10</v>
      </c>
      <c r="C2593" s="36" t="s">
        <v>38</v>
      </c>
      <c r="D2593" s="36" t="s">
        <v>313</v>
      </c>
      <c r="E2593" s="38">
        <v>2411.52</v>
      </c>
      <c r="F2593" s="39">
        <v>144</v>
      </c>
    </row>
    <row r="2594" spans="1:6" x14ac:dyDescent="0.3">
      <c r="A2594" s="30" t="s">
        <v>40</v>
      </c>
      <c r="B2594" s="31" t="s">
        <v>7</v>
      </c>
      <c r="C2594" s="31" t="s">
        <v>33</v>
      </c>
      <c r="D2594" s="32">
        <v>45449</v>
      </c>
      <c r="E2594" s="33">
        <v>13072.74</v>
      </c>
      <c r="F2594" s="34">
        <v>11</v>
      </c>
    </row>
    <row r="2595" spans="1:6" x14ac:dyDescent="0.3">
      <c r="A2595" s="35" t="s">
        <v>28</v>
      </c>
      <c r="B2595" s="36" t="s">
        <v>25</v>
      </c>
      <c r="C2595" s="36" t="s">
        <v>87</v>
      </c>
      <c r="D2595" s="37">
        <v>45633</v>
      </c>
      <c r="E2595" s="38">
        <v>6790.41</v>
      </c>
      <c r="F2595" s="39">
        <v>26</v>
      </c>
    </row>
    <row r="2596" spans="1:6" x14ac:dyDescent="0.3">
      <c r="A2596" s="30" t="s">
        <v>83</v>
      </c>
      <c r="B2596" s="31" t="s">
        <v>35</v>
      </c>
      <c r="C2596" s="31" t="s">
        <v>50</v>
      </c>
      <c r="D2596" s="32">
        <v>45420</v>
      </c>
      <c r="E2596" s="33">
        <v>6092.47</v>
      </c>
      <c r="F2596" s="34">
        <v>201</v>
      </c>
    </row>
    <row r="2597" spans="1:6" x14ac:dyDescent="0.3">
      <c r="A2597" s="35" t="s">
        <v>28</v>
      </c>
      <c r="B2597" s="36" t="s">
        <v>32</v>
      </c>
      <c r="C2597" s="36" t="s">
        <v>33</v>
      </c>
      <c r="D2597" s="36" t="s">
        <v>313</v>
      </c>
      <c r="E2597" s="38">
        <v>7185.5</v>
      </c>
      <c r="F2597" s="39">
        <v>152</v>
      </c>
    </row>
    <row r="2598" spans="1:6" x14ac:dyDescent="0.3">
      <c r="A2598" s="30" t="s">
        <v>55</v>
      </c>
      <c r="B2598" s="31" t="s">
        <v>10</v>
      </c>
      <c r="C2598" s="31" t="s">
        <v>50</v>
      </c>
      <c r="D2598" s="31" t="s">
        <v>356</v>
      </c>
      <c r="E2598" s="33">
        <v>6170.8</v>
      </c>
      <c r="F2598" s="34">
        <v>138</v>
      </c>
    </row>
    <row r="2599" spans="1:6" x14ac:dyDescent="0.3">
      <c r="A2599" s="35" t="s">
        <v>34</v>
      </c>
      <c r="B2599" s="36" t="s">
        <v>32</v>
      </c>
      <c r="C2599" s="36" t="s">
        <v>26</v>
      </c>
      <c r="D2599" s="36" t="s">
        <v>291</v>
      </c>
      <c r="E2599" s="38">
        <v>1945.05</v>
      </c>
      <c r="F2599" s="39">
        <v>14</v>
      </c>
    </row>
    <row r="2600" spans="1:6" x14ac:dyDescent="0.3">
      <c r="A2600" s="30" t="s">
        <v>34</v>
      </c>
      <c r="B2600" s="31" t="s">
        <v>7</v>
      </c>
      <c r="C2600" s="31" t="s">
        <v>8</v>
      </c>
      <c r="D2600" s="31" t="s">
        <v>282</v>
      </c>
      <c r="E2600" s="33">
        <v>6767.42</v>
      </c>
      <c r="F2600" s="34">
        <v>2</v>
      </c>
    </row>
    <row r="2601" spans="1:6" x14ac:dyDescent="0.3">
      <c r="A2601" s="35" t="s">
        <v>41</v>
      </c>
      <c r="B2601" s="36" t="s">
        <v>10</v>
      </c>
      <c r="C2601" s="36" t="s">
        <v>75</v>
      </c>
      <c r="D2601" s="36" t="s">
        <v>266</v>
      </c>
      <c r="E2601" s="38">
        <v>3911.69</v>
      </c>
      <c r="F2601" s="39">
        <v>254</v>
      </c>
    </row>
    <row r="2602" spans="1:6" x14ac:dyDescent="0.3">
      <c r="A2602" s="30" t="s">
        <v>77</v>
      </c>
      <c r="B2602" s="31" t="s">
        <v>7</v>
      </c>
      <c r="C2602" s="31" t="s">
        <v>18</v>
      </c>
      <c r="D2602" s="32">
        <v>45385</v>
      </c>
      <c r="E2602" s="33">
        <v>16733.759999999998</v>
      </c>
      <c r="F2602" s="34">
        <v>88</v>
      </c>
    </row>
    <row r="2603" spans="1:6" x14ac:dyDescent="0.3">
      <c r="A2603" s="35" t="s">
        <v>12</v>
      </c>
      <c r="B2603" s="36" t="s">
        <v>10</v>
      </c>
      <c r="C2603" s="36" t="s">
        <v>36</v>
      </c>
      <c r="D2603" s="36" t="s">
        <v>352</v>
      </c>
      <c r="E2603" s="38">
        <v>3916.92</v>
      </c>
      <c r="F2603" s="39">
        <v>74</v>
      </c>
    </row>
    <row r="2604" spans="1:6" x14ac:dyDescent="0.3">
      <c r="A2604" s="30" t="s">
        <v>29</v>
      </c>
      <c r="B2604" s="31" t="s">
        <v>15</v>
      </c>
      <c r="C2604" s="31" t="s">
        <v>42</v>
      </c>
      <c r="D2604" s="31" t="s">
        <v>272</v>
      </c>
      <c r="E2604" s="33">
        <v>1082.69</v>
      </c>
      <c r="F2604" s="34">
        <v>106</v>
      </c>
    </row>
    <row r="2605" spans="1:6" x14ac:dyDescent="0.3">
      <c r="A2605" s="35" t="s">
        <v>19</v>
      </c>
      <c r="B2605" s="36" t="s">
        <v>25</v>
      </c>
      <c r="C2605" s="36" t="s">
        <v>59</v>
      </c>
      <c r="D2605" s="37">
        <v>45571</v>
      </c>
      <c r="E2605" s="38">
        <v>4822.33</v>
      </c>
      <c r="F2605" s="39">
        <v>42</v>
      </c>
    </row>
    <row r="2606" spans="1:6" x14ac:dyDescent="0.3">
      <c r="A2606" s="30" t="s">
        <v>67</v>
      </c>
      <c r="B2606" s="31" t="s">
        <v>7</v>
      </c>
      <c r="C2606" s="31" t="s">
        <v>38</v>
      </c>
      <c r="D2606" s="31" t="s">
        <v>342</v>
      </c>
      <c r="E2606" s="33">
        <v>1827.45</v>
      </c>
      <c r="F2606" s="34">
        <v>66</v>
      </c>
    </row>
    <row r="2607" spans="1:6" x14ac:dyDescent="0.3">
      <c r="A2607" s="35" t="s">
        <v>70</v>
      </c>
      <c r="B2607" s="36" t="s">
        <v>10</v>
      </c>
      <c r="C2607" s="36" t="s">
        <v>46</v>
      </c>
      <c r="D2607" s="36" t="s">
        <v>287</v>
      </c>
      <c r="E2607" s="38">
        <v>1142.4100000000001</v>
      </c>
      <c r="F2607" s="39">
        <v>111</v>
      </c>
    </row>
    <row r="2608" spans="1:6" x14ac:dyDescent="0.3">
      <c r="A2608" s="30" t="s">
        <v>37</v>
      </c>
      <c r="B2608" s="31" t="s">
        <v>25</v>
      </c>
      <c r="C2608" s="31" t="s">
        <v>90</v>
      </c>
      <c r="D2608" s="31" t="s">
        <v>303</v>
      </c>
      <c r="E2608" s="33">
        <v>6290.89</v>
      </c>
      <c r="F2608" s="34">
        <v>232</v>
      </c>
    </row>
    <row r="2609" spans="1:6" x14ac:dyDescent="0.3">
      <c r="A2609" s="35" t="s">
        <v>67</v>
      </c>
      <c r="B2609" s="36" t="s">
        <v>25</v>
      </c>
      <c r="C2609" s="36" t="s">
        <v>42</v>
      </c>
      <c r="D2609" s="37">
        <v>45385</v>
      </c>
      <c r="E2609" s="38">
        <v>5616.01</v>
      </c>
      <c r="F2609" s="39">
        <v>43</v>
      </c>
    </row>
    <row r="2610" spans="1:6" x14ac:dyDescent="0.3">
      <c r="A2610" s="30" t="s">
        <v>31</v>
      </c>
      <c r="B2610" s="31" t="s">
        <v>25</v>
      </c>
      <c r="C2610" s="31" t="s">
        <v>23</v>
      </c>
      <c r="D2610" s="31" t="s">
        <v>291</v>
      </c>
      <c r="E2610" s="33">
        <v>11250.69</v>
      </c>
      <c r="F2610" s="34">
        <v>91</v>
      </c>
    </row>
    <row r="2611" spans="1:6" x14ac:dyDescent="0.3">
      <c r="A2611" s="35" t="s">
        <v>41</v>
      </c>
      <c r="B2611" s="36" t="s">
        <v>7</v>
      </c>
      <c r="C2611" s="36" t="s">
        <v>65</v>
      </c>
      <c r="D2611" s="36" t="s">
        <v>295</v>
      </c>
      <c r="E2611" s="38">
        <v>2799.42</v>
      </c>
      <c r="F2611" s="39">
        <v>104</v>
      </c>
    </row>
    <row r="2612" spans="1:6" x14ac:dyDescent="0.3">
      <c r="A2612" s="30" t="s">
        <v>19</v>
      </c>
      <c r="B2612" s="31" t="s">
        <v>15</v>
      </c>
      <c r="C2612" s="31" t="s">
        <v>73</v>
      </c>
      <c r="D2612" s="31" t="s">
        <v>276</v>
      </c>
      <c r="E2612" s="33">
        <v>1157.8800000000001</v>
      </c>
      <c r="F2612" s="34">
        <v>114</v>
      </c>
    </row>
    <row r="2613" spans="1:6" x14ac:dyDescent="0.3">
      <c r="A2613" s="35" t="s">
        <v>58</v>
      </c>
      <c r="B2613" s="36" t="s">
        <v>32</v>
      </c>
      <c r="C2613" s="36" t="s">
        <v>73</v>
      </c>
      <c r="D2613" s="36" t="s">
        <v>321</v>
      </c>
      <c r="E2613" s="38">
        <v>7049.32</v>
      </c>
      <c r="F2613" s="39">
        <v>273</v>
      </c>
    </row>
    <row r="2614" spans="1:6" x14ac:dyDescent="0.3">
      <c r="A2614" s="30" t="s">
        <v>45</v>
      </c>
      <c r="B2614" s="31" t="s">
        <v>35</v>
      </c>
      <c r="C2614" s="31" t="s">
        <v>33</v>
      </c>
      <c r="D2614" s="32">
        <v>45537</v>
      </c>
      <c r="E2614" s="33">
        <v>9460.5</v>
      </c>
      <c r="F2614" s="34">
        <v>84</v>
      </c>
    </row>
    <row r="2615" spans="1:6" x14ac:dyDescent="0.3">
      <c r="A2615" s="35" t="s">
        <v>34</v>
      </c>
      <c r="B2615" s="36" t="s">
        <v>35</v>
      </c>
      <c r="C2615" s="36" t="s">
        <v>33</v>
      </c>
      <c r="D2615" s="36" t="s">
        <v>316</v>
      </c>
      <c r="E2615" s="38">
        <v>4173.7299999999996</v>
      </c>
      <c r="F2615" s="39">
        <v>175</v>
      </c>
    </row>
    <row r="2616" spans="1:6" x14ac:dyDescent="0.3">
      <c r="A2616" s="30" t="s">
        <v>77</v>
      </c>
      <c r="B2616" s="31" t="s">
        <v>25</v>
      </c>
      <c r="C2616" s="31" t="s">
        <v>90</v>
      </c>
      <c r="D2616" s="32">
        <v>45293</v>
      </c>
      <c r="E2616" s="33">
        <v>4005.08</v>
      </c>
      <c r="F2616" s="34">
        <v>150</v>
      </c>
    </row>
    <row r="2617" spans="1:6" x14ac:dyDescent="0.3">
      <c r="A2617" s="35" t="s">
        <v>34</v>
      </c>
      <c r="B2617" s="36" t="s">
        <v>10</v>
      </c>
      <c r="C2617" s="36" t="s">
        <v>38</v>
      </c>
      <c r="D2617" s="37">
        <v>45476</v>
      </c>
      <c r="E2617" s="38">
        <v>4650.58</v>
      </c>
      <c r="F2617" s="39">
        <v>143</v>
      </c>
    </row>
    <row r="2618" spans="1:6" x14ac:dyDescent="0.3">
      <c r="A2618" s="30" t="s">
        <v>83</v>
      </c>
      <c r="B2618" s="31" t="s">
        <v>7</v>
      </c>
      <c r="C2618" s="31" t="s">
        <v>59</v>
      </c>
      <c r="D2618" s="32">
        <v>45352</v>
      </c>
      <c r="E2618" s="33">
        <v>3814.56</v>
      </c>
      <c r="F2618" s="34">
        <v>220</v>
      </c>
    </row>
    <row r="2619" spans="1:6" x14ac:dyDescent="0.3">
      <c r="A2619" s="35" t="s">
        <v>83</v>
      </c>
      <c r="B2619" s="36" t="s">
        <v>32</v>
      </c>
      <c r="C2619" s="36" t="s">
        <v>59</v>
      </c>
      <c r="D2619" s="37">
        <v>45598</v>
      </c>
      <c r="E2619" s="38">
        <v>6321.35</v>
      </c>
      <c r="F2619" s="39">
        <v>325</v>
      </c>
    </row>
    <row r="2620" spans="1:6" x14ac:dyDescent="0.3">
      <c r="A2620" s="30" t="s">
        <v>58</v>
      </c>
      <c r="B2620" s="31" t="s">
        <v>25</v>
      </c>
      <c r="C2620" s="31" t="s">
        <v>33</v>
      </c>
      <c r="D2620" s="31" t="s">
        <v>314</v>
      </c>
      <c r="E2620" s="33">
        <v>5245.53</v>
      </c>
      <c r="F2620" s="34">
        <v>144</v>
      </c>
    </row>
    <row r="2621" spans="1:6" x14ac:dyDescent="0.3">
      <c r="A2621" s="35" t="s">
        <v>79</v>
      </c>
      <c r="B2621" s="36" t="s">
        <v>10</v>
      </c>
      <c r="C2621" s="36" t="s">
        <v>59</v>
      </c>
      <c r="D2621" s="36" t="s">
        <v>318</v>
      </c>
      <c r="E2621" s="38">
        <v>12998.67</v>
      </c>
      <c r="F2621" s="39">
        <v>317</v>
      </c>
    </row>
    <row r="2622" spans="1:6" x14ac:dyDescent="0.3">
      <c r="A2622" s="30" t="s">
        <v>12</v>
      </c>
      <c r="B2622" s="31" t="s">
        <v>10</v>
      </c>
      <c r="C2622" s="31" t="s">
        <v>60</v>
      </c>
      <c r="D2622" s="32">
        <v>45631</v>
      </c>
      <c r="E2622" s="33">
        <v>5932.12</v>
      </c>
      <c r="F2622" s="34">
        <v>79</v>
      </c>
    </row>
    <row r="2623" spans="1:6" x14ac:dyDescent="0.3">
      <c r="A2623" s="35" t="s">
        <v>9</v>
      </c>
      <c r="B2623" s="36" t="s">
        <v>10</v>
      </c>
      <c r="C2623" s="36" t="s">
        <v>50</v>
      </c>
      <c r="D2623" s="37">
        <v>45600</v>
      </c>
      <c r="E2623" s="38">
        <v>6811.55</v>
      </c>
      <c r="F2623" s="39">
        <v>4</v>
      </c>
    </row>
    <row r="2624" spans="1:6" x14ac:dyDescent="0.3">
      <c r="A2624" s="30" t="s">
        <v>14</v>
      </c>
      <c r="B2624" s="31" t="s">
        <v>25</v>
      </c>
      <c r="C2624" s="31" t="s">
        <v>8</v>
      </c>
      <c r="D2624" s="31" t="s">
        <v>283</v>
      </c>
      <c r="E2624" s="33">
        <v>21381.14</v>
      </c>
      <c r="F2624" s="34">
        <v>311</v>
      </c>
    </row>
    <row r="2625" spans="1:6" x14ac:dyDescent="0.3">
      <c r="A2625" s="35" t="s">
        <v>79</v>
      </c>
      <c r="B2625" s="36" t="s">
        <v>25</v>
      </c>
      <c r="C2625" s="36" t="s">
        <v>59</v>
      </c>
      <c r="D2625" s="36" t="s">
        <v>280</v>
      </c>
      <c r="E2625" s="38">
        <v>8423.36</v>
      </c>
      <c r="F2625" s="39">
        <v>63</v>
      </c>
    </row>
    <row r="2626" spans="1:6" x14ac:dyDescent="0.3">
      <c r="A2626" s="30" t="s">
        <v>29</v>
      </c>
      <c r="B2626" s="31" t="s">
        <v>35</v>
      </c>
      <c r="C2626" s="31" t="s">
        <v>90</v>
      </c>
      <c r="D2626" s="32">
        <v>45299</v>
      </c>
      <c r="E2626" s="33">
        <v>7951.43</v>
      </c>
      <c r="F2626" s="34">
        <v>109</v>
      </c>
    </row>
    <row r="2627" spans="1:6" x14ac:dyDescent="0.3">
      <c r="A2627" s="35" t="s">
        <v>55</v>
      </c>
      <c r="B2627" s="36" t="s">
        <v>32</v>
      </c>
      <c r="C2627" s="36" t="s">
        <v>46</v>
      </c>
      <c r="D2627" s="36" t="s">
        <v>280</v>
      </c>
      <c r="E2627" s="38">
        <v>18389.099999999999</v>
      </c>
      <c r="F2627" s="39">
        <v>62</v>
      </c>
    </row>
    <row r="2628" spans="1:6" x14ac:dyDescent="0.3">
      <c r="A2628" s="30" t="s">
        <v>28</v>
      </c>
      <c r="B2628" s="31" t="s">
        <v>10</v>
      </c>
      <c r="C2628" s="31" t="s">
        <v>23</v>
      </c>
      <c r="D2628" s="31" t="s">
        <v>317</v>
      </c>
      <c r="E2628" s="33">
        <v>6555.46</v>
      </c>
      <c r="F2628" s="34">
        <v>45</v>
      </c>
    </row>
    <row r="2629" spans="1:6" x14ac:dyDescent="0.3">
      <c r="A2629" s="35" t="s">
        <v>19</v>
      </c>
      <c r="B2629" s="36" t="s">
        <v>25</v>
      </c>
      <c r="C2629" s="36" t="s">
        <v>73</v>
      </c>
      <c r="D2629" s="36" t="s">
        <v>336</v>
      </c>
      <c r="E2629" s="38">
        <v>5129.71</v>
      </c>
      <c r="F2629" s="39">
        <v>270</v>
      </c>
    </row>
    <row r="2630" spans="1:6" x14ac:dyDescent="0.3">
      <c r="A2630" s="30" t="s">
        <v>58</v>
      </c>
      <c r="B2630" s="31" t="s">
        <v>32</v>
      </c>
      <c r="C2630" s="31" t="s">
        <v>38</v>
      </c>
      <c r="D2630" s="32">
        <v>45570</v>
      </c>
      <c r="E2630" s="33">
        <v>2399.02</v>
      </c>
      <c r="F2630" s="34">
        <v>149</v>
      </c>
    </row>
    <row r="2631" spans="1:6" x14ac:dyDescent="0.3">
      <c r="A2631" s="35" t="s">
        <v>19</v>
      </c>
      <c r="B2631" s="36" t="s">
        <v>10</v>
      </c>
      <c r="C2631" s="36" t="s">
        <v>36</v>
      </c>
      <c r="D2631" s="36" t="s">
        <v>309</v>
      </c>
      <c r="E2631" s="38">
        <v>6096.53</v>
      </c>
      <c r="F2631" s="39">
        <v>344</v>
      </c>
    </row>
    <row r="2632" spans="1:6" x14ac:dyDescent="0.3">
      <c r="A2632" s="30" t="s">
        <v>83</v>
      </c>
      <c r="B2632" s="31" t="s">
        <v>25</v>
      </c>
      <c r="C2632" s="31" t="s">
        <v>42</v>
      </c>
      <c r="D2632" s="31" t="s">
        <v>292</v>
      </c>
      <c r="E2632" s="33">
        <v>8134.67</v>
      </c>
      <c r="F2632" s="34">
        <v>83</v>
      </c>
    </row>
    <row r="2633" spans="1:6" x14ac:dyDescent="0.3">
      <c r="A2633" s="35" t="s">
        <v>12</v>
      </c>
      <c r="B2633" s="36" t="s">
        <v>7</v>
      </c>
      <c r="C2633" s="36" t="s">
        <v>87</v>
      </c>
      <c r="D2633" s="36" t="s">
        <v>295</v>
      </c>
      <c r="E2633" s="38">
        <v>9969.65</v>
      </c>
      <c r="F2633" s="39">
        <v>449</v>
      </c>
    </row>
    <row r="2634" spans="1:6" x14ac:dyDescent="0.3">
      <c r="A2634" s="30" t="s">
        <v>14</v>
      </c>
      <c r="B2634" s="31" t="s">
        <v>15</v>
      </c>
      <c r="C2634" s="31" t="s">
        <v>26</v>
      </c>
      <c r="D2634" s="31" t="s">
        <v>333</v>
      </c>
      <c r="E2634" s="33">
        <v>3894.16</v>
      </c>
      <c r="F2634" s="34">
        <v>173</v>
      </c>
    </row>
    <row r="2635" spans="1:6" x14ac:dyDescent="0.3">
      <c r="A2635" s="35" t="s">
        <v>41</v>
      </c>
      <c r="B2635" s="36" t="s">
        <v>15</v>
      </c>
      <c r="C2635" s="36" t="s">
        <v>18</v>
      </c>
      <c r="D2635" s="36" t="s">
        <v>267</v>
      </c>
      <c r="E2635" s="38">
        <v>11533.35</v>
      </c>
      <c r="F2635" s="39">
        <v>491</v>
      </c>
    </row>
    <row r="2636" spans="1:6" x14ac:dyDescent="0.3">
      <c r="A2636" s="30" t="s">
        <v>83</v>
      </c>
      <c r="B2636" s="31" t="s">
        <v>32</v>
      </c>
      <c r="C2636" s="31" t="s">
        <v>42</v>
      </c>
      <c r="D2636" s="31" t="s">
        <v>271</v>
      </c>
      <c r="E2636" s="33">
        <v>8754.31</v>
      </c>
      <c r="F2636" s="34">
        <v>14</v>
      </c>
    </row>
    <row r="2637" spans="1:6" x14ac:dyDescent="0.3">
      <c r="A2637" s="35" t="s">
        <v>28</v>
      </c>
      <c r="B2637" s="36" t="s">
        <v>35</v>
      </c>
      <c r="C2637" s="36" t="s">
        <v>8</v>
      </c>
      <c r="D2637" s="36" t="s">
        <v>313</v>
      </c>
      <c r="E2637" s="38">
        <v>5475.65</v>
      </c>
      <c r="F2637" s="39">
        <v>194</v>
      </c>
    </row>
    <row r="2638" spans="1:6" x14ac:dyDescent="0.3">
      <c r="A2638" s="30" t="s">
        <v>55</v>
      </c>
      <c r="B2638" s="31" t="s">
        <v>7</v>
      </c>
      <c r="C2638" s="31" t="s">
        <v>33</v>
      </c>
      <c r="D2638" s="31" t="s">
        <v>282</v>
      </c>
      <c r="E2638" s="33">
        <v>2252.94</v>
      </c>
      <c r="F2638" s="34">
        <v>196</v>
      </c>
    </row>
    <row r="2639" spans="1:6" x14ac:dyDescent="0.3">
      <c r="A2639" s="35" t="s">
        <v>37</v>
      </c>
      <c r="B2639" s="36" t="s">
        <v>15</v>
      </c>
      <c r="C2639" s="36" t="s">
        <v>100</v>
      </c>
      <c r="D2639" s="36" t="s">
        <v>349</v>
      </c>
      <c r="E2639" s="38">
        <v>278.77999999999997</v>
      </c>
      <c r="F2639" s="39">
        <v>332</v>
      </c>
    </row>
    <row r="2640" spans="1:6" x14ac:dyDescent="0.3">
      <c r="A2640" s="30" t="s">
        <v>22</v>
      </c>
      <c r="B2640" s="31" t="s">
        <v>35</v>
      </c>
      <c r="C2640" s="31" t="s">
        <v>8</v>
      </c>
      <c r="D2640" s="32">
        <v>45298</v>
      </c>
      <c r="E2640" s="33">
        <v>8936.91</v>
      </c>
      <c r="F2640" s="34">
        <v>442</v>
      </c>
    </row>
    <row r="2641" spans="1:6" x14ac:dyDescent="0.3">
      <c r="A2641" s="35" t="s">
        <v>45</v>
      </c>
      <c r="B2641" s="36" t="s">
        <v>32</v>
      </c>
      <c r="C2641" s="36" t="s">
        <v>13</v>
      </c>
      <c r="D2641" s="36" t="s">
        <v>310</v>
      </c>
      <c r="E2641" s="38">
        <v>2010.22</v>
      </c>
      <c r="F2641" s="39">
        <v>144</v>
      </c>
    </row>
    <row r="2642" spans="1:6" x14ac:dyDescent="0.3">
      <c r="A2642" s="30" t="s">
        <v>48</v>
      </c>
      <c r="B2642" s="31" t="s">
        <v>35</v>
      </c>
      <c r="C2642" s="31" t="s">
        <v>18</v>
      </c>
      <c r="D2642" s="32">
        <v>45299</v>
      </c>
      <c r="E2642" s="33">
        <v>2901.91</v>
      </c>
      <c r="F2642" s="34">
        <v>12</v>
      </c>
    </row>
    <row r="2643" spans="1:6" x14ac:dyDescent="0.3">
      <c r="A2643" s="35" t="s">
        <v>19</v>
      </c>
      <c r="B2643" s="36" t="s">
        <v>15</v>
      </c>
      <c r="C2643" s="36" t="s">
        <v>46</v>
      </c>
      <c r="D2643" s="36" t="s">
        <v>352</v>
      </c>
      <c r="E2643" s="38">
        <v>9231.31</v>
      </c>
      <c r="F2643" s="39">
        <v>278</v>
      </c>
    </row>
    <row r="2644" spans="1:6" x14ac:dyDescent="0.3">
      <c r="A2644" s="30" t="s">
        <v>71</v>
      </c>
      <c r="B2644" s="31" t="s">
        <v>25</v>
      </c>
      <c r="C2644" s="31" t="s">
        <v>50</v>
      </c>
      <c r="D2644" s="31" t="s">
        <v>267</v>
      </c>
      <c r="E2644" s="33">
        <v>12744.67</v>
      </c>
      <c r="F2644" s="34">
        <v>26</v>
      </c>
    </row>
    <row r="2645" spans="1:6" x14ac:dyDescent="0.3">
      <c r="A2645" s="35" t="s">
        <v>12</v>
      </c>
      <c r="B2645" s="36" t="s">
        <v>7</v>
      </c>
      <c r="C2645" s="36" t="s">
        <v>46</v>
      </c>
      <c r="D2645" s="36" t="s">
        <v>350</v>
      </c>
      <c r="E2645" s="38">
        <v>1436.97</v>
      </c>
      <c r="F2645" s="39">
        <v>248</v>
      </c>
    </row>
    <row r="2646" spans="1:6" x14ac:dyDescent="0.3">
      <c r="A2646" s="30" t="s">
        <v>67</v>
      </c>
      <c r="B2646" s="31" t="s">
        <v>15</v>
      </c>
      <c r="C2646" s="31" t="s">
        <v>11</v>
      </c>
      <c r="D2646" s="31" t="s">
        <v>305</v>
      </c>
      <c r="E2646" s="33">
        <v>4900.32</v>
      </c>
      <c r="F2646" s="34">
        <v>254</v>
      </c>
    </row>
    <row r="2647" spans="1:6" x14ac:dyDescent="0.3">
      <c r="A2647" s="35" t="s">
        <v>71</v>
      </c>
      <c r="B2647" s="36" t="s">
        <v>15</v>
      </c>
      <c r="C2647" s="36" t="s">
        <v>18</v>
      </c>
      <c r="D2647" s="37">
        <v>45354</v>
      </c>
      <c r="E2647" s="38">
        <v>8263.11</v>
      </c>
      <c r="F2647" s="39">
        <v>129</v>
      </c>
    </row>
    <row r="2648" spans="1:6" x14ac:dyDescent="0.3">
      <c r="A2648" s="30" t="s">
        <v>45</v>
      </c>
      <c r="B2648" s="31" t="s">
        <v>10</v>
      </c>
      <c r="C2648" s="31" t="s">
        <v>90</v>
      </c>
      <c r="D2648" s="31" t="s">
        <v>277</v>
      </c>
      <c r="E2648" s="33">
        <v>10139.68</v>
      </c>
      <c r="F2648" s="34">
        <v>552</v>
      </c>
    </row>
    <row r="2649" spans="1:6" x14ac:dyDescent="0.3">
      <c r="A2649" s="35" t="s">
        <v>37</v>
      </c>
      <c r="B2649" s="36" t="s">
        <v>32</v>
      </c>
      <c r="C2649" s="36" t="s">
        <v>38</v>
      </c>
      <c r="D2649" s="36" t="s">
        <v>282</v>
      </c>
      <c r="E2649" s="38">
        <v>132.68</v>
      </c>
      <c r="F2649" s="39">
        <v>243</v>
      </c>
    </row>
    <row r="2650" spans="1:6" x14ac:dyDescent="0.3">
      <c r="A2650" s="30" t="s">
        <v>67</v>
      </c>
      <c r="B2650" s="31" t="s">
        <v>35</v>
      </c>
      <c r="C2650" s="31" t="s">
        <v>42</v>
      </c>
      <c r="D2650" s="32">
        <v>45383</v>
      </c>
      <c r="E2650" s="33">
        <v>9479.6299999999992</v>
      </c>
      <c r="F2650" s="34">
        <v>217</v>
      </c>
    </row>
    <row r="2651" spans="1:6" x14ac:dyDescent="0.3">
      <c r="A2651" s="35" t="s">
        <v>6</v>
      </c>
      <c r="B2651" s="36" t="s">
        <v>15</v>
      </c>
      <c r="C2651" s="36" t="s">
        <v>38</v>
      </c>
      <c r="D2651" s="36" t="s">
        <v>328</v>
      </c>
      <c r="E2651" s="38">
        <v>3114.84</v>
      </c>
      <c r="F2651" s="39">
        <v>65</v>
      </c>
    </row>
    <row r="2652" spans="1:6" x14ac:dyDescent="0.3">
      <c r="A2652" s="30" t="s">
        <v>37</v>
      </c>
      <c r="B2652" s="31" t="s">
        <v>32</v>
      </c>
      <c r="C2652" s="31" t="s">
        <v>8</v>
      </c>
      <c r="D2652" s="31" t="s">
        <v>355</v>
      </c>
      <c r="E2652" s="33">
        <v>17866.48</v>
      </c>
      <c r="F2652" s="34">
        <v>58</v>
      </c>
    </row>
    <row r="2653" spans="1:6" x14ac:dyDescent="0.3">
      <c r="A2653" s="35" t="s">
        <v>48</v>
      </c>
      <c r="B2653" s="36" t="s">
        <v>25</v>
      </c>
      <c r="C2653" s="36" t="s">
        <v>50</v>
      </c>
      <c r="D2653" s="37">
        <v>45566</v>
      </c>
      <c r="E2653" s="38">
        <v>4651.03</v>
      </c>
      <c r="F2653" s="39">
        <v>494</v>
      </c>
    </row>
    <row r="2654" spans="1:6" x14ac:dyDescent="0.3">
      <c r="A2654" s="30" t="s">
        <v>77</v>
      </c>
      <c r="B2654" s="31" t="s">
        <v>32</v>
      </c>
      <c r="C2654" s="31" t="s">
        <v>59</v>
      </c>
      <c r="D2654" s="32">
        <v>45387</v>
      </c>
      <c r="E2654" s="33">
        <v>14360.42</v>
      </c>
      <c r="F2654" s="34">
        <v>218</v>
      </c>
    </row>
    <row r="2655" spans="1:6" x14ac:dyDescent="0.3">
      <c r="A2655" s="35" t="s">
        <v>67</v>
      </c>
      <c r="B2655" s="36" t="s">
        <v>32</v>
      </c>
      <c r="C2655" s="36" t="s">
        <v>50</v>
      </c>
      <c r="D2655" s="36" t="s">
        <v>342</v>
      </c>
      <c r="E2655" s="38">
        <v>2595.52</v>
      </c>
      <c r="F2655" s="39">
        <v>5</v>
      </c>
    </row>
    <row r="2656" spans="1:6" x14ac:dyDescent="0.3">
      <c r="A2656" s="30" t="s">
        <v>31</v>
      </c>
      <c r="B2656" s="31" t="s">
        <v>25</v>
      </c>
      <c r="C2656" s="31" t="s">
        <v>57</v>
      </c>
      <c r="D2656" s="31" t="s">
        <v>357</v>
      </c>
      <c r="E2656" s="33">
        <v>1853.03</v>
      </c>
      <c r="F2656" s="34">
        <v>153</v>
      </c>
    </row>
    <row r="2657" spans="1:6" x14ac:dyDescent="0.3">
      <c r="A2657" s="35" t="s">
        <v>19</v>
      </c>
      <c r="B2657" s="36" t="s">
        <v>35</v>
      </c>
      <c r="C2657" s="36" t="s">
        <v>42</v>
      </c>
      <c r="D2657" s="37">
        <v>45419</v>
      </c>
      <c r="E2657" s="38">
        <v>1392.99</v>
      </c>
      <c r="F2657" s="39">
        <v>70</v>
      </c>
    </row>
    <row r="2658" spans="1:6" x14ac:dyDescent="0.3">
      <c r="A2658" s="30" t="s">
        <v>77</v>
      </c>
      <c r="B2658" s="31" t="s">
        <v>7</v>
      </c>
      <c r="C2658" s="31" t="s">
        <v>42</v>
      </c>
      <c r="D2658" s="31" t="s">
        <v>347</v>
      </c>
      <c r="E2658" s="33">
        <v>7943.17</v>
      </c>
      <c r="F2658" s="34">
        <v>174</v>
      </c>
    </row>
    <row r="2659" spans="1:6" x14ac:dyDescent="0.3">
      <c r="A2659" s="35" t="s">
        <v>79</v>
      </c>
      <c r="B2659" s="36" t="s">
        <v>32</v>
      </c>
      <c r="C2659" s="36" t="s">
        <v>8</v>
      </c>
      <c r="D2659" s="36" t="s">
        <v>315</v>
      </c>
      <c r="E2659" s="38">
        <v>5552.79</v>
      </c>
      <c r="F2659" s="39">
        <v>272</v>
      </c>
    </row>
    <row r="2660" spans="1:6" x14ac:dyDescent="0.3">
      <c r="A2660" s="30" t="s">
        <v>70</v>
      </c>
      <c r="B2660" s="31" t="s">
        <v>32</v>
      </c>
      <c r="C2660" s="31" t="s">
        <v>33</v>
      </c>
      <c r="D2660" s="32">
        <v>45353</v>
      </c>
      <c r="E2660" s="33">
        <v>1539.14</v>
      </c>
      <c r="F2660" s="34">
        <v>143</v>
      </c>
    </row>
    <row r="2661" spans="1:6" x14ac:dyDescent="0.3">
      <c r="A2661" s="35" t="s">
        <v>12</v>
      </c>
      <c r="B2661" s="36" t="s">
        <v>15</v>
      </c>
      <c r="C2661" s="36" t="s">
        <v>90</v>
      </c>
      <c r="D2661" s="37">
        <v>45511</v>
      </c>
      <c r="E2661" s="38">
        <v>9117.77</v>
      </c>
      <c r="F2661" s="39">
        <v>154</v>
      </c>
    </row>
    <row r="2662" spans="1:6" x14ac:dyDescent="0.3">
      <c r="A2662" s="30" t="s">
        <v>34</v>
      </c>
      <c r="B2662" s="31" t="s">
        <v>10</v>
      </c>
      <c r="C2662" s="31" t="s">
        <v>26</v>
      </c>
      <c r="D2662" s="31" t="s">
        <v>332</v>
      </c>
      <c r="E2662" s="33">
        <v>631.02</v>
      </c>
      <c r="F2662" s="34">
        <v>140</v>
      </c>
    </row>
    <row r="2663" spans="1:6" x14ac:dyDescent="0.3">
      <c r="A2663" s="35" t="s">
        <v>9</v>
      </c>
      <c r="B2663" s="36" t="s">
        <v>25</v>
      </c>
      <c r="C2663" s="36" t="s">
        <v>8</v>
      </c>
      <c r="D2663" s="36" t="s">
        <v>275</v>
      </c>
      <c r="E2663" s="38">
        <v>4486.37</v>
      </c>
      <c r="F2663" s="39">
        <v>104</v>
      </c>
    </row>
    <row r="2664" spans="1:6" x14ac:dyDescent="0.3">
      <c r="A2664" s="30" t="s">
        <v>9</v>
      </c>
      <c r="B2664" s="31" t="s">
        <v>10</v>
      </c>
      <c r="C2664" s="31" t="s">
        <v>26</v>
      </c>
      <c r="D2664" s="31" t="s">
        <v>336</v>
      </c>
      <c r="E2664" s="33">
        <v>5591.29</v>
      </c>
      <c r="F2664" s="34">
        <v>132</v>
      </c>
    </row>
    <row r="2665" spans="1:6" x14ac:dyDescent="0.3">
      <c r="A2665" s="35" t="s">
        <v>9</v>
      </c>
      <c r="B2665" s="36" t="s">
        <v>32</v>
      </c>
      <c r="C2665" s="36" t="s">
        <v>60</v>
      </c>
      <c r="D2665" s="36" t="s">
        <v>332</v>
      </c>
      <c r="E2665" s="38">
        <v>2662.54</v>
      </c>
      <c r="F2665" s="39">
        <v>102</v>
      </c>
    </row>
    <row r="2666" spans="1:6" x14ac:dyDescent="0.3">
      <c r="A2666" s="30" t="s">
        <v>64</v>
      </c>
      <c r="B2666" s="31" t="s">
        <v>32</v>
      </c>
      <c r="C2666" s="31" t="s">
        <v>33</v>
      </c>
      <c r="D2666" s="31" t="s">
        <v>279</v>
      </c>
      <c r="E2666" s="33">
        <v>7481.93</v>
      </c>
      <c r="F2666" s="34">
        <v>38</v>
      </c>
    </row>
    <row r="2667" spans="1:6" x14ac:dyDescent="0.3">
      <c r="A2667" s="35" t="s">
        <v>31</v>
      </c>
      <c r="B2667" s="36" t="s">
        <v>25</v>
      </c>
      <c r="C2667" s="36" t="s">
        <v>36</v>
      </c>
      <c r="D2667" s="36" t="s">
        <v>308</v>
      </c>
      <c r="E2667" s="38">
        <v>7418.41</v>
      </c>
      <c r="F2667" s="39">
        <v>31</v>
      </c>
    </row>
    <row r="2668" spans="1:6" x14ac:dyDescent="0.3">
      <c r="A2668" s="30" t="s">
        <v>12</v>
      </c>
      <c r="B2668" s="31" t="s">
        <v>32</v>
      </c>
      <c r="C2668" s="31" t="s">
        <v>23</v>
      </c>
      <c r="D2668" s="31" t="s">
        <v>328</v>
      </c>
      <c r="E2668" s="33">
        <v>1969.06</v>
      </c>
      <c r="F2668" s="34">
        <v>235</v>
      </c>
    </row>
    <row r="2669" spans="1:6" x14ac:dyDescent="0.3">
      <c r="A2669" s="35" t="s">
        <v>31</v>
      </c>
      <c r="B2669" s="36" t="s">
        <v>25</v>
      </c>
      <c r="C2669" s="36" t="s">
        <v>8</v>
      </c>
      <c r="D2669" s="36" t="s">
        <v>315</v>
      </c>
      <c r="E2669" s="38">
        <v>7197.75</v>
      </c>
      <c r="F2669" s="39">
        <v>159</v>
      </c>
    </row>
    <row r="2670" spans="1:6" x14ac:dyDescent="0.3">
      <c r="A2670" s="30" t="s">
        <v>58</v>
      </c>
      <c r="B2670" s="31" t="s">
        <v>35</v>
      </c>
      <c r="C2670" s="31" t="s">
        <v>11</v>
      </c>
      <c r="D2670" s="32">
        <v>45299</v>
      </c>
      <c r="E2670" s="33">
        <v>11719.06</v>
      </c>
      <c r="F2670" s="34">
        <v>87</v>
      </c>
    </row>
    <row r="2671" spans="1:6" x14ac:dyDescent="0.3">
      <c r="A2671" s="35" t="s">
        <v>41</v>
      </c>
      <c r="B2671" s="36" t="s">
        <v>25</v>
      </c>
      <c r="C2671" s="36" t="s">
        <v>18</v>
      </c>
      <c r="D2671" s="36" t="s">
        <v>286</v>
      </c>
      <c r="E2671" s="38">
        <v>2755.14</v>
      </c>
      <c r="F2671" s="39">
        <v>63</v>
      </c>
    </row>
    <row r="2672" spans="1:6" x14ac:dyDescent="0.3">
      <c r="A2672" s="30" t="s">
        <v>53</v>
      </c>
      <c r="B2672" s="31" t="s">
        <v>32</v>
      </c>
      <c r="C2672" s="31" t="s">
        <v>59</v>
      </c>
      <c r="D2672" s="31" t="s">
        <v>301</v>
      </c>
      <c r="E2672" s="33">
        <v>2438.56</v>
      </c>
      <c r="F2672" s="34">
        <v>61</v>
      </c>
    </row>
    <row r="2673" spans="1:6" x14ac:dyDescent="0.3">
      <c r="A2673" s="35" t="s">
        <v>67</v>
      </c>
      <c r="B2673" s="36" t="s">
        <v>15</v>
      </c>
      <c r="C2673" s="36" t="s">
        <v>13</v>
      </c>
      <c r="D2673" s="36" t="s">
        <v>269</v>
      </c>
      <c r="E2673" s="38">
        <v>7661.86</v>
      </c>
      <c r="F2673" s="39">
        <v>144</v>
      </c>
    </row>
    <row r="2674" spans="1:6" x14ac:dyDescent="0.3">
      <c r="A2674" s="30" t="s">
        <v>58</v>
      </c>
      <c r="B2674" s="31" t="s">
        <v>10</v>
      </c>
      <c r="C2674" s="31" t="s">
        <v>11</v>
      </c>
      <c r="D2674" s="31" t="s">
        <v>283</v>
      </c>
      <c r="E2674" s="33">
        <v>4886.1499999999996</v>
      </c>
      <c r="F2674" s="34">
        <v>23</v>
      </c>
    </row>
    <row r="2675" spans="1:6" x14ac:dyDescent="0.3">
      <c r="A2675" s="35" t="s">
        <v>48</v>
      </c>
      <c r="B2675" s="36" t="s">
        <v>7</v>
      </c>
      <c r="C2675" s="36" t="s">
        <v>26</v>
      </c>
      <c r="D2675" s="37">
        <v>45507</v>
      </c>
      <c r="E2675" s="38">
        <v>3572.26</v>
      </c>
      <c r="F2675" s="39">
        <v>156</v>
      </c>
    </row>
    <row r="2676" spans="1:6" x14ac:dyDescent="0.3">
      <c r="A2676" s="30" t="s">
        <v>22</v>
      </c>
      <c r="B2676" s="31" t="s">
        <v>32</v>
      </c>
      <c r="C2676" s="31" t="s">
        <v>57</v>
      </c>
      <c r="D2676" s="32">
        <v>45538</v>
      </c>
      <c r="E2676" s="33">
        <v>6937.75</v>
      </c>
      <c r="F2676" s="34">
        <v>94</v>
      </c>
    </row>
    <row r="2677" spans="1:6" x14ac:dyDescent="0.3">
      <c r="A2677" s="35" t="s">
        <v>19</v>
      </c>
      <c r="B2677" s="36" t="s">
        <v>35</v>
      </c>
      <c r="C2677" s="36" t="s">
        <v>73</v>
      </c>
      <c r="D2677" s="36" t="s">
        <v>317</v>
      </c>
      <c r="E2677" s="38">
        <v>1941.25</v>
      </c>
      <c r="F2677" s="39">
        <v>221</v>
      </c>
    </row>
    <row r="2678" spans="1:6" x14ac:dyDescent="0.3">
      <c r="A2678" s="30" t="s">
        <v>12</v>
      </c>
      <c r="B2678" s="31" t="s">
        <v>7</v>
      </c>
      <c r="C2678" s="31" t="s">
        <v>38</v>
      </c>
      <c r="D2678" s="31" t="s">
        <v>283</v>
      </c>
      <c r="E2678" s="33">
        <v>6173.15</v>
      </c>
      <c r="F2678" s="34">
        <v>46</v>
      </c>
    </row>
    <row r="2679" spans="1:6" x14ac:dyDescent="0.3">
      <c r="A2679" s="35" t="s">
        <v>70</v>
      </c>
      <c r="B2679" s="36" t="s">
        <v>10</v>
      </c>
      <c r="C2679" s="36" t="s">
        <v>8</v>
      </c>
      <c r="D2679" s="36" t="s">
        <v>271</v>
      </c>
      <c r="E2679" s="38">
        <v>3105.45</v>
      </c>
      <c r="F2679" s="39">
        <v>116</v>
      </c>
    </row>
    <row r="2680" spans="1:6" x14ac:dyDescent="0.3">
      <c r="A2680" s="30" t="s">
        <v>37</v>
      </c>
      <c r="B2680" s="31" t="s">
        <v>35</v>
      </c>
      <c r="C2680" s="31" t="s">
        <v>13</v>
      </c>
      <c r="D2680" s="32">
        <v>45634</v>
      </c>
      <c r="E2680" s="33">
        <v>3691.6</v>
      </c>
      <c r="F2680" s="34">
        <v>154</v>
      </c>
    </row>
    <row r="2681" spans="1:6" x14ac:dyDescent="0.3">
      <c r="A2681" s="35" t="s">
        <v>31</v>
      </c>
      <c r="B2681" s="36" t="s">
        <v>7</v>
      </c>
      <c r="C2681" s="36" t="s">
        <v>8</v>
      </c>
      <c r="D2681" s="37">
        <v>45480</v>
      </c>
      <c r="E2681" s="38">
        <v>3950.65</v>
      </c>
      <c r="F2681" s="39">
        <v>324</v>
      </c>
    </row>
    <row r="2682" spans="1:6" x14ac:dyDescent="0.3">
      <c r="A2682" s="30" t="s">
        <v>31</v>
      </c>
      <c r="B2682" s="31" t="s">
        <v>32</v>
      </c>
      <c r="C2682" s="31" t="s">
        <v>11</v>
      </c>
      <c r="D2682" s="31" t="s">
        <v>309</v>
      </c>
      <c r="E2682" s="33">
        <v>13497.17</v>
      </c>
      <c r="F2682" s="34">
        <v>49</v>
      </c>
    </row>
    <row r="2683" spans="1:6" x14ac:dyDescent="0.3">
      <c r="A2683" s="35" t="s">
        <v>53</v>
      </c>
      <c r="B2683" s="36" t="s">
        <v>35</v>
      </c>
      <c r="C2683" s="36" t="s">
        <v>36</v>
      </c>
      <c r="D2683" s="36" t="s">
        <v>358</v>
      </c>
      <c r="E2683" s="38">
        <v>4389.2299999999996</v>
      </c>
      <c r="F2683" s="39">
        <v>241</v>
      </c>
    </row>
    <row r="2684" spans="1:6" x14ac:dyDescent="0.3">
      <c r="A2684" s="30" t="s">
        <v>14</v>
      </c>
      <c r="B2684" s="31" t="s">
        <v>15</v>
      </c>
      <c r="C2684" s="31" t="s">
        <v>100</v>
      </c>
      <c r="D2684" s="32">
        <v>45385</v>
      </c>
      <c r="E2684" s="33">
        <v>6310.98</v>
      </c>
      <c r="F2684" s="34">
        <v>366</v>
      </c>
    </row>
    <row r="2685" spans="1:6" x14ac:dyDescent="0.3">
      <c r="A2685" s="35" t="s">
        <v>40</v>
      </c>
      <c r="B2685" s="36" t="s">
        <v>25</v>
      </c>
      <c r="C2685" s="36" t="s">
        <v>57</v>
      </c>
      <c r="D2685" s="36" t="s">
        <v>309</v>
      </c>
      <c r="E2685" s="38">
        <v>9693.3700000000008</v>
      </c>
      <c r="F2685" s="39">
        <v>4</v>
      </c>
    </row>
    <row r="2686" spans="1:6" x14ac:dyDescent="0.3">
      <c r="A2686" s="30" t="s">
        <v>83</v>
      </c>
      <c r="B2686" s="31" t="s">
        <v>7</v>
      </c>
      <c r="C2686" s="31" t="s">
        <v>13</v>
      </c>
      <c r="D2686" s="31" t="s">
        <v>287</v>
      </c>
      <c r="E2686" s="33">
        <v>2348.1999999999998</v>
      </c>
      <c r="F2686" s="34">
        <v>266</v>
      </c>
    </row>
    <row r="2687" spans="1:6" x14ac:dyDescent="0.3">
      <c r="A2687" s="35" t="s">
        <v>55</v>
      </c>
      <c r="B2687" s="36" t="s">
        <v>32</v>
      </c>
      <c r="C2687" s="36" t="s">
        <v>42</v>
      </c>
      <c r="D2687" s="37">
        <v>45599</v>
      </c>
      <c r="E2687" s="38">
        <v>2518.5</v>
      </c>
      <c r="F2687" s="39">
        <v>24</v>
      </c>
    </row>
    <row r="2688" spans="1:6" x14ac:dyDescent="0.3">
      <c r="A2688" s="30" t="s">
        <v>71</v>
      </c>
      <c r="B2688" s="31" t="s">
        <v>32</v>
      </c>
      <c r="C2688" s="31" t="s">
        <v>73</v>
      </c>
      <c r="D2688" s="31" t="s">
        <v>325</v>
      </c>
      <c r="E2688" s="33">
        <v>3516.72</v>
      </c>
      <c r="F2688" s="34">
        <v>17</v>
      </c>
    </row>
    <row r="2689" spans="1:6" x14ac:dyDescent="0.3">
      <c r="A2689" s="35" t="s">
        <v>28</v>
      </c>
      <c r="B2689" s="36" t="s">
        <v>25</v>
      </c>
      <c r="C2689" s="36" t="s">
        <v>60</v>
      </c>
      <c r="D2689" s="36" t="s">
        <v>333</v>
      </c>
      <c r="E2689" s="38">
        <v>16807.37</v>
      </c>
      <c r="F2689" s="39">
        <v>44</v>
      </c>
    </row>
    <row r="2690" spans="1:6" x14ac:dyDescent="0.3">
      <c r="A2690" s="30" t="s">
        <v>6</v>
      </c>
      <c r="B2690" s="31" t="s">
        <v>25</v>
      </c>
      <c r="C2690" s="31" t="s">
        <v>23</v>
      </c>
      <c r="D2690" s="31" t="s">
        <v>298</v>
      </c>
      <c r="E2690" s="33">
        <v>1736.59</v>
      </c>
      <c r="F2690" s="34">
        <v>70</v>
      </c>
    </row>
    <row r="2691" spans="1:6" x14ac:dyDescent="0.3">
      <c r="A2691" s="35" t="s">
        <v>6</v>
      </c>
      <c r="B2691" s="36" t="s">
        <v>32</v>
      </c>
      <c r="C2691" s="36" t="s">
        <v>18</v>
      </c>
      <c r="D2691" s="37">
        <v>45480</v>
      </c>
      <c r="E2691" s="38">
        <v>7900.11</v>
      </c>
      <c r="F2691" s="39">
        <v>168</v>
      </c>
    </row>
    <row r="2692" spans="1:6" x14ac:dyDescent="0.3">
      <c r="A2692" s="30" t="s">
        <v>77</v>
      </c>
      <c r="B2692" s="31" t="s">
        <v>10</v>
      </c>
      <c r="C2692" s="31" t="s">
        <v>8</v>
      </c>
      <c r="D2692" s="31" t="s">
        <v>285</v>
      </c>
      <c r="E2692" s="33">
        <v>4016.89</v>
      </c>
      <c r="F2692" s="34">
        <v>71</v>
      </c>
    </row>
    <row r="2693" spans="1:6" x14ac:dyDescent="0.3">
      <c r="A2693" s="35" t="s">
        <v>6</v>
      </c>
      <c r="B2693" s="36" t="s">
        <v>10</v>
      </c>
      <c r="C2693" s="36" t="s">
        <v>36</v>
      </c>
      <c r="D2693" s="36" t="s">
        <v>266</v>
      </c>
      <c r="E2693" s="38">
        <v>9642.6200000000008</v>
      </c>
      <c r="F2693" s="39">
        <v>140</v>
      </c>
    </row>
    <row r="2694" spans="1:6" x14ac:dyDescent="0.3">
      <c r="A2694" s="30" t="s">
        <v>37</v>
      </c>
      <c r="B2694" s="31" t="s">
        <v>35</v>
      </c>
      <c r="C2694" s="31" t="s">
        <v>73</v>
      </c>
      <c r="D2694" s="32">
        <v>45540</v>
      </c>
      <c r="E2694" s="33">
        <v>773.7</v>
      </c>
      <c r="F2694" s="34">
        <v>217</v>
      </c>
    </row>
    <row r="2695" spans="1:6" x14ac:dyDescent="0.3">
      <c r="A2695" s="35" t="s">
        <v>55</v>
      </c>
      <c r="B2695" s="36" t="s">
        <v>15</v>
      </c>
      <c r="C2695" s="36" t="s">
        <v>100</v>
      </c>
      <c r="D2695" s="37">
        <v>45506</v>
      </c>
      <c r="E2695" s="38">
        <v>7852.03</v>
      </c>
      <c r="F2695" s="39">
        <v>240</v>
      </c>
    </row>
    <row r="2696" spans="1:6" x14ac:dyDescent="0.3">
      <c r="A2696" s="30" t="s">
        <v>45</v>
      </c>
      <c r="B2696" s="31" t="s">
        <v>7</v>
      </c>
      <c r="C2696" s="31" t="s">
        <v>100</v>
      </c>
      <c r="D2696" s="31" t="s">
        <v>268</v>
      </c>
      <c r="E2696" s="33">
        <v>1649.57</v>
      </c>
      <c r="F2696" s="34">
        <v>293</v>
      </c>
    </row>
    <row r="2697" spans="1:6" x14ac:dyDescent="0.3">
      <c r="A2697" s="35" t="s">
        <v>29</v>
      </c>
      <c r="B2697" s="36" t="s">
        <v>32</v>
      </c>
      <c r="C2697" s="36" t="s">
        <v>38</v>
      </c>
      <c r="D2697" s="36" t="s">
        <v>299</v>
      </c>
      <c r="E2697" s="38">
        <v>9333.4500000000007</v>
      </c>
      <c r="F2697" s="39">
        <v>78</v>
      </c>
    </row>
    <row r="2698" spans="1:6" x14ac:dyDescent="0.3">
      <c r="A2698" s="30" t="s">
        <v>34</v>
      </c>
      <c r="B2698" s="31" t="s">
        <v>35</v>
      </c>
      <c r="C2698" s="31" t="s">
        <v>60</v>
      </c>
      <c r="D2698" s="32">
        <v>45476</v>
      </c>
      <c r="E2698" s="33">
        <v>1540.11</v>
      </c>
      <c r="F2698" s="34">
        <v>117</v>
      </c>
    </row>
    <row r="2699" spans="1:6" x14ac:dyDescent="0.3">
      <c r="A2699" s="35" t="s">
        <v>55</v>
      </c>
      <c r="B2699" s="36" t="s">
        <v>15</v>
      </c>
      <c r="C2699" s="36" t="s">
        <v>57</v>
      </c>
      <c r="D2699" s="36" t="s">
        <v>299</v>
      </c>
      <c r="E2699" s="38">
        <v>7840.94</v>
      </c>
      <c r="F2699" s="39">
        <v>82</v>
      </c>
    </row>
    <row r="2700" spans="1:6" x14ac:dyDescent="0.3">
      <c r="A2700" s="30" t="s">
        <v>19</v>
      </c>
      <c r="B2700" s="31" t="s">
        <v>25</v>
      </c>
      <c r="C2700" s="31" t="s">
        <v>42</v>
      </c>
      <c r="D2700" s="31" t="s">
        <v>276</v>
      </c>
      <c r="E2700" s="33">
        <v>17102.97</v>
      </c>
      <c r="F2700" s="34">
        <v>267</v>
      </c>
    </row>
    <row r="2701" spans="1:6" x14ac:dyDescent="0.3">
      <c r="A2701" s="35" t="s">
        <v>77</v>
      </c>
      <c r="B2701" s="36" t="s">
        <v>7</v>
      </c>
      <c r="C2701" s="36" t="s">
        <v>20</v>
      </c>
      <c r="D2701" s="36" t="s">
        <v>272</v>
      </c>
      <c r="E2701" s="38">
        <v>11496.42</v>
      </c>
      <c r="F2701" s="39">
        <v>49</v>
      </c>
    </row>
    <row r="2702" spans="1:6" x14ac:dyDescent="0.3">
      <c r="A2702" s="30" t="s">
        <v>77</v>
      </c>
      <c r="B2702" s="31" t="s">
        <v>15</v>
      </c>
      <c r="C2702" s="31" t="s">
        <v>8</v>
      </c>
      <c r="D2702" s="32">
        <v>45327</v>
      </c>
      <c r="E2702" s="33">
        <v>3072.89</v>
      </c>
      <c r="F2702" s="34">
        <v>166</v>
      </c>
    </row>
    <row r="2703" spans="1:6" x14ac:dyDescent="0.3">
      <c r="A2703" s="35" t="s">
        <v>48</v>
      </c>
      <c r="B2703" s="36" t="s">
        <v>35</v>
      </c>
      <c r="C2703" s="36" t="s">
        <v>20</v>
      </c>
      <c r="D2703" s="37">
        <v>45480</v>
      </c>
      <c r="E2703" s="38">
        <v>14990.79</v>
      </c>
      <c r="F2703" s="39">
        <v>7</v>
      </c>
    </row>
    <row r="2704" spans="1:6" x14ac:dyDescent="0.3">
      <c r="A2704" s="30" t="s">
        <v>29</v>
      </c>
      <c r="B2704" s="31" t="s">
        <v>15</v>
      </c>
      <c r="C2704" s="31" t="s">
        <v>87</v>
      </c>
      <c r="D2704" s="31" t="s">
        <v>289</v>
      </c>
      <c r="E2704" s="33">
        <v>3170.18</v>
      </c>
      <c r="F2704" s="34">
        <v>49</v>
      </c>
    </row>
    <row r="2705" spans="1:6" x14ac:dyDescent="0.3">
      <c r="A2705" s="35" t="s">
        <v>37</v>
      </c>
      <c r="B2705" s="36" t="s">
        <v>15</v>
      </c>
      <c r="C2705" s="36" t="s">
        <v>23</v>
      </c>
      <c r="D2705" s="37">
        <v>45604</v>
      </c>
      <c r="E2705" s="38">
        <v>2528.14</v>
      </c>
      <c r="F2705" s="39">
        <v>67</v>
      </c>
    </row>
    <row r="2706" spans="1:6" x14ac:dyDescent="0.3">
      <c r="A2706" s="30" t="s">
        <v>40</v>
      </c>
      <c r="B2706" s="31" t="s">
        <v>7</v>
      </c>
      <c r="C2706" s="31" t="s">
        <v>20</v>
      </c>
      <c r="D2706" s="31" t="s">
        <v>270</v>
      </c>
      <c r="E2706" s="33">
        <v>8551.6</v>
      </c>
      <c r="F2706" s="34">
        <v>208</v>
      </c>
    </row>
    <row r="2707" spans="1:6" x14ac:dyDescent="0.3">
      <c r="A2707" s="35" t="s">
        <v>22</v>
      </c>
      <c r="B2707" s="36" t="s">
        <v>15</v>
      </c>
      <c r="C2707" s="36" t="s">
        <v>26</v>
      </c>
      <c r="D2707" s="37">
        <v>45325</v>
      </c>
      <c r="E2707" s="38">
        <v>13072.95</v>
      </c>
      <c r="F2707" s="39">
        <v>119</v>
      </c>
    </row>
    <row r="2708" spans="1:6" x14ac:dyDescent="0.3">
      <c r="A2708" s="30" t="s">
        <v>40</v>
      </c>
      <c r="B2708" s="31" t="s">
        <v>15</v>
      </c>
      <c r="C2708" s="31" t="s">
        <v>75</v>
      </c>
      <c r="D2708" s="31" t="s">
        <v>335</v>
      </c>
      <c r="E2708" s="33">
        <v>11987.26</v>
      </c>
      <c r="F2708" s="34">
        <v>41</v>
      </c>
    </row>
    <row r="2709" spans="1:6" x14ac:dyDescent="0.3">
      <c r="A2709" s="35" t="s">
        <v>70</v>
      </c>
      <c r="B2709" s="36" t="s">
        <v>25</v>
      </c>
      <c r="C2709" s="36" t="s">
        <v>38</v>
      </c>
      <c r="D2709" s="37">
        <v>45568</v>
      </c>
      <c r="E2709" s="38">
        <v>18385.439999999999</v>
      </c>
      <c r="F2709" s="39">
        <v>116</v>
      </c>
    </row>
    <row r="2710" spans="1:6" x14ac:dyDescent="0.3">
      <c r="A2710" s="30" t="s">
        <v>41</v>
      </c>
      <c r="B2710" s="31" t="s">
        <v>32</v>
      </c>
      <c r="C2710" s="31" t="s">
        <v>11</v>
      </c>
      <c r="D2710" s="31" t="s">
        <v>305</v>
      </c>
      <c r="E2710" s="33">
        <v>14028.4</v>
      </c>
      <c r="F2710" s="34">
        <v>344</v>
      </c>
    </row>
    <row r="2711" spans="1:6" x14ac:dyDescent="0.3">
      <c r="A2711" s="35" t="s">
        <v>45</v>
      </c>
      <c r="B2711" s="36" t="s">
        <v>32</v>
      </c>
      <c r="C2711" s="36" t="s">
        <v>36</v>
      </c>
      <c r="D2711" s="36" t="s">
        <v>320</v>
      </c>
      <c r="E2711" s="38">
        <v>4812.71</v>
      </c>
      <c r="F2711" s="39">
        <v>169</v>
      </c>
    </row>
    <row r="2712" spans="1:6" x14ac:dyDescent="0.3">
      <c r="A2712" s="30" t="s">
        <v>58</v>
      </c>
      <c r="B2712" s="31" t="s">
        <v>7</v>
      </c>
      <c r="C2712" s="31" t="s">
        <v>46</v>
      </c>
      <c r="D2712" s="32">
        <v>45476</v>
      </c>
      <c r="E2712" s="33">
        <v>11963.91</v>
      </c>
      <c r="F2712" s="34">
        <v>446</v>
      </c>
    </row>
    <row r="2713" spans="1:6" x14ac:dyDescent="0.3">
      <c r="A2713" s="35" t="s">
        <v>64</v>
      </c>
      <c r="B2713" s="36" t="s">
        <v>7</v>
      </c>
      <c r="C2713" s="36" t="s">
        <v>42</v>
      </c>
      <c r="D2713" s="37">
        <v>45633</v>
      </c>
      <c r="E2713" s="38">
        <v>5574.83</v>
      </c>
      <c r="F2713" s="39">
        <v>52</v>
      </c>
    </row>
    <row r="2714" spans="1:6" x14ac:dyDescent="0.3">
      <c r="A2714" s="30" t="s">
        <v>77</v>
      </c>
      <c r="B2714" s="31" t="s">
        <v>32</v>
      </c>
      <c r="C2714" s="31" t="s">
        <v>33</v>
      </c>
      <c r="D2714" s="31" t="s">
        <v>295</v>
      </c>
      <c r="E2714" s="33">
        <v>9205.15</v>
      </c>
      <c r="F2714" s="34">
        <v>144</v>
      </c>
    </row>
    <row r="2715" spans="1:6" x14ac:dyDescent="0.3">
      <c r="A2715" s="35" t="s">
        <v>22</v>
      </c>
      <c r="B2715" s="36" t="s">
        <v>10</v>
      </c>
      <c r="C2715" s="36" t="s">
        <v>18</v>
      </c>
      <c r="D2715" s="37">
        <v>45325</v>
      </c>
      <c r="E2715" s="38">
        <v>4133.74</v>
      </c>
      <c r="F2715" s="39">
        <v>69</v>
      </c>
    </row>
    <row r="2716" spans="1:6" x14ac:dyDescent="0.3">
      <c r="A2716" s="30" t="s">
        <v>40</v>
      </c>
      <c r="B2716" s="31" t="s">
        <v>25</v>
      </c>
      <c r="C2716" s="31" t="s">
        <v>11</v>
      </c>
      <c r="D2716" s="31" t="s">
        <v>277</v>
      </c>
      <c r="E2716" s="33">
        <v>1312.23</v>
      </c>
      <c r="F2716" s="34">
        <v>164</v>
      </c>
    </row>
    <row r="2717" spans="1:6" x14ac:dyDescent="0.3">
      <c r="A2717" s="35" t="s">
        <v>40</v>
      </c>
      <c r="B2717" s="36" t="s">
        <v>7</v>
      </c>
      <c r="C2717" s="36" t="s">
        <v>60</v>
      </c>
      <c r="D2717" s="37">
        <v>45571</v>
      </c>
      <c r="E2717" s="38">
        <v>11735.75</v>
      </c>
      <c r="F2717" s="39">
        <v>185</v>
      </c>
    </row>
    <row r="2718" spans="1:6" x14ac:dyDescent="0.3">
      <c r="A2718" s="30" t="s">
        <v>28</v>
      </c>
      <c r="B2718" s="31" t="s">
        <v>32</v>
      </c>
      <c r="C2718" s="31" t="s">
        <v>20</v>
      </c>
      <c r="D2718" s="31" t="s">
        <v>319</v>
      </c>
      <c r="E2718" s="33">
        <v>7650.76</v>
      </c>
      <c r="F2718" s="34">
        <v>358</v>
      </c>
    </row>
    <row r="2719" spans="1:6" x14ac:dyDescent="0.3">
      <c r="A2719" s="35" t="s">
        <v>41</v>
      </c>
      <c r="B2719" s="36" t="s">
        <v>25</v>
      </c>
      <c r="C2719" s="36" t="s">
        <v>8</v>
      </c>
      <c r="D2719" s="37">
        <v>45541</v>
      </c>
      <c r="E2719" s="38">
        <v>4994.93</v>
      </c>
      <c r="F2719" s="39">
        <v>98</v>
      </c>
    </row>
    <row r="2720" spans="1:6" x14ac:dyDescent="0.3">
      <c r="A2720" s="30" t="s">
        <v>58</v>
      </c>
      <c r="B2720" s="31" t="s">
        <v>32</v>
      </c>
      <c r="C2720" s="31" t="s">
        <v>46</v>
      </c>
      <c r="D2720" s="32">
        <v>45631</v>
      </c>
      <c r="E2720" s="33">
        <v>890.78</v>
      </c>
      <c r="F2720" s="34">
        <v>62</v>
      </c>
    </row>
    <row r="2721" spans="1:6" x14ac:dyDescent="0.3">
      <c r="A2721" s="35" t="s">
        <v>22</v>
      </c>
      <c r="B2721" s="36" t="s">
        <v>32</v>
      </c>
      <c r="C2721" s="36" t="s">
        <v>38</v>
      </c>
      <c r="D2721" s="37">
        <v>45540</v>
      </c>
      <c r="E2721" s="38">
        <v>4142.16</v>
      </c>
      <c r="F2721" s="39">
        <v>5</v>
      </c>
    </row>
    <row r="2722" spans="1:6" x14ac:dyDescent="0.3">
      <c r="A2722" s="30" t="s">
        <v>28</v>
      </c>
      <c r="B2722" s="31" t="s">
        <v>35</v>
      </c>
      <c r="C2722" s="31" t="s">
        <v>60</v>
      </c>
      <c r="D2722" s="32">
        <v>45543</v>
      </c>
      <c r="E2722" s="33">
        <v>7308.24</v>
      </c>
      <c r="F2722" s="34">
        <v>178</v>
      </c>
    </row>
    <row r="2723" spans="1:6" x14ac:dyDescent="0.3">
      <c r="A2723" s="35" t="s">
        <v>9</v>
      </c>
      <c r="B2723" s="36" t="s">
        <v>10</v>
      </c>
      <c r="C2723" s="36" t="s">
        <v>75</v>
      </c>
      <c r="D2723" s="36" t="s">
        <v>327</v>
      </c>
      <c r="E2723" s="38">
        <v>6833.86</v>
      </c>
      <c r="F2723" s="39">
        <v>115</v>
      </c>
    </row>
    <row r="2724" spans="1:6" x14ac:dyDescent="0.3">
      <c r="A2724" s="30" t="s">
        <v>67</v>
      </c>
      <c r="B2724" s="31" t="s">
        <v>32</v>
      </c>
      <c r="C2724" s="31" t="s">
        <v>90</v>
      </c>
      <c r="D2724" s="32">
        <v>45327</v>
      </c>
      <c r="E2724" s="33">
        <v>8878.27</v>
      </c>
      <c r="F2724" s="34">
        <v>47</v>
      </c>
    </row>
    <row r="2725" spans="1:6" x14ac:dyDescent="0.3">
      <c r="A2725" s="35" t="s">
        <v>79</v>
      </c>
      <c r="B2725" s="36" t="s">
        <v>32</v>
      </c>
      <c r="C2725" s="36" t="s">
        <v>20</v>
      </c>
      <c r="D2725" s="37">
        <v>45543</v>
      </c>
      <c r="E2725" s="38">
        <v>4134.93</v>
      </c>
      <c r="F2725" s="39">
        <v>307</v>
      </c>
    </row>
    <row r="2726" spans="1:6" x14ac:dyDescent="0.3">
      <c r="A2726" s="30" t="s">
        <v>71</v>
      </c>
      <c r="B2726" s="31" t="s">
        <v>15</v>
      </c>
      <c r="C2726" s="31" t="s">
        <v>73</v>
      </c>
      <c r="D2726" s="31" t="s">
        <v>305</v>
      </c>
      <c r="E2726" s="33">
        <v>6641.89</v>
      </c>
      <c r="F2726" s="34">
        <v>188</v>
      </c>
    </row>
    <row r="2727" spans="1:6" x14ac:dyDescent="0.3">
      <c r="A2727" s="35" t="s">
        <v>22</v>
      </c>
      <c r="B2727" s="36" t="s">
        <v>10</v>
      </c>
      <c r="C2727" s="36" t="s">
        <v>50</v>
      </c>
      <c r="D2727" s="36" t="s">
        <v>336</v>
      </c>
      <c r="E2727" s="38">
        <v>7117.3</v>
      </c>
      <c r="F2727" s="39">
        <v>174</v>
      </c>
    </row>
    <row r="2728" spans="1:6" x14ac:dyDescent="0.3">
      <c r="A2728" s="30" t="s">
        <v>37</v>
      </c>
      <c r="B2728" s="31" t="s">
        <v>32</v>
      </c>
      <c r="C2728" s="31" t="s">
        <v>60</v>
      </c>
      <c r="D2728" s="32">
        <v>45293</v>
      </c>
      <c r="E2728" s="33">
        <v>11815.59</v>
      </c>
      <c r="F2728" s="34">
        <v>68</v>
      </c>
    </row>
    <row r="2729" spans="1:6" x14ac:dyDescent="0.3">
      <c r="A2729" s="35" t="s">
        <v>71</v>
      </c>
      <c r="B2729" s="36" t="s">
        <v>32</v>
      </c>
      <c r="C2729" s="36" t="s">
        <v>26</v>
      </c>
      <c r="D2729" s="36" t="s">
        <v>348</v>
      </c>
      <c r="E2729" s="38">
        <v>6962.79</v>
      </c>
      <c r="F2729" s="39">
        <v>303</v>
      </c>
    </row>
    <row r="2730" spans="1:6" x14ac:dyDescent="0.3">
      <c r="A2730" s="30" t="s">
        <v>77</v>
      </c>
      <c r="B2730" s="31" t="s">
        <v>7</v>
      </c>
      <c r="C2730" s="31" t="s">
        <v>75</v>
      </c>
      <c r="D2730" s="31" t="s">
        <v>281</v>
      </c>
      <c r="E2730" s="33">
        <v>11786.42</v>
      </c>
      <c r="F2730" s="34">
        <v>147</v>
      </c>
    </row>
    <row r="2731" spans="1:6" x14ac:dyDescent="0.3">
      <c r="A2731" s="35" t="s">
        <v>14</v>
      </c>
      <c r="B2731" s="36" t="s">
        <v>35</v>
      </c>
      <c r="C2731" s="36" t="s">
        <v>8</v>
      </c>
      <c r="D2731" s="37">
        <v>45295</v>
      </c>
      <c r="E2731" s="38">
        <v>1200.19</v>
      </c>
      <c r="F2731" s="39">
        <v>224</v>
      </c>
    </row>
    <row r="2732" spans="1:6" x14ac:dyDescent="0.3">
      <c r="A2732" s="30" t="s">
        <v>71</v>
      </c>
      <c r="B2732" s="31" t="s">
        <v>35</v>
      </c>
      <c r="C2732" s="31" t="s">
        <v>100</v>
      </c>
      <c r="D2732" s="31" t="s">
        <v>335</v>
      </c>
      <c r="E2732" s="33">
        <v>10791.08</v>
      </c>
      <c r="F2732" s="34">
        <v>166</v>
      </c>
    </row>
    <row r="2733" spans="1:6" x14ac:dyDescent="0.3">
      <c r="A2733" s="35" t="s">
        <v>83</v>
      </c>
      <c r="B2733" s="36" t="s">
        <v>10</v>
      </c>
      <c r="C2733" s="36" t="s">
        <v>13</v>
      </c>
      <c r="D2733" s="36" t="s">
        <v>302</v>
      </c>
      <c r="E2733" s="38">
        <v>26170.95</v>
      </c>
      <c r="F2733" s="39">
        <v>224</v>
      </c>
    </row>
    <row r="2734" spans="1:6" x14ac:dyDescent="0.3">
      <c r="A2734" s="30" t="s">
        <v>14</v>
      </c>
      <c r="B2734" s="31" t="s">
        <v>10</v>
      </c>
      <c r="C2734" s="31" t="s">
        <v>75</v>
      </c>
      <c r="D2734" s="32">
        <v>45634</v>
      </c>
      <c r="E2734" s="33">
        <v>2987.81</v>
      </c>
      <c r="F2734" s="34">
        <v>136</v>
      </c>
    </row>
    <row r="2735" spans="1:6" x14ac:dyDescent="0.3">
      <c r="A2735" s="35" t="s">
        <v>12</v>
      </c>
      <c r="B2735" s="36" t="s">
        <v>35</v>
      </c>
      <c r="C2735" s="36" t="s">
        <v>65</v>
      </c>
      <c r="D2735" s="37">
        <v>45293</v>
      </c>
      <c r="E2735" s="38">
        <v>11705.99</v>
      </c>
      <c r="F2735" s="39">
        <v>47</v>
      </c>
    </row>
    <row r="2736" spans="1:6" x14ac:dyDescent="0.3">
      <c r="A2736" s="30" t="s">
        <v>29</v>
      </c>
      <c r="B2736" s="31" t="s">
        <v>10</v>
      </c>
      <c r="C2736" s="31" t="s">
        <v>23</v>
      </c>
      <c r="D2736" s="32">
        <v>45325</v>
      </c>
      <c r="E2736" s="33">
        <v>5256.03</v>
      </c>
      <c r="F2736" s="34">
        <v>201</v>
      </c>
    </row>
    <row r="2737" spans="1:6" x14ac:dyDescent="0.3">
      <c r="A2737" s="35" t="s">
        <v>70</v>
      </c>
      <c r="B2737" s="36" t="s">
        <v>15</v>
      </c>
      <c r="C2737" s="36" t="s">
        <v>20</v>
      </c>
      <c r="D2737" s="36" t="s">
        <v>283</v>
      </c>
      <c r="E2737" s="38">
        <v>3794.1</v>
      </c>
      <c r="F2737" s="39">
        <v>36</v>
      </c>
    </row>
    <row r="2738" spans="1:6" x14ac:dyDescent="0.3">
      <c r="A2738" s="30" t="s">
        <v>79</v>
      </c>
      <c r="B2738" s="31" t="s">
        <v>15</v>
      </c>
      <c r="C2738" s="31" t="s">
        <v>50</v>
      </c>
      <c r="D2738" s="31" t="s">
        <v>358</v>
      </c>
      <c r="E2738" s="33">
        <v>9655.2999999999993</v>
      </c>
      <c r="F2738" s="34">
        <v>97</v>
      </c>
    </row>
    <row r="2739" spans="1:6" x14ac:dyDescent="0.3">
      <c r="A2739" s="35" t="s">
        <v>28</v>
      </c>
      <c r="B2739" s="36" t="s">
        <v>32</v>
      </c>
      <c r="C2739" s="36" t="s">
        <v>46</v>
      </c>
      <c r="D2739" s="37">
        <v>45480</v>
      </c>
      <c r="E2739" s="38">
        <v>16001.54</v>
      </c>
      <c r="F2739" s="39">
        <v>133</v>
      </c>
    </row>
    <row r="2740" spans="1:6" x14ac:dyDescent="0.3">
      <c r="A2740" s="30" t="s">
        <v>34</v>
      </c>
      <c r="B2740" s="31" t="s">
        <v>25</v>
      </c>
      <c r="C2740" s="31" t="s">
        <v>8</v>
      </c>
      <c r="D2740" s="31" t="s">
        <v>303</v>
      </c>
      <c r="E2740" s="33">
        <v>1386.1</v>
      </c>
      <c r="F2740" s="34">
        <v>104</v>
      </c>
    </row>
    <row r="2741" spans="1:6" x14ac:dyDescent="0.3">
      <c r="A2741" s="35" t="s">
        <v>41</v>
      </c>
      <c r="B2741" s="36" t="s">
        <v>7</v>
      </c>
      <c r="C2741" s="36" t="s">
        <v>20</v>
      </c>
      <c r="D2741" s="37">
        <v>45573</v>
      </c>
      <c r="E2741" s="38">
        <v>3821.76</v>
      </c>
      <c r="F2741" s="39">
        <v>122</v>
      </c>
    </row>
    <row r="2742" spans="1:6" x14ac:dyDescent="0.3">
      <c r="A2742" s="30" t="s">
        <v>41</v>
      </c>
      <c r="B2742" s="31" t="s">
        <v>32</v>
      </c>
      <c r="C2742" s="31" t="s">
        <v>13</v>
      </c>
      <c r="D2742" s="31" t="s">
        <v>304</v>
      </c>
      <c r="E2742" s="33">
        <v>15722.43</v>
      </c>
      <c r="F2742" s="34">
        <v>351</v>
      </c>
    </row>
    <row r="2743" spans="1:6" x14ac:dyDescent="0.3">
      <c r="A2743" s="35" t="s">
        <v>28</v>
      </c>
      <c r="B2743" s="36" t="s">
        <v>25</v>
      </c>
      <c r="C2743" s="36" t="s">
        <v>59</v>
      </c>
      <c r="D2743" s="36" t="s">
        <v>280</v>
      </c>
      <c r="E2743" s="38">
        <v>6287.25</v>
      </c>
      <c r="F2743" s="39">
        <v>340</v>
      </c>
    </row>
    <row r="2744" spans="1:6" x14ac:dyDescent="0.3">
      <c r="A2744" s="30" t="s">
        <v>40</v>
      </c>
      <c r="B2744" s="31" t="s">
        <v>32</v>
      </c>
      <c r="C2744" s="31" t="s">
        <v>87</v>
      </c>
      <c r="D2744" s="31" t="s">
        <v>272</v>
      </c>
      <c r="E2744" s="33">
        <v>9831.9699999999993</v>
      </c>
      <c r="F2744" s="34">
        <v>9</v>
      </c>
    </row>
    <row r="2745" spans="1:6" x14ac:dyDescent="0.3">
      <c r="A2745" s="35" t="s">
        <v>70</v>
      </c>
      <c r="B2745" s="36" t="s">
        <v>32</v>
      </c>
      <c r="C2745" s="36" t="s">
        <v>50</v>
      </c>
      <c r="D2745" s="41" t="s">
        <v>116</v>
      </c>
      <c r="E2745" s="38">
        <v>77</v>
      </c>
      <c r="F2745" s="39">
        <v>69</v>
      </c>
    </row>
    <row r="2746" spans="1:6" x14ac:dyDescent="0.3">
      <c r="A2746" s="30" t="s">
        <v>34</v>
      </c>
      <c r="B2746" s="31" t="s">
        <v>35</v>
      </c>
      <c r="C2746" s="31" t="s">
        <v>59</v>
      </c>
      <c r="D2746" s="32">
        <v>45354</v>
      </c>
      <c r="E2746" s="33">
        <v>3799.5</v>
      </c>
      <c r="F2746" s="34">
        <v>71</v>
      </c>
    </row>
    <row r="2747" spans="1:6" x14ac:dyDescent="0.3">
      <c r="A2747" s="35" t="s">
        <v>55</v>
      </c>
      <c r="B2747" s="36" t="s">
        <v>15</v>
      </c>
      <c r="C2747" s="36" t="s">
        <v>65</v>
      </c>
      <c r="D2747" s="36" t="s">
        <v>331</v>
      </c>
      <c r="E2747" s="38">
        <v>4674.2</v>
      </c>
      <c r="F2747" s="39">
        <v>422</v>
      </c>
    </row>
    <row r="2748" spans="1:6" x14ac:dyDescent="0.3">
      <c r="A2748" s="30" t="s">
        <v>19</v>
      </c>
      <c r="B2748" s="31" t="s">
        <v>32</v>
      </c>
      <c r="C2748" s="31" t="s">
        <v>18</v>
      </c>
      <c r="D2748" s="32">
        <v>45385</v>
      </c>
      <c r="E2748" s="33">
        <v>4011.83</v>
      </c>
      <c r="F2748" s="34">
        <v>169</v>
      </c>
    </row>
    <row r="2749" spans="1:6" x14ac:dyDescent="0.3">
      <c r="A2749" s="35" t="s">
        <v>58</v>
      </c>
      <c r="B2749" s="36" t="s">
        <v>10</v>
      </c>
      <c r="C2749" s="36" t="s">
        <v>18</v>
      </c>
      <c r="D2749" s="37">
        <v>45480</v>
      </c>
      <c r="E2749" s="38">
        <v>3429.85</v>
      </c>
      <c r="F2749" s="39">
        <v>9</v>
      </c>
    </row>
    <row r="2750" spans="1:6" x14ac:dyDescent="0.3">
      <c r="A2750" s="30" t="s">
        <v>71</v>
      </c>
      <c r="B2750" s="31" t="s">
        <v>25</v>
      </c>
      <c r="C2750" s="31" t="s">
        <v>90</v>
      </c>
      <c r="D2750" s="31" t="s">
        <v>359</v>
      </c>
      <c r="E2750" s="33">
        <v>4920.68</v>
      </c>
      <c r="F2750" s="34">
        <v>380</v>
      </c>
    </row>
    <row r="2751" spans="1:6" x14ac:dyDescent="0.3">
      <c r="A2751" s="35" t="s">
        <v>14</v>
      </c>
      <c r="B2751" s="36" t="s">
        <v>35</v>
      </c>
      <c r="C2751" s="36" t="s">
        <v>90</v>
      </c>
      <c r="D2751" s="37">
        <v>45330</v>
      </c>
      <c r="E2751" s="38">
        <v>10049.719999999999</v>
      </c>
      <c r="F2751" s="39">
        <v>118</v>
      </c>
    </row>
    <row r="2752" spans="1:6" x14ac:dyDescent="0.3">
      <c r="A2752" s="30" t="s">
        <v>19</v>
      </c>
      <c r="B2752" s="31" t="s">
        <v>32</v>
      </c>
      <c r="C2752" s="31" t="s">
        <v>87</v>
      </c>
      <c r="D2752" s="32">
        <v>45634</v>
      </c>
      <c r="E2752" s="33">
        <v>8485.1</v>
      </c>
      <c r="F2752" s="34">
        <v>120</v>
      </c>
    </row>
    <row r="2753" spans="1:6" x14ac:dyDescent="0.3">
      <c r="A2753" s="35" t="s">
        <v>77</v>
      </c>
      <c r="B2753" s="36" t="s">
        <v>25</v>
      </c>
      <c r="C2753" s="36" t="s">
        <v>13</v>
      </c>
      <c r="D2753" s="36" t="s">
        <v>313</v>
      </c>
      <c r="E2753" s="38">
        <v>6030.31</v>
      </c>
      <c r="F2753" s="39">
        <v>351</v>
      </c>
    </row>
    <row r="2754" spans="1:6" x14ac:dyDescent="0.3">
      <c r="A2754" s="30" t="s">
        <v>70</v>
      </c>
      <c r="B2754" s="31" t="s">
        <v>15</v>
      </c>
      <c r="C2754" s="31" t="s">
        <v>33</v>
      </c>
      <c r="D2754" s="31" t="s">
        <v>322</v>
      </c>
      <c r="E2754" s="33">
        <v>13331.77</v>
      </c>
      <c r="F2754" s="34">
        <v>443</v>
      </c>
    </row>
    <row r="2755" spans="1:6" x14ac:dyDescent="0.3">
      <c r="A2755" s="35" t="s">
        <v>40</v>
      </c>
      <c r="B2755" s="36" t="s">
        <v>15</v>
      </c>
      <c r="C2755" s="36" t="s">
        <v>60</v>
      </c>
      <c r="D2755" s="37">
        <v>45416</v>
      </c>
      <c r="E2755" s="38">
        <v>15245.95</v>
      </c>
      <c r="F2755" s="39">
        <v>233</v>
      </c>
    </row>
    <row r="2756" spans="1:6" x14ac:dyDescent="0.3">
      <c r="A2756" s="30" t="s">
        <v>55</v>
      </c>
      <c r="B2756" s="31" t="s">
        <v>35</v>
      </c>
      <c r="C2756" s="31" t="s">
        <v>60</v>
      </c>
      <c r="D2756" s="31" t="s">
        <v>321</v>
      </c>
      <c r="E2756" s="33">
        <v>11618.55</v>
      </c>
      <c r="F2756" s="34">
        <v>133</v>
      </c>
    </row>
    <row r="2757" spans="1:6" x14ac:dyDescent="0.3">
      <c r="A2757" s="35" t="s">
        <v>6</v>
      </c>
      <c r="B2757" s="36" t="s">
        <v>7</v>
      </c>
      <c r="C2757" s="36" t="s">
        <v>87</v>
      </c>
      <c r="D2757" s="36" t="s">
        <v>295</v>
      </c>
      <c r="E2757" s="38">
        <v>2629.59</v>
      </c>
      <c r="F2757" s="39">
        <v>98</v>
      </c>
    </row>
    <row r="2758" spans="1:6" x14ac:dyDescent="0.3">
      <c r="A2758" s="30" t="s">
        <v>70</v>
      </c>
      <c r="B2758" s="31" t="s">
        <v>15</v>
      </c>
      <c r="C2758" s="31" t="s">
        <v>59</v>
      </c>
      <c r="D2758" s="31" t="s">
        <v>285</v>
      </c>
      <c r="E2758" s="33">
        <v>10089.49</v>
      </c>
      <c r="F2758" s="34">
        <v>168</v>
      </c>
    </row>
    <row r="2759" spans="1:6" x14ac:dyDescent="0.3">
      <c r="A2759" s="35" t="s">
        <v>48</v>
      </c>
      <c r="B2759" s="36" t="s">
        <v>10</v>
      </c>
      <c r="C2759" s="36" t="s">
        <v>11</v>
      </c>
      <c r="D2759" s="36" t="s">
        <v>321</v>
      </c>
      <c r="E2759" s="38">
        <v>308.24</v>
      </c>
      <c r="F2759" s="39">
        <v>402</v>
      </c>
    </row>
    <row r="2760" spans="1:6" x14ac:dyDescent="0.3">
      <c r="A2760" s="30" t="s">
        <v>55</v>
      </c>
      <c r="B2760" s="31" t="s">
        <v>32</v>
      </c>
      <c r="C2760" s="31" t="s">
        <v>36</v>
      </c>
      <c r="D2760" s="31" t="s">
        <v>289</v>
      </c>
      <c r="E2760" s="33">
        <v>7978.76</v>
      </c>
      <c r="F2760" s="34">
        <v>10</v>
      </c>
    </row>
    <row r="2761" spans="1:6" x14ac:dyDescent="0.3">
      <c r="A2761" s="35" t="s">
        <v>70</v>
      </c>
      <c r="B2761" s="36" t="s">
        <v>32</v>
      </c>
      <c r="C2761" s="36" t="s">
        <v>50</v>
      </c>
      <c r="D2761" s="41" t="s">
        <v>219</v>
      </c>
      <c r="E2761" s="38">
        <v>87.52</v>
      </c>
      <c r="F2761" s="39">
        <v>69</v>
      </c>
    </row>
    <row r="2762" spans="1:6" x14ac:dyDescent="0.3">
      <c r="A2762" s="30" t="s">
        <v>41</v>
      </c>
      <c r="B2762" s="31" t="s">
        <v>7</v>
      </c>
      <c r="C2762" s="31" t="s">
        <v>75</v>
      </c>
      <c r="D2762" s="32">
        <v>45385</v>
      </c>
      <c r="E2762" s="33">
        <v>3303.13</v>
      </c>
      <c r="F2762" s="34">
        <v>73</v>
      </c>
    </row>
    <row r="2763" spans="1:6" x14ac:dyDescent="0.3">
      <c r="A2763" s="35" t="s">
        <v>79</v>
      </c>
      <c r="B2763" s="36" t="s">
        <v>35</v>
      </c>
      <c r="C2763" s="36" t="s">
        <v>60</v>
      </c>
      <c r="D2763" s="36" t="s">
        <v>340</v>
      </c>
      <c r="E2763" s="38">
        <v>13959.74</v>
      </c>
      <c r="F2763" s="39">
        <v>113</v>
      </c>
    </row>
    <row r="2764" spans="1:6" x14ac:dyDescent="0.3">
      <c r="A2764" s="30" t="s">
        <v>55</v>
      </c>
      <c r="B2764" s="31" t="s">
        <v>15</v>
      </c>
      <c r="C2764" s="31" t="s">
        <v>46</v>
      </c>
      <c r="D2764" s="32">
        <v>45541</v>
      </c>
      <c r="E2764" s="33">
        <v>4251.42</v>
      </c>
      <c r="F2764" s="34">
        <v>91</v>
      </c>
    </row>
    <row r="2765" spans="1:6" x14ac:dyDescent="0.3">
      <c r="A2765" s="35" t="s">
        <v>14</v>
      </c>
      <c r="B2765" s="36" t="s">
        <v>35</v>
      </c>
      <c r="C2765" s="36" t="s">
        <v>57</v>
      </c>
      <c r="D2765" s="36" t="s">
        <v>319</v>
      </c>
      <c r="E2765" s="38">
        <v>9885.5300000000007</v>
      </c>
      <c r="F2765" s="39">
        <v>217</v>
      </c>
    </row>
    <row r="2766" spans="1:6" x14ac:dyDescent="0.3">
      <c r="A2766" s="30" t="s">
        <v>14</v>
      </c>
      <c r="B2766" s="31" t="s">
        <v>10</v>
      </c>
      <c r="C2766" s="31" t="s">
        <v>18</v>
      </c>
      <c r="D2766" s="32">
        <v>45359</v>
      </c>
      <c r="E2766" s="33">
        <v>12864.47</v>
      </c>
      <c r="F2766" s="34">
        <v>93</v>
      </c>
    </row>
    <row r="2767" spans="1:6" x14ac:dyDescent="0.3">
      <c r="A2767" s="35" t="s">
        <v>29</v>
      </c>
      <c r="B2767" s="36" t="s">
        <v>15</v>
      </c>
      <c r="C2767" s="36" t="s">
        <v>60</v>
      </c>
      <c r="D2767" s="37">
        <v>45359</v>
      </c>
      <c r="E2767" s="38">
        <v>5245.6</v>
      </c>
      <c r="F2767" s="39">
        <v>144</v>
      </c>
    </row>
    <row r="2768" spans="1:6" x14ac:dyDescent="0.3">
      <c r="A2768" s="30" t="s">
        <v>6</v>
      </c>
      <c r="B2768" s="31" t="s">
        <v>7</v>
      </c>
      <c r="C2768" s="31" t="s">
        <v>46</v>
      </c>
      <c r="D2768" s="32">
        <v>45356</v>
      </c>
      <c r="E2768" s="33">
        <v>14345.5</v>
      </c>
      <c r="F2768" s="34">
        <v>219</v>
      </c>
    </row>
    <row r="2769" spans="1:6" x14ac:dyDescent="0.3">
      <c r="A2769" s="35" t="s">
        <v>53</v>
      </c>
      <c r="B2769" s="36" t="s">
        <v>35</v>
      </c>
      <c r="C2769" s="36" t="s">
        <v>23</v>
      </c>
      <c r="D2769" s="36" t="s">
        <v>311</v>
      </c>
      <c r="E2769" s="38">
        <v>11462.19</v>
      </c>
      <c r="F2769" s="39">
        <v>288</v>
      </c>
    </row>
    <row r="2770" spans="1:6" x14ac:dyDescent="0.3">
      <c r="A2770" s="30" t="s">
        <v>45</v>
      </c>
      <c r="B2770" s="31" t="s">
        <v>32</v>
      </c>
      <c r="C2770" s="31" t="s">
        <v>26</v>
      </c>
      <c r="D2770" s="32">
        <v>45598</v>
      </c>
      <c r="E2770" s="33">
        <v>11667.94</v>
      </c>
      <c r="F2770" s="34">
        <v>306</v>
      </c>
    </row>
    <row r="2771" spans="1:6" x14ac:dyDescent="0.3">
      <c r="A2771" s="35" t="s">
        <v>9</v>
      </c>
      <c r="B2771" s="36" t="s">
        <v>10</v>
      </c>
      <c r="C2771" s="36" t="s">
        <v>65</v>
      </c>
      <c r="D2771" s="36" t="s">
        <v>333</v>
      </c>
      <c r="E2771" s="38">
        <v>7455.17</v>
      </c>
      <c r="F2771" s="39">
        <v>383</v>
      </c>
    </row>
    <row r="2772" spans="1:6" x14ac:dyDescent="0.3">
      <c r="A2772" s="30" t="s">
        <v>70</v>
      </c>
      <c r="B2772" s="31" t="s">
        <v>32</v>
      </c>
      <c r="C2772" s="31" t="s">
        <v>26</v>
      </c>
      <c r="D2772" s="31" t="s">
        <v>316</v>
      </c>
      <c r="E2772" s="33">
        <v>7203.64</v>
      </c>
      <c r="F2772" s="34">
        <v>234</v>
      </c>
    </row>
    <row r="2773" spans="1:6" x14ac:dyDescent="0.3">
      <c r="A2773" s="35" t="s">
        <v>77</v>
      </c>
      <c r="B2773" s="36" t="s">
        <v>35</v>
      </c>
      <c r="C2773" s="36" t="s">
        <v>11</v>
      </c>
      <c r="D2773" s="36" t="s">
        <v>276</v>
      </c>
      <c r="E2773" s="38">
        <v>8081.58</v>
      </c>
      <c r="F2773" s="39">
        <v>105</v>
      </c>
    </row>
    <row r="2774" spans="1:6" x14ac:dyDescent="0.3">
      <c r="A2774" s="30" t="s">
        <v>58</v>
      </c>
      <c r="B2774" s="31" t="s">
        <v>35</v>
      </c>
      <c r="C2774" s="31" t="s">
        <v>18</v>
      </c>
      <c r="D2774" s="31" t="s">
        <v>329</v>
      </c>
      <c r="E2774" s="33">
        <v>2055.4</v>
      </c>
      <c r="F2774" s="34">
        <v>485</v>
      </c>
    </row>
    <row r="2775" spans="1:6" x14ac:dyDescent="0.3">
      <c r="A2775" s="35" t="s">
        <v>34</v>
      </c>
      <c r="B2775" s="36" t="s">
        <v>15</v>
      </c>
      <c r="C2775" s="36" t="s">
        <v>50</v>
      </c>
      <c r="D2775" s="36" t="s">
        <v>282</v>
      </c>
      <c r="E2775" s="38">
        <v>6476.09</v>
      </c>
      <c r="F2775" s="39">
        <v>304</v>
      </c>
    </row>
    <row r="2776" spans="1:6" x14ac:dyDescent="0.3">
      <c r="A2776" s="30" t="s">
        <v>83</v>
      </c>
      <c r="B2776" s="31" t="s">
        <v>35</v>
      </c>
      <c r="C2776" s="31" t="s">
        <v>75</v>
      </c>
      <c r="D2776" s="31" t="s">
        <v>285</v>
      </c>
      <c r="E2776" s="33">
        <v>17490.080000000002</v>
      </c>
      <c r="F2776" s="34">
        <v>289</v>
      </c>
    </row>
    <row r="2777" spans="1:6" x14ac:dyDescent="0.3">
      <c r="A2777" s="35" t="s">
        <v>12</v>
      </c>
      <c r="B2777" s="36" t="s">
        <v>35</v>
      </c>
      <c r="C2777" s="36" t="s">
        <v>50</v>
      </c>
      <c r="D2777" s="37">
        <v>45389</v>
      </c>
      <c r="E2777" s="38">
        <v>13644</v>
      </c>
      <c r="F2777" s="39">
        <v>281</v>
      </c>
    </row>
    <row r="2778" spans="1:6" x14ac:dyDescent="0.3">
      <c r="A2778" s="30" t="s">
        <v>45</v>
      </c>
      <c r="B2778" s="31" t="s">
        <v>25</v>
      </c>
      <c r="C2778" s="31" t="s">
        <v>65</v>
      </c>
      <c r="D2778" s="31" t="s">
        <v>308</v>
      </c>
      <c r="E2778" s="33">
        <v>2930.46</v>
      </c>
      <c r="F2778" s="34">
        <v>70</v>
      </c>
    </row>
    <row r="2779" spans="1:6" x14ac:dyDescent="0.3">
      <c r="A2779" s="35" t="s">
        <v>48</v>
      </c>
      <c r="B2779" s="36" t="s">
        <v>10</v>
      </c>
      <c r="C2779" s="36" t="s">
        <v>18</v>
      </c>
      <c r="D2779" s="36" t="s">
        <v>291</v>
      </c>
      <c r="E2779" s="38">
        <v>22717.09</v>
      </c>
      <c r="F2779" s="39">
        <v>143</v>
      </c>
    </row>
    <row r="2780" spans="1:6" x14ac:dyDescent="0.3">
      <c r="A2780" s="30" t="s">
        <v>83</v>
      </c>
      <c r="B2780" s="31" t="s">
        <v>25</v>
      </c>
      <c r="C2780" s="31" t="s">
        <v>8</v>
      </c>
      <c r="D2780" s="31" t="s">
        <v>321</v>
      </c>
      <c r="E2780" s="33">
        <v>9471.7199999999993</v>
      </c>
      <c r="F2780" s="34">
        <v>248</v>
      </c>
    </row>
    <row r="2781" spans="1:6" x14ac:dyDescent="0.3">
      <c r="A2781" s="35" t="s">
        <v>9</v>
      </c>
      <c r="B2781" s="36" t="s">
        <v>25</v>
      </c>
      <c r="C2781" s="36" t="s">
        <v>57</v>
      </c>
      <c r="D2781" s="36" t="s">
        <v>358</v>
      </c>
      <c r="E2781" s="38">
        <v>3400.47</v>
      </c>
      <c r="F2781" s="39">
        <v>92</v>
      </c>
    </row>
    <row r="2782" spans="1:6" x14ac:dyDescent="0.3">
      <c r="A2782" s="30" t="s">
        <v>67</v>
      </c>
      <c r="B2782" s="31" t="s">
        <v>25</v>
      </c>
      <c r="C2782" s="31" t="s">
        <v>8</v>
      </c>
      <c r="D2782" s="31" t="s">
        <v>355</v>
      </c>
      <c r="E2782" s="33">
        <v>10696.21</v>
      </c>
      <c r="F2782" s="34">
        <v>201</v>
      </c>
    </row>
    <row r="2783" spans="1:6" x14ac:dyDescent="0.3">
      <c r="A2783" s="35" t="s">
        <v>67</v>
      </c>
      <c r="B2783" s="36" t="s">
        <v>7</v>
      </c>
      <c r="C2783" s="36" t="s">
        <v>46</v>
      </c>
      <c r="D2783" s="37">
        <v>45598</v>
      </c>
      <c r="E2783" s="38">
        <v>17101.669999999998</v>
      </c>
      <c r="F2783" s="39">
        <v>307</v>
      </c>
    </row>
    <row r="2784" spans="1:6" x14ac:dyDescent="0.3">
      <c r="A2784" s="30" t="s">
        <v>71</v>
      </c>
      <c r="B2784" s="31" t="s">
        <v>32</v>
      </c>
      <c r="C2784" s="31" t="s">
        <v>60</v>
      </c>
      <c r="D2784" s="31" t="s">
        <v>354</v>
      </c>
      <c r="E2784" s="33">
        <v>18936.88</v>
      </c>
      <c r="F2784" s="34">
        <v>180</v>
      </c>
    </row>
    <row r="2785" spans="1:6" x14ac:dyDescent="0.3">
      <c r="A2785" s="35" t="s">
        <v>22</v>
      </c>
      <c r="B2785" s="36" t="s">
        <v>25</v>
      </c>
      <c r="C2785" s="36" t="s">
        <v>65</v>
      </c>
      <c r="D2785" s="37">
        <v>45413</v>
      </c>
      <c r="E2785" s="38">
        <v>6015.37</v>
      </c>
      <c r="F2785" s="39">
        <v>136</v>
      </c>
    </row>
    <row r="2786" spans="1:6" x14ac:dyDescent="0.3">
      <c r="A2786" s="30" t="s">
        <v>28</v>
      </c>
      <c r="B2786" s="31" t="s">
        <v>10</v>
      </c>
      <c r="C2786" s="31" t="s">
        <v>73</v>
      </c>
      <c r="D2786" s="31" t="s">
        <v>277</v>
      </c>
      <c r="E2786" s="33">
        <v>7623.58</v>
      </c>
      <c r="F2786" s="34">
        <v>162</v>
      </c>
    </row>
    <row r="2787" spans="1:6" x14ac:dyDescent="0.3">
      <c r="A2787" s="35" t="s">
        <v>6</v>
      </c>
      <c r="B2787" s="36" t="s">
        <v>32</v>
      </c>
      <c r="C2787" s="36" t="s">
        <v>20</v>
      </c>
      <c r="D2787" s="37">
        <v>45383</v>
      </c>
      <c r="E2787" s="38">
        <v>2996.83</v>
      </c>
      <c r="F2787" s="39">
        <v>227</v>
      </c>
    </row>
    <row r="2788" spans="1:6" x14ac:dyDescent="0.3">
      <c r="A2788" s="30" t="s">
        <v>41</v>
      </c>
      <c r="B2788" s="31" t="s">
        <v>15</v>
      </c>
      <c r="C2788" s="31" t="s">
        <v>57</v>
      </c>
      <c r="D2788" s="31" t="s">
        <v>340</v>
      </c>
      <c r="E2788" s="33">
        <v>1718.97</v>
      </c>
      <c r="F2788" s="34">
        <v>260</v>
      </c>
    </row>
    <row r="2789" spans="1:6" x14ac:dyDescent="0.3">
      <c r="A2789" s="35" t="s">
        <v>12</v>
      </c>
      <c r="B2789" s="36" t="s">
        <v>35</v>
      </c>
      <c r="C2789" s="36" t="s">
        <v>46</v>
      </c>
      <c r="D2789" s="37">
        <v>45567</v>
      </c>
      <c r="E2789" s="38">
        <v>3523.33</v>
      </c>
      <c r="F2789" s="39">
        <v>114</v>
      </c>
    </row>
    <row r="2790" spans="1:6" x14ac:dyDescent="0.3">
      <c r="A2790" s="30" t="s">
        <v>79</v>
      </c>
      <c r="B2790" s="31" t="s">
        <v>10</v>
      </c>
      <c r="C2790" s="31" t="s">
        <v>50</v>
      </c>
      <c r="D2790" s="32">
        <v>45634</v>
      </c>
      <c r="E2790" s="33">
        <v>1092.3599999999999</v>
      </c>
      <c r="F2790" s="34">
        <v>209</v>
      </c>
    </row>
    <row r="2791" spans="1:6" x14ac:dyDescent="0.3">
      <c r="A2791" s="35" t="s">
        <v>22</v>
      </c>
      <c r="B2791" s="36" t="s">
        <v>32</v>
      </c>
      <c r="C2791" s="36" t="s">
        <v>42</v>
      </c>
      <c r="D2791" s="37">
        <v>45573</v>
      </c>
      <c r="E2791" s="38">
        <v>2495.71</v>
      </c>
      <c r="F2791" s="39">
        <v>310</v>
      </c>
    </row>
    <row r="2792" spans="1:6" x14ac:dyDescent="0.3">
      <c r="A2792" s="30" t="s">
        <v>70</v>
      </c>
      <c r="B2792" s="31" t="s">
        <v>15</v>
      </c>
      <c r="C2792" s="31" t="s">
        <v>73</v>
      </c>
      <c r="D2792" s="32">
        <v>45479</v>
      </c>
      <c r="E2792" s="33">
        <v>813.41</v>
      </c>
      <c r="F2792" s="34">
        <v>58</v>
      </c>
    </row>
    <row r="2793" spans="1:6" x14ac:dyDescent="0.3">
      <c r="A2793" s="35" t="s">
        <v>6</v>
      </c>
      <c r="B2793" s="36" t="s">
        <v>10</v>
      </c>
      <c r="C2793" s="36" t="s">
        <v>87</v>
      </c>
      <c r="D2793" s="37">
        <v>45449</v>
      </c>
      <c r="E2793" s="38">
        <v>2489.06</v>
      </c>
      <c r="F2793" s="39">
        <v>81</v>
      </c>
    </row>
    <row r="2794" spans="1:6" x14ac:dyDescent="0.3">
      <c r="A2794" s="30" t="s">
        <v>37</v>
      </c>
      <c r="B2794" s="31" t="s">
        <v>25</v>
      </c>
      <c r="C2794" s="31" t="s">
        <v>87</v>
      </c>
      <c r="D2794" s="32">
        <v>45416</v>
      </c>
      <c r="E2794" s="33">
        <v>5701.35</v>
      </c>
      <c r="F2794" s="34">
        <v>201</v>
      </c>
    </row>
    <row r="2795" spans="1:6" x14ac:dyDescent="0.3">
      <c r="A2795" s="35" t="s">
        <v>64</v>
      </c>
      <c r="B2795" s="36" t="s">
        <v>32</v>
      </c>
      <c r="C2795" s="36" t="s">
        <v>26</v>
      </c>
      <c r="D2795" s="36" t="s">
        <v>360</v>
      </c>
      <c r="E2795" s="38">
        <v>5084.32</v>
      </c>
      <c r="F2795" s="39">
        <v>126</v>
      </c>
    </row>
    <row r="2796" spans="1:6" x14ac:dyDescent="0.3">
      <c r="A2796" s="30" t="s">
        <v>67</v>
      </c>
      <c r="B2796" s="31" t="s">
        <v>10</v>
      </c>
      <c r="C2796" s="31" t="s">
        <v>26</v>
      </c>
      <c r="D2796" s="31" t="s">
        <v>303</v>
      </c>
      <c r="E2796" s="33">
        <v>15789.48</v>
      </c>
      <c r="F2796" s="34">
        <v>16</v>
      </c>
    </row>
    <row r="2797" spans="1:6" x14ac:dyDescent="0.3">
      <c r="A2797" s="35" t="s">
        <v>77</v>
      </c>
      <c r="B2797" s="36" t="s">
        <v>32</v>
      </c>
      <c r="C2797" s="36" t="s">
        <v>87</v>
      </c>
      <c r="D2797" s="36" t="s">
        <v>289</v>
      </c>
      <c r="E2797" s="38">
        <v>6541.75</v>
      </c>
      <c r="F2797" s="39">
        <v>141</v>
      </c>
    </row>
    <row r="2798" spans="1:6" x14ac:dyDescent="0.3">
      <c r="A2798" s="30" t="s">
        <v>6</v>
      </c>
      <c r="B2798" s="31" t="s">
        <v>15</v>
      </c>
      <c r="C2798" s="31" t="s">
        <v>20</v>
      </c>
      <c r="D2798" s="31" t="s">
        <v>310</v>
      </c>
      <c r="E2798" s="33">
        <v>11409.11</v>
      </c>
      <c r="F2798" s="34">
        <v>217</v>
      </c>
    </row>
    <row r="2799" spans="1:6" x14ac:dyDescent="0.3">
      <c r="A2799" s="35" t="s">
        <v>14</v>
      </c>
      <c r="B2799" s="36" t="s">
        <v>15</v>
      </c>
      <c r="C2799" s="36" t="s">
        <v>8</v>
      </c>
      <c r="D2799" s="36" t="s">
        <v>331</v>
      </c>
      <c r="E2799" s="38">
        <v>19258.41</v>
      </c>
      <c r="F2799" s="39">
        <v>99</v>
      </c>
    </row>
    <row r="2800" spans="1:6" x14ac:dyDescent="0.3">
      <c r="A2800" s="30" t="s">
        <v>19</v>
      </c>
      <c r="B2800" s="31" t="s">
        <v>25</v>
      </c>
      <c r="C2800" s="31" t="s">
        <v>46</v>
      </c>
      <c r="D2800" s="32">
        <v>45627</v>
      </c>
      <c r="E2800" s="33">
        <v>5074.8599999999997</v>
      </c>
      <c r="F2800" s="34">
        <v>201</v>
      </c>
    </row>
    <row r="2801" spans="1:6" x14ac:dyDescent="0.3">
      <c r="A2801" s="35" t="s">
        <v>28</v>
      </c>
      <c r="B2801" s="36" t="s">
        <v>7</v>
      </c>
      <c r="C2801" s="36" t="s">
        <v>65</v>
      </c>
      <c r="D2801" s="36" t="s">
        <v>306</v>
      </c>
      <c r="E2801" s="38">
        <v>115.9</v>
      </c>
      <c r="F2801" s="39">
        <v>120</v>
      </c>
    </row>
    <row r="2802" spans="1:6" x14ac:dyDescent="0.3">
      <c r="A2802" s="30" t="s">
        <v>70</v>
      </c>
      <c r="B2802" s="31" t="s">
        <v>10</v>
      </c>
      <c r="C2802" s="31" t="s">
        <v>18</v>
      </c>
      <c r="D2802" s="32">
        <v>45293</v>
      </c>
      <c r="E2802" s="33">
        <v>2797.19</v>
      </c>
      <c r="F2802" s="34">
        <v>9</v>
      </c>
    </row>
    <row r="2803" spans="1:6" x14ac:dyDescent="0.3">
      <c r="A2803" s="35" t="s">
        <v>29</v>
      </c>
      <c r="B2803" s="36" t="s">
        <v>7</v>
      </c>
      <c r="C2803" s="36" t="s">
        <v>36</v>
      </c>
      <c r="D2803" s="36" t="s">
        <v>265</v>
      </c>
      <c r="E2803" s="38">
        <v>1608.04</v>
      </c>
      <c r="F2803" s="39">
        <v>75</v>
      </c>
    </row>
    <row r="2804" spans="1:6" x14ac:dyDescent="0.3">
      <c r="A2804" s="30" t="s">
        <v>12</v>
      </c>
      <c r="B2804" s="31" t="s">
        <v>32</v>
      </c>
      <c r="C2804" s="31" t="s">
        <v>18</v>
      </c>
      <c r="D2804" s="31" t="s">
        <v>284</v>
      </c>
      <c r="E2804" s="33">
        <v>2960.99</v>
      </c>
      <c r="F2804" s="34">
        <v>133</v>
      </c>
    </row>
    <row r="2805" spans="1:6" x14ac:dyDescent="0.3">
      <c r="A2805" s="35" t="s">
        <v>48</v>
      </c>
      <c r="B2805" s="36" t="s">
        <v>25</v>
      </c>
      <c r="C2805" s="36" t="s">
        <v>8</v>
      </c>
      <c r="D2805" s="36" t="s">
        <v>272</v>
      </c>
      <c r="E2805" s="38">
        <v>3703.51</v>
      </c>
      <c r="F2805" s="39">
        <v>260</v>
      </c>
    </row>
    <row r="2806" spans="1:6" x14ac:dyDescent="0.3">
      <c r="A2806" s="30" t="s">
        <v>48</v>
      </c>
      <c r="B2806" s="31" t="s">
        <v>32</v>
      </c>
      <c r="C2806" s="31" t="s">
        <v>8</v>
      </c>
      <c r="D2806" s="31" t="s">
        <v>285</v>
      </c>
      <c r="E2806" s="33">
        <v>5679.57</v>
      </c>
      <c r="F2806" s="34">
        <v>285</v>
      </c>
    </row>
    <row r="2807" spans="1:6" x14ac:dyDescent="0.3">
      <c r="A2807" s="35" t="s">
        <v>77</v>
      </c>
      <c r="B2807" s="36" t="s">
        <v>25</v>
      </c>
      <c r="C2807" s="36" t="s">
        <v>57</v>
      </c>
      <c r="D2807" s="36" t="s">
        <v>321</v>
      </c>
      <c r="E2807" s="38">
        <v>6764.17</v>
      </c>
      <c r="F2807" s="39">
        <v>20</v>
      </c>
    </row>
    <row r="2808" spans="1:6" x14ac:dyDescent="0.3">
      <c r="A2808" s="30" t="s">
        <v>37</v>
      </c>
      <c r="B2808" s="31" t="s">
        <v>10</v>
      </c>
      <c r="C2808" s="31" t="s">
        <v>11</v>
      </c>
      <c r="D2808" s="31" t="s">
        <v>361</v>
      </c>
      <c r="E2808" s="33">
        <v>1108.8499999999999</v>
      </c>
      <c r="F2808" s="34">
        <v>87</v>
      </c>
    </row>
    <row r="2809" spans="1:6" x14ac:dyDescent="0.3">
      <c r="A2809" s="35" t="s">
        <v>83</v>
      </c>
      <c r="B2809" s="36" t="s">
        <v>15</v>
      </c>
      <c r="C2809" s="36" t="s">
        <v>90</v>
      </c>
      <c r="D2809" s="36" t="s">
        <v>358</v>
      </c>
      <c r="E2809" s="38">
        <v>9477.32</v>
      </c>
      <c r="F2809" s="39">
        <v>160</v>
      </c>
    </row>
    <row r="2810" spans="1:6" x14ac:dyDescent="0.3">
      <c r="A2810" s="30" t="s">
        <v>70</v>
      </c>
      <c r="B2810" s="31" t="s">
        <v>32</v>
      </c>
      <c r="C2810" s="31" t="s">
        <v>57</v>
      </c>
      <c r="D2810" s="31" t="s">
        <v>276</v>
      </c>
      <c r="E2810" s="33">
        <v>5301.93</v>
      </c>
      <c r="F2810" s="34">
        <v>155</v>
      </c>
    </row>
    <row r="2811" spans="1:6" x14ac:dyDescent="0.3">
      <c r="A2811" s="35" t="s">
        <v>70</v>
      </c>
      <c r="B2811" s="36" t="s">
        <v>35</v>
      </c>
      <c r="C2811" s="36" t="s">
        <v>13</v>
      </c>
      <c r="D2811" s="37">
        <v>45508</v>
      </c>
      <c r="E2811" s="38">
        <v>8041.25</v>
      </c>
      <c r="F2811" s="39">
        <v>43</v>
      </c>
    </row>
    <row r="2812" spans="1:6" x14ac:dyDescent="0.3">
      <c r="A2812" s="30" t="s">
        <v>12</v>
      </c>
      <c r="B2812" s="31" t="s">
        <v>35</v>
      </c>
      <c r="C2812" s="31" t="s">
        <v>38</v>
      </c>
      <c r="D2812" s="32">
        <v>45450</v>
      </c>
      <c r="E2812" s="33">
        <v>3716.17</v>
      </c>
      <c r="F2812" s="34">
        <v>89</v>
      </c>
    </row>
    <row r="2813" spans="1:6" x14ac:dyDescent="0.3">
      <c r="A2813" s="35" t="s">
        <v>53</v>
      </c>
      <c r="B2813" s="36" t="s">
        <v>10</v>
      </c>
      <c r="C2813" s="36" t="s">
        <v>57</v>
      </c>
      <c r="D2813" s="37">
        <v>45386</v>
      </c>
      <c r="E2813" s="38">
        <v>4591.7700000000004</v>
      </c>
      <c r="F2813" s="39">
        <v>222</v>
      </c>
    </row>
    <row r="2814" spans="1:6" x14ac:dyDescent="0.3">
      <c r="A2814" s="30" t="s">
        <v>14</v>
      </c>
      <c r="B2814" s="31" t="s">
        <v>25</v>
      </c>
      <c r="C2814" s="31" t="s">
        <v>42</v>
      </c>
      <c r="D2814" s="32">
        <v>45325</v>
      </c>
      <c r="E2814" s="33">
        <v>1928.33</v>
      </c>
      <c r="F2814" s="34">
        <v>217</v>
      </c>
    </row>
    <row r="2815" spans="1:6" x14ac:dyDescent="0.3">
      <c r="A2815" s="35" t="s">
        <v>12</v>
      </c>
      <c r="B2815" s="36" t="s">
        <v>25</v>
      </c>
      <c r="C2815" s="36" t="s">
        <v>73</v>
      </c>
      <c r="D2815" s="37">
        <v>45543</v>
      </c>
      <c r="E2815" s="38">
        <v>1225.1199999999999</v>
      </c>
      <c r="F2815" s="39">
        <v>186</v>
      </c>
    </row>
    <row r="2816" spans="1:6" x14ac:dyDescent="0.3">
      <c r="A2816" s="30" t="s">
        <v>58</v>
      </c>
      <c r="B2816" s="31" t="s">
        <v>15</v>
      </c>
      <c r="C2816" s="31" t="s">
        <v>46</v>
      </c>
      <c r="D2816" s="32">
        <v>45541</v>
      </c>
      <c r="E2816" s="33">
        <v>11326.55</v>
      </c>
      <c r="F2816" s="34">
        <v>296</v>
      </c>
    </row>
    <row r="2817" spans="1:6" x14ac:dyDescent="0.3">
      <c r="A2817" s="35" t="s">
        <v>83</v>
      </c>
      <c r="B2817" s="36" t="s">
        <v>7</v>
      </c>
      <c r="C2817" s="36" t="s">
        <v>90</v>
      </c>
      <c r="D2817" s="37">
        <v>45328</v>
      </c>
      <c r="E2817" s="38">
        <v>3063.08</v>
      </c>
      <c r="F2817" s="39">
        <v>301</v>
      </c>
    </row>
    <row r="2818" spans="1:6" x14ac:dyDescent="0.3">
      <c r="A2818" s="30" t="s">
        <v>9</v>
      </c>
      <c r="B2818" s="31" t="s">
        <v>32</v>
      </c>
      <c r="C2818" s="31" t="s">
        <v>57</v>
      </c>
      <c r="D2818" s="32">
        <v>45419</v>
      </c>
      <c r="E2818" s="33">
        <v>7093.33</v>
      </c>
      <c r="F2818" s="34">
        <v>233</v>
      </c>
    </row>
    <row r="2819" spans="1:6" x14ac:dyDescent="0.3">
      <c r="A2819" s="35" t="s">
        <v>67</v>
      </c>
      <c r="B2819" s="36" t="s">
        <v>35</v>
      </c>
      <c r="C2819" s="36" t="s">
        <v>36</v>
      </c>
      <c r="D2819" s="37">
        <v>45604</v>
      </c>
      <c r="E2819" s="38">
        <v>337.37</v>
      </c>
      <c r="F2819" s="39">
        <v>120</v>
      </c>
    </row>
    <row r="2820" spans="1:6" x14ac:dyDescent="0.3">
      <c r="A2820" s="30" t="s">
        <v>77</v>
      </c>
      <c r="B2820" s="31" t="s">
        <v>10</v>
      </c>
      <c r="C2820" s="31" t="s">
        <v>75</v>
      </c>
      <c r="D2820" s="32">
        <v>45598</v>
      </c>
      <c r="E2820" s="33">
        <v>3764.59</v>
      </c>
      <c r="F2820" s="34">
        <v>158</v>
      </c>
    </row>
    <row r="2821" spans="1:6" x14ac:dyDescent="0.3">
      <c r="A2821" s="35" t="s">
        <v>70</v>
      </c>
      <c r="B2821" s="36" t="s">
        <v>25</v>
      </c>
      <c r="C2821" s="36" t="s">
        <v>50</v>
      </c>
      <c r="D2821" s="37">
        <v>45604</v>
      </c>
      <c r="E2821" s="38">
        <v>695.32</v>
      </c>
      <c r="F2821" s="39">
        <v>68</v>
      </c>
    </row>
    <row r="2822" spans="1:6" x14ac:dyDescent="0.3">
      <c r="A2822" s="30" t="s">
        <v>45</v>
      </c>
      <c r="B2822" s="31" t="s">
        <v>15</v>
      </c>
      <c r="C2822" s="31" t="s">
        <v>38</v>
      </c>
      <c r="D2822" s="32">
        <v>45631</v>
      </c>
      <c r="E2822" s="33">
        <v>14609.99</v>
      </c>
      <c r="F2822" s="34">
        <v>111</v>
      </c>
    </row>
    <row r="2823" spans="1:6" x14ac:dyDescent="0.3">
      <c r="A2823" s="35" t="s">
        <v>64</v>
      </c>
      <c r="B2823" s="36" t="s">
        <v>32</v>
      </c>
      <c r="C2823" s="36" t="s">
        <v>46</v>
      </c>
      <c r="D2823" s="36" t="s">
        <v>292</v>
      </c>
      <c r="E2823" s="38">
        <v>5298.68</v>
      </c>
      <c r="F2823" s="39">
        <v>96</v>
      </c>
    </row>
    <row r="2824" spans="1:6" x14ac:dyDescent="0.3">
      <c r="A2824" s="30" t="s">
        <v>67</v>
      </c>
      <c r="B2824" s="31" t="s">
        <v>10</v>
      </c>
      <c r="C2824" s="31" t="s">
        <v>42</v>
      </c>
      <c r="D2824" s="31" t="s">
        <v>321</v>
      </c>
      <c r="E2824" s="33">
        <v>4552.3</v>
      </c>
      <c r="F2824" s="34">
        <v>132</v>
      </c>
    </row>
    <row r="2825" spans="1:6" x14ac:dyDescent="0.3">
      <c r="A2825" s="35" t="s">
        <v>77</v>
      </c>
      <c r="B2825" s="36" t="s">
        <v>7</v>
      </c>
      <c r="C2825" s="36" t="s">
        <v>57</v>
      </c>
      <c r="D2825" s="37">
        <v>45413</v>
      </c>
      <c r="E2825" s="38">
        <v>9099.26</v>
      </c>
      <c r="F2825" s="39">
        <v>199</v>
      </c>
    </row>
    <row r="2826" spans="1:6" x14ac:dyDescent="0.3">
      <c r="A2826" s="30" t="s">
        <v>48</v>
      </c>
      <c r="B2826" s="31" t="s">
        <v>15</v>
      </c>
      <c r="C2826" s="31" t="s">
        <v>26</v>
      </c>
      <c r="D2826" s="31" t="s">
        <v>282</v>
      </c>
      <c r="E2826" s="33">
        <v>603.97</v>
      </c>
      <c r="F2826" s="34">
        <v>239</v>
      </c>
    </row>
    <row r="2827" spans="1:6" x14ac:dyDescent="0.3">
      <c r="A2827" s="35" t="s">
        <v>28</v>
      </c>
      <c r="B2827" s="36" t="s">
        <v>35</v>
      </c>
      <c r="C2827" s="36" t="s">
        <v>73</v>
      </c>
      <c r="D2827" s="36" t="s">
        <v>333</v>
      </c>
      <c r="E2827" s="38">
        <v>3172.23</v>
      </c>
      <c r="F2827" s="39">
        <v>46</v>
      </c>
    </row>
    <row r="2828" spans="1:6" x14ac:dyDescent="0.3">
      <c r="A2828" s="30" t="s">
        <v>22</v>
      </c>
      <c r="B2828" s="31" t="s">
        <v>10</v>
      </c>
      <c r="C2828" s="31" t="s">
        <v>8</v>
      </c>
      <c r="D2828" s="32">
        <v>45512</v>
      </c>
      <c r="E2828" s="33">
        <v>4737.32</v>
      </c>
      <c r="F2828" s="34">
        <v>74</v>
      </c>
    </row>
    <row r="2829" spans="1:6" x14ac:dyDescent="0.3">
      <c r="A2829" s="35" t="s">
        <v>58</v>
      </c>
      <c r="B2829" s="36" t="s">
        <v>10</v>
      </c>
      <c r="C2829" s="36" t="s">
        <v>8</v>
      </c>
      <c r="D2829" s="36" t="s">
        <v>316</v>
      </c>
      <c r="E2829" s="38">
        <v>15201.56</v>
      </c>
      <c r="F2829" s="39">
        <v>142</v>
      </c>
    </row>
    <row r="2830" spans="1:6" x14ac:dyDescent="0.3">
      <c r="A2830" s="30" t="s">
        <v>31</v>
      </c>
      <c r="B2830" s="31" t="s">
        <v>10</v>
      </c>
      <c r="C2830" s="31" t="s">
        <v>90</v>
      </c>
      <c r="D2830" s="32">
        <v>45383</v>
      </c>
      <c r="E2830" s="33">
        <v>7912.62</v>
      </c>
      <c r="F2830" s="34">
        <v>106</v>
      </c>
    </row>
    <row r="2831" spans="1:6" x14ac:dyDescent="0.3">
      <c r="A2831" s="35" t="s">
        <v>28</v>
      </c>
      <c r="B2831" s="36" t="s">
        <v>10</v>
      </c>
      <c r="C2831" s="36" t="s">
        <v>46</v>
      </c>
      <c r="D2831" s="36" t="s">
        <v>331</v>
      </c>
      <c r="E2831" s="38">
        <v>14190.78</v>
      </c>
      <c r="F2831" s="39">
        <v>269</v>
      </c>
    </row>
    <row r="2832" spans="1:6" x14ac:dyDescent="0.3">
      <c r="A2832" s="30" t="s">
        <v>41</v>
      </c>
      <c r="B2832" s="31" t="s">
        <v>7</v>
      </c>
      <c r="C2832" s="31" t="s">
        <v>50</v>
      </c>
      <c r="D2832" s="31" t="s">
        <v>276</v>
      </c>
      <c r="E2832" s="33">
        <v>9327.08</v>
      </c>
      <c r="F2832" s="34">
        <v>259</v>
      </c>
    </row>
    <row r="2833" spans="1:6" x14ac:dyDescent="0.3">
      <c r="A2833" s="35" t="s">
        <v>31</v>
      </c>
      <c r="B2833" s="36" t="s">
        <v>32</v>
      </c>
      <c r="C2833" s="36" t="s">
        <v>65</v>
      </c>
      <c r="D2833" s="37">
        <v>45353</v>
      </c>
      <c r="E2833" s="38">
        <v>434.42</v>
      </c>
      <c r="F2833" s="39">
        <v>83</v>
      </c>
    </row>
    <row r="2834" spans="1:6" x14ac:dyDescent="0.3">
      <c r="A2834" s="30" t="s">
        <v>9</v>
      </c>
      <c r="B2834" s="31" t="s">
        <v>35</v>
      </c>
      <c r="C2834" s="31" t="s">
        <v>73</v>
      </c>
      <c r="D2834" s="31" t="s">
        <v>329</v>
      </c>
      <c r="E2834" s="33">
        <v>1497.58</v>
      </c>
      <c r="F2834" s="34">
        <v>132</v>
      </c>
    </row>
    <row r="2835" spans="1:6" x14ac:dyDescent="0.3">
      <c r="A2835" s="35" t="s">
        <v>64</v>
      </c>
      <c r="B2835" s="36" t="s">
        <v>15</v>
      </c>
      <c r="C2835" s="36" t="s">
        <v>87</v>
      </c>
      <c r="D2835" s="36" t="s">
        <v>267</v>
      </c>
      <c r="E2835" s="38">
        <v>3124.74</v>
      </c>
      <c r="F2835" s="39">
        <v>155</v>
      </c>
    </row>
    <row r="2836" spans="1:6" x14ac:dyDescent="0.3">
      <c r="A2836" s="30" t="s">
        <v>28</v>
      </c>
      <c r="B2836" s="31" t="s">
        <v>15</v>
      </c>
      <c r="C2836" s="31" t="s">
        <v>46</v>
      </c>
      <c r="D2836" s="31" t="s">
        <v>335</v>
      </c>
      <c r="E2836" s="33">
        <v>2356.21</v>
      </c>
      <c r="F2836" s="34">
        <v>54</v>
      </c>
    </row>
    <row r="2837" spans="1:6" x14ac:dyDescent="0.3">
      <c r="A2837" s="35" t="s">
        <v>53</v>
      </c>
      <c r="B2837" s="36" t="s">
        <v>15</v>
      </c>
      <c r="C2837" s="36" t="s">
        <v>57</v>
      </c>
      <c r="D2837" s="36" t="s">
        <v>313</v>
      </c>
      <c r="E2837" s="38">
        <v>8548</v>
      </c>
      <c r="F2837" s="39">
        <v>55</v>
      </c>
    </row>
    <row r="2838" spans="1:6" x14ac:dyDescent="0.3">
      <c r="A2838" s="30" t="s">
        <v>77</v>
      </c>
      <c r="B2838" s="31" t="s">
        <v>15</v>
      </c>
      <c r="C2838" s="31" t="s">
        <v>42</v>
      </c>
      <c r="D2838" s="32">
        <v>45419</v>
      </c>
      <c r="E2838" s="33">
        <v>12094.34</v>
      </c>
      <c r="F2838" s="34">
        <v>52</v>
      </c>
    </row>
    <row r="2839" spans="1:6" x14ac:dyDescent="0.3">
      <c r="A2839" s="35" t="s">
        <v>9</v>
      </c>
      <c r="B2839" s="36" t="s">
        <v>10</v>
      </c>
      <c r="C2839" s="36" t="s">
        <v>59</v>
      </c>
      <c r="D2839" s="36" t="s">
        <v>337</v>
      </c>
      <c r="E2839" s="38">
        <v>2119.42</v>
      </c>
      <c r="F2839" s="39">
        <v>46</v>
      </c>
    </row>
    <row r="2840" spans="1:6" x14ac:dyDescent="0.3">
      <c r="A2840" s="30" t="s">
        <v>22</v>
      </c>
      <c r="B2840" s="31" t="s">
        <v>35</v>
      </c>
      <c r="C2840" s="31" t="s">
        <v>23</v>
      </c>
      <c r="D2840" s="32">
        <v>45390</v>
      </c>
      <c r="E2840" s="33">
        <v>3038.32</v>
      </c>
      <c r="F2840" s="34">
        <v>220</v>
      </c>
    </row>
    <row r="2841" spans="1:6" x14ac:dyDescent="0.3">
      <c r="A2841" s="35" t="s">
        <v>14</v>
      </c>
      <c r="B2841" s="36" t="s">
        <v>32</v>
      </c>
      <c r="C2841" s="36" t="s">
        <v>57</v>
      </c>
      <c r="D2841" s="36" t="s">
        <v>275</v>
      </c>
      <c r="E2841" s="38">
        <v>5187.72</v>
      </c>
      <c r="F2841" s="39">
        <v>382</v>
      </c>
    </row>
    <row r="2842" spans="1:6" x14ac:dyDescent="0.3">
      <c r="A2842" s="30" t="s">
        <v>14</v>
      </c>
      <c r="B2842" s="31" t="s">
        <v>35</v>
      </c>
      <c r="C2842" s="31" t="s">
        <v>23</v>
      </c>
      <c r="D2842" s="31" t="s">
        <v>301</v>
      </c>
      <c r="E2842" s="33">
        <v>5384.52</v>
      </c>
      <c r="F2842" s="34">
        <v>180</v>
      </c>
    </row>
    <row r="2843" spans="1:6" x14ac:dyDescent="0.3">
      <c r="A2843" s="35" t="s">
        <v>31</v>
      </c>
      <c r="B2843" s="36" t="s">
        <v>25</v>
      </c>
      <c r="C2843" s="36" t="s">
        <v>60</v>
      </c>
      <c r="D2843" s="36" t="s">
        <v>266</v>
      </c>
      <c r="E2843" s="38">
        <v>6575.07</v>
      </c>
      <c r="F2843" s="39">
        <v>249</v>
      </c>
    </row>
    <row r="2844" spans="1:6" x14ac:dyDescent="0.3">
      <c r="A2844" s="30" t="s">
        <v>37</v>
      </c>
      <c r="B2844" s="31" t="s">
        <v>25</v>
      </c>
      <c r="C2844" s="31" t="s">
        <v>11</v>
      </c>
      <c r="D2844" s="31" t="s">
        <v>294</v>
      </c>
      <c r="E2844" s="33">
        <v>6350.37</v>
      </c>
      <c r="F2844" s="34">
        <v>59</v>
      </c>
    </row>
    <row r="2845" spans="1:6" x14ac:dyDescent="0.3">
      <c r="A2845" s="35" t="s">
        <v>19</v>
      </c>
      <c r="B2845" s="36" t="s">
        <v>15</v>
      </c>
      <c r="C2845" s="36" t="s">
        <v>11</v>
      </c>
      <c r="D2845" s="36" t="s">
        <v>283</v>
      </c>
      <c r="E2845" s="38">
        <v>7488.06</v>
      </c>
      <c r="F2845" s="39">
        <v>28</v>
      </c>
    </row>
    <row r="2846" spans="1:6" x14ac:dyDescent="0.3">
      <c r="A2846" s="30" t="s">
        <v>48</v>
      </c>
      <c r="B2846" s="31" t="s">
        <v>35</v>
      </c>
      <c r="C2846" s="31" t="s">
        <v>75</v>
      </c>
      <c r="D2846" s="31" t="s">
        <v>304</v>
      </c>
      <c r="E2846" s="33">
        <v>6997.57</v>
      </c>
      <c r="F2846" s="34">
        <v>7</v>
      </c>
    </row>
    <row r="2847" spans="1:6" x14ac:dyDescent="0.3">
      <c r="A2847" s="35" t="s">
        <v>55</v>
      </c>
      <c r="B2847" s="36" t="s">
        <v>10</v>
      </c>
      <c r="C2847" s="36" t="s">
        <v>100</v>
      </c>
      <c r="D2847" s="36" t="s">
        <v>312</v>
      </c>
      <c r="E2847" s="38">
        <v>13081.57</v>
      </c>
      <c r="F2847" s="39">
        <v>324</v>
      </c>
    </row>
    <row r="2848" spans="1:6" x14ac:dyDescent="0.3">
      <c r="A2848" s="30" t="s">
        <v>41</v>
      </c>
      <c r="B2848" s="31" t="s">
        <v>32</v>
      </c>
      <c r="C2848" s="31" t="s">
        <v>59</v>
      </c>
      <c r="D2848" s="32">
        <v>45599</v>
      </c>
      <c r="E2848" s="33">
        <v>5964.72</v>
      </c>
      <c r="F2848" s="34">
        <v>136</v>
      </c>
    </row>
    <row r="2849" spans="1:6" x14ac:dyDescent="0.3">
      <c r="A2849" s="35" t="s">
        <v>83</v>
      </c>
      <c r="B2849" s="36" t="s">
        <v>25</v>
      </c>
      <c r="C2849" s="36" t="s">
        <v>23</v>
      </c>
      <c r="D2849" s="36" t="s">
        <v>348</v>
      </c>
      <c r="E2849" s="38">
        <v>6651.11</v>
      </c>
      <c r="F2849" s="39">
        <v>377</v>
      </c>
    </row>
    <row r="2850" spans="1:6" x14ac:dyDescent="0.3">
      <c r="A2850" s="30" t="s">
        <v>53</v>
      </c>
      <c r="B2850" s="31" t="s">
        <v>10</v>
      </c>
      <c r="C2850" s="31" t="s">
        <v>50</v>
      </c>
      <c r="D2850" s="31" t="s">
        <v>289</v>
      </c>
      <c r="E2850" s="33">
        <v>2606.11</v>
      </c>
      <c r="F2850" s="34">
        <v>31</v>
      </c>
    </row>
    <row r="2851" spans="1:6" x14ac:dyDescent="0.3">
      <c r="A2851" s="35" t="s">
        <v>22</v>
      </c>
      <c r="B2851" s="36" t="s">
        <v>35</v>
      </c>
      <c r="C2851" s="36" t="s">
        <v>26</v>
      </c>
      <c r="D2851" s="37">
        <v>45383</v>
      </c>
      <c r="E2851" s="38">
        <v>3615.98</v>
      </c>
      <c r="F2851" s="39">
        <v>24</v>
      </c>
    </row>
    <row r="2852" spans="1:6" x14ac:dyDescent="0.3">
      <c r="A2852" s="30" t="s">
        <v>48</v>
      </c>
      <c r="B2852" s="31" t="s">
        <v>10</v>
      </c>
      <c r="C2852" s="31" t="s">
        <v>46</v>
      </c>
      <c r="D2852" s="32">
        <v>45416</v>
      </c>
      <c r="E2852" s="33">
        <v>3658.27</v>
      </c>
      <c r="F2852" s="34">
        <v>210</v>
      </c>
    </row>
    <row r="2853" spans="1:6" x14ac:dyDescent="0.3">
      <c r="A2853" s="35" t="s">
        <v>41</v>
      </c>
      <c r="B2853" s="36" t="s">
        <v>10</v>
      </c>
      <c r="C2853" s="36" t="s">
        <v>46</v>
      </c>
      <c r="D2853" s="36" t="s">
        <v>287</v>
      </c>
      <c r="E2853" s="38">
        <v>1997.46</v>
      </c>
      <c r="F2853" s="39">
        <v>314</v>
      </c>
    </row>
    <row r="2854" spans="1:6" x14ac:dyDescent="0.3">
      <c r="A2854" s="30" t="s">
        <v>53</v>
      </c>
      <c r="B2854" s="31" t="s">
        <v>15</v>
      </c>
      <c r="C2854" s="31" t="s">
        <v>59</v>
      </c>
      <c r="D2854" s="32">
        <v>45601</v>
      </c>
      <c r="E2854" s="33">
        <v>3618.67</v>
      </c>
      <c r="F2854" s="34">
        <v>213</v>
      </c>
    </row>
    <row r="2855" spans="1:6" x14ac:dyDescent="0.3">
      <c r="A2855" s="35" t="s">
        <v>67</v>
      </c>
      <c r="B2855" s="36" t="s">
        <v>35</v>
      </c>
      <c r="C2855" s="36" t="s">
        <v>60</v>
      </c>
      <c r="D2855" s="36" t="s">
        <v>347</v>
      </c>
      <c r="E2855" s="38">
        <v>5538.85</v>
      </c>
      <c r="F2855" s="39">
        <v>492</v>
      </c>
    </row>
    <row r="2856" spans="1:6" x14ac:dyDescent="0.3">
      <c r="A2856" s="30" t="s">
        <v>14</v>
      </c>
      <c r="B2856" s="31" t="s">
        <v>25</v>
      </c>
      <c r="C2856" s="31" t="s">
        <v>33</v>
      </c>
      <c r="D2856" s="32">
        <v>45598</v>
      </c>
      <c r="E2856" s="33">
        <v>1382.49</v>
      </c>
      <c r="F2856" s="34">
        <v>86</v>
      </c>
    </row>
    <row r="2857" spans="1:6" x14ac:dyDescent="0.3">
      <c r="A2857" s="35" t="s">
        <v>67</v>
      </c>
      <c r="B2857" s="36" t="s">
        <v>35</v>
      </c>
      <c r="C2857" s="36" t="s">
        <v>18</v>
      </c>
      <c r="D2857" s="37">
        <v>45511</v>
      </c>
      <c r="E2857" s="38">
        <v>1223.79</v>
      </c>
      <c r="F2857" s="39">
        <v>81</v>
      </c>
    </row>
    <row r="2858" spans="1:6" x14ac:dyDescent="0.3">
      <c r="A2858" s="30" t="s">
        <v>22</v>
      </c>
      <c r="B2858" s="31" t="s">
        <v>7</v>
      </c>
      <c r="C2858" s="31" t="s">
        <v>73</v>
      </c>
      <c r="D2858" s="32">
        <v>45604</v>
      </c>
      <c r="E2858" s="33">
        <v>8043.29</v>
      </c>
      <c r="F2858" s="34">
        <v>344</v>
      </c>
    </row>
    <row r="2859" spans="1:6" x14ac:dyDescent="0.3">
      <c r="A2859" s="35" t="s">
        <v>53</v>
      </c>
      <c r="B2859" s="36" t="s">
        <v>25</v>
      </c>
      <c r="C2859" s="36" t="s">
        <v>23</v>
      </c>
      <c r="D2859" s="37">
        <v>45390</v>
      </c>
      <c r="E2859" s="38">
        <v>6878.47</v>
      </c>
      <c r="F2859" s="39">
        <v>7</v>
      </c>
    </row>
    <row r="2860" spans="1:6" x14ac:dyDescent="0.3">
      <c r="A2860" s="30" t="s">
        <v>67</v>
      </c>
      <c r="B2860" s="31" t="s">
        <v>25</v>
      </c>
      <c r="C2860" s="31" t="s">
        <v>33</v>
      </c>
      <c r="D2860" s="31" t="s">
        <v>333</v>
      </c>
      <c r="E2860" s="33">
        <v>9420.2199999999993</v>
      </c>
      <c r="F2860" s="34">
        <v>94</v>
      </c>
    </row>
    <row r="2861" spans="1:6" x14ac:dyDescent="0.3">
      <c r="A2861" s="35" t="s">
        <v>58</v>
      </c>
      <c r="B2861" s="36" t="s">
        <v>7</v>
      </c>
      <c r="C2861" s="36" t="s">
        <v>87</v>
      </c>
      <c r="D2861" s="36" t="s">
        <v>358</v>
      </c>
      <c r="E2861" s="38">
        <v>2516.34</v>
      </c>
      <c r="F2861" s="39">
        <v>293</v>
      </c>
    </row>
    <row r="2862" spans="1:6" x14ac:dyDescent="0.3">
      <c r="A2862" s="30" t="s">
        <v>6</v>
      </c>
      <c r="B2862" s="31" t="s">
        <v>35</v>
      </c>
      <c r="C2862" s="31" t="s">
        <v>33</v>
      </c>
      <c r="D2862" s="31" t="s">
        <v>348</v>
      </c>
      <c r="E2862" s="33">
        <v>4334.75</v>
      </c>
      <c r="F2862" s="34">
        <v>529</v>
      </c>
    </row>
    <row r="2863" spans="1:6" x14ac:dyDescent="0.3">
      <c r="A2863" s="35" t="s">
        <v>6</v>
      </c>
      <c r="B2863" s="36" t="s">
        <v>7</v>
      </c>
      <c r="C2863" s="36" t="s">
        <v>18</v>
      </c>
      <c r="D2863" s="36" t="s">
        <v>285</v>
      </c>
      <c r="E2863" s="38">
        <v>1588.49</v>
      </c>
      <c r="F2863" s="39">
        <v>111</v>
      </c>
    </row>
    <row r="2864" spans="1:6" x14ac:dyDescent="0.3">
      <c r="A2864" s="30" t="s">
        <v>67</v>
      </c>
      <c r="B2864" s="31" t="s">
        <v>7</v>
      </c>
      <c r="C2864" s="31" t="s">
        <v>90</v>
      </c>
      <c r="D2864" s="32">
        <v>45479</v>
      </c>
      <c r="E2864" s="33">
        <v>8959.3799999999992</v>
      </c>
      <c r="F2864" s="34">
        <v>271</v>
      </c>
    </row>
    <row r="2865" spans="1:6" x14ac:dyDescent="0.3">
      <c r="A2865" s="35" t="s">
        <v>14</v>
      </c>
      <c r="B2865" s="36" t="s">
        <v>7</v>
      </c>
      <c r="C2865" s="36" t="s">
        <v>59</v>
      </c>
      <c r="D2865" s="36" t="s">
        <v>353</v>
      </c>
      <c r="E2865" s="38">
        <v>9409.06</v>
      </c>
      <c r="F2865" s="39">
        <v>46</v>
      </c>
    </row>
    <row r="2866" spans="1:6" x14ac:dyDescent="0.3">
      <c r="A2866" s="30" t="s">
        <v>79</v>
      </c>
      <c r="B2866" s="31" t="s">
        <v>32</v>
      </c>
      <c r="C2866" s="31" t="s">
        <v>57</v>
      </c>
      <c r="D2866" s="31" t="s">
        <v>301</v>
      </c>
      <c r="E2866" s="33">
        <v>3315.64</v>
      </c>
      <c r="F2866" s="34">
        <v>268</v>
      </c>
    </row>
    <row r="2867" spans="1:6" x14ac:dyDescent="0.3">
      <c r="A2867" s="35" t="s">
        <v>70</v>
      </c>
      <c r="B2867" s="36" t="s">
        <v>7</v>
      </c>
      <c r="C2867" s="36" t="s">
        <v>75</v>
      </c>
      <c r="D2867" s="36" t="s">
        <v>281</v>
      </c>
      <c r="E2867" s="38">
        <v>10920.7</v>
      </c>
      <c r="F2867" s="39">
        <v>210</v>
      </c>
    </row>
    <row r="2868" spans="1:6" x14ac:dyDescent="0.3">
      <c r="A2868" s="30" t="s">
        <v>22</v>
      </c>
      <c r="B2868" s="31" t="s">
        <v>25</v>
      </c>
      <c r="C2868" s="31" t="s">
        <v>23</v>
      </c>
      <c r="D2868" s="32">
        <v>45543</v>
      </c>
      <c r="E2868" s="33">
        <v>7605.55</v>
      </c>
      <c r="F2868" s="34">
        <v>154</v>
      </c>
    </row>
    <row r="2869" spans="1:6" x14ac:dyDescent="0.3">
      <c r="A2869" s="35" t="s">
        <v>55</v>
      </c>
      <c r="B2869" s="36" t="s">
        <v>35</v>
      </c>
      <c r="C2869" s="36" t="s">
        <v>11</v>
      </c>
      <c r="D2869" s="37">
        <v>45447</v>
      </c>
      <c r="E2869" s="38">
        <v>1859.96</v>
      </c>
      <c r="F2869" s="39">
        <v>33</v>
      </c>
    </row>
    <row r="2870" spans="1:6" x14ac:dyDescent="0.3">
      <c r="A2870" s="30" t="s">
        <v>14</v>
      </c>
      <c r="B2870" s="31" t="s">
        <v>25</v>
      </c>
      <c r="C2870" s="31" t="s">
        <v>60</v>
      </c>
      <c r="D2870" s="31" t="s">
        <v>271</v>
      </c>
      <c r="E2870" s="33">
        <v>1743.87</v>
      </c>
      <c r="F2870" s="34">
        <v>259</v>
      </c>
    </row>
    <row r="2871" spans="1:6" x14ac:dyDescent="0.3">
      <c r="A2871" s="35" t="s">
        <v>22</v>
      </c>
      <c r="B2871" s="36" t="s">
        <v>25</v>
      </c>
      <c r="C2871" s="36" t="s">
        <v>73</v>
      </c>
      <c r="D2871" s="36" t="s">
        <v>285</v>
      </c>
      <c r="E2871" s="38">
        <v>758.28</v>
      </c>
      <c r="F2871" s="39">
        <v>57</v>
      </c>
    </row>
    <row r="2872" spans="1:6" x14ac:dyDescent="0.3">
      <c r="A2872" s="30" t="s">
        <v>9</v>
      </c>
      <c r="B2872" s="31" t="s">
        <v>15</v>
      </c>
      <c r="C2872" s="31" t="s">
        <v>20</v>
      </c>
      <c r="D2872" s="31" t="s">
        <v>358</v>
      </c>
      <c r="E2872" s="33">
        <v>125.37</v>
      </c>
      <c r="F2872" s="34">
        <v>138</v>
      </c>
    </row>
    <row r="2873" spans="1:6" x14ac:dyDescent="0.3">
      <c r="A2873" s="35" t="s">
        <v>48</v>
      </c>
      <c r="B2873" s="36" t="s">
        <v>32</v>
      </c>
      <c r="C2873" s="36" t="s">
        <v>38</v>
      </c>
      <c r="D2873" s="37">
        <v>45475</v>
      </c>
      <c r="E2873" s="38">
        <v>6170.75</v>
      </c>
      <c r="F2873" s="39">
        <v>149</v>
      </c>
    </row>
    <row r="2874" spans="1:6" x14ac:dyDescent="0.3">
      <c r="A2874" s="30" t="s">
        <v>28</v>
      </c>
      <c r="B2874" s="31" t="s">
        <v>15</v>
      </c>
      <c r="C2874" s="31" t="s">
        <v>50</v>
      </c>
      <c r="D2874" s="32">
        <v>45540</v>
      </c>
      <c r="E2874" s="33">
        <v>6867.13</v>
      </c>
      <c r="F2874" s="34">
        <v>273</v>
      </c>
    </row>
    <row r="2875" spans="1:6" x14ac:dyDescent="0.3">
      <c r="A2875" s="35" t="s">
        <v>34</v>
      </c>
      <c r="B2875" s="36" t="s">
        <v>25</v>
      </c>
      <c r="C2875" s="36" t="s">
        <v>11</v>
      </c>
      <c r="D2875" s="37">
        <v>45449</v>
      </c>
      <c r="E2875" s="38">
        <v>8775.4500000000007</v>
      </c>
      <c r="F2875" s="39">
        <v>113</v>
      </c>
    </row>
    <row r="2876" spans="1:6" x14ac:dyDescent="0.3">
      <c r="A2876" s="30" t="s">
        <v>64</v>
      </c>
      <c r="B2876" s="31" t="s">
        <v>32</v>
      </c>
      <c r="C2876" s="31" t="s">
        <v>75</v>
      </c>
      <c r="D2876" s="32">
        <v>45449</v>
      </c>
      <c r="E2876" s="33">
        <v>10422.84</v>
      </c>
      <c r="F2876" s="34">
        <v>6</v>
      </c>
    </row>
    <row r="2877" spans="1:6" x14ac:dyDescent="0.3">
      <c r="A2877" s="35" t="s">
        <v>41</v>
      </c>
      <c r="B2877" s="36" t="s">
        <v>25</v>
      </c>
      <c r="C2877" s="36" t="s">
        <v>42</v>
      </c>
      <c r="D2877" s="36" t="s">
        <v>281</v>
      </c>
      <c r="E2877" s="38">
        <v>7402.04</v>
      </c>
      <c r="F2877" s="39">
        <v>231</v>
      </c>
    </row>
    <row r="2878" spans="1:6" x14ac:dyDescent="0.3">
      <c r="A2878" s="30" t="s">
        <v>22</v>
      </c>
      <c r="B2878" s="31" t="s">
        <v>7</v>
      </c>
      <c r="C2878" s="31" t="s">
        <v>26</v>
      </c>
      <c r="D2878" s="31" t="s">
        <v>270</v>
      </c>
      <c r="E2878" s="33">
        <v>2498.04</v>
      </c>
      <c r="F2878" s="34">
        <v>129</v>
      </c>
    </row>
    <row r="2879" spans="1:6" x14ac:dyDescent="0.3">
      <c r="A2879" s="35" t="s">
        <v>40</v>
      </c>
      <c r="B2879" s="36" t="s">
        <v>32</v>
      </c>
      <c r="C2879" s="36" t="s">
        <v>73</v>
      </c>
      <c r="D2879" s="36" t="s">
        <v>342</v>
      </c>
      <c r="E2879" s="38">
        <v>6873.56</v>
      </c>
      <c r="F2879" s="39">
        <v>152</v>
      </c>
    </row>
    <row r="2880" spans="1:6" x14ac:dyDescent="0.3">
      <c r="A2880" s="30" t="s">
        <v>6</v>
      </c>
      <c r="B2880" s="31" t="s">
        <v>7</v>
      </c>
      <c r="C2880" s="31" t="s">
        <v>59</v>
      </c>
      <c r="D2880" s="31" t="s">
        <v>282</v>
      </c>
      <c r="E2880" s="33">
        <v>2015.93</v>
      </c>
      <c r="F2880" s="34">
        <v>304</v>
      </c>
    </row>
    <row r="2881" spans="1:6" x14ac:dyDescent="0.3">
      <c r="A2881" s="35" t="s">
        <v>6</v>
      </c>
      <c r="B2881" s="36" t="s">
        <v>25</v>
      </c>
      <c r="C2881" s="36" t="s">
        <v>11</v>
      </c>
      <c r="D2881" s="37">
        <v>45599</v>
      </c>
      <c r="E2881" s="38">
        <v>8077.51</v>
      </c>
      <c r="F2881" s="39">
        <v>95</v>
      </c>
    </row>
    <row r="2882" spans="1:6" x14ac:dyDescent="0.3">
      <c r="A2882" s="30" t="s">
        <v>79</v>
      </c>
      <c r="B2882" s="31" t="s">
        <v>32</v>
      </c>
      <c r="C2882" s="31" t="s">
        <v>11</v>
      </c>
      <c r="D2882" s="31" t="s">
        <v>320</v>
      </c>
      <c r="E2882" s="33">
        <v>11149.46</v>
      </c>
      <c r="F2882" s="34">
        <v>538</v>
      </c>
    </row>
    <row r="2883" spans="1:6" x14ac:dyDescent="0.3">
      <c r="A2883" s="35" t="s">
        <v>29</v>
      </c>
      <c r="B2883" s="36" t="s">
        <v>15</v>
      </c>
      <c r="C2883" s="36" t="s">
        <v>18</v>
      </c>
      <c r="D2883" s="36" t="s">
        <v>277</v>
      </c>
      <c r="E2883" s="38">
        <v>4739.3900000000003</v>
      </c>
      <c r="F2883" s="39">
        <v>236</v>
      </c>
    </row>
    <row r="2884" spans="1:6" x14ac:dyDescent="0.3">
      <c r="A2884" s="30" t="s">
        <v>48</v>
      </c>
      <c r="B2884" s="31" t="s">
        <v>10</v>
      </c>
      <c r="C2884" s="31" t="s">
        <v>60</v>
      </c>
      <c r="D2884" s="31" t="s">
        <v>342</v>
      </c>
      <c r="E2884" s="33">
        <v>1844.54</v>
      </c>
      <c r="F2884" s="34">
        <v>185</v>
      </c>
    </row>
    <row r="2885" spans="1:6" x14ac:dyDescent="0.3">
      <c r="A2885" s="35" t="s">
        <v>34</v>
      </c>
      <c r="B2885" s="36" t="s">
        <v>32</v>
      </c>
      <c r="C2885" s="36" t="s">
        <v>13</v>
      </c>
      <c r="D2885" s="36" t="s">
        <v>342</v>
      </c>
      <c r="E2885" s="38">
        <v>1263.98</v>
      </c>
      <c r="F2885" s="39">
        <v>19</v>
      </c>
    </row>
    <row r="2886" spans="1:6" x14ac:dyDescent="0.3">
      <c r="A2886" s="30" t="s">
        <v>9</v>
      </c>
      <c r="B2886" s="31" t="s">
        <v>35</v>
      </c>
      <c r="C2886" s="31" t="s">
        <v>13</v>
      </c>
      <c r="D2886" s="31" t="s">
        <v>349</v>
      </c>
      <c r="E2886" s="33">
        <v>7527.84</v>
      </c>
      <c r="F2886" s="34">
        <v>306</v>
      </c>
    </row>
    <row r="2887" spans="1:6" x14ac:dyDescent="0.3">
      <c r="A2887" s="35" t="s">
        <v>70</v>
      </c>
      <c r="B2887" s="36" t="s">
        <v>25</v>
      </c>
      <c r="C2887" s="36" t="s">
        <v>18</v>
      </c>
      <c r="D2887" s="37">
        <v>45599</v>
      </c>
      <c r="E2887" s="38">
        <v>12265.45</v>
      </c>
      <c r="F2887" s="39">
        <v>268</v>
      </c>
    </row>
    <row r="2888" spans="1:6" x14ac:dyDescent="0.3">
      <c r="A2888" s="30" t="s">
        <v>29</v>
      </c>
      <c r="B2888" s="31" t="s">
        <v>32</v>
      </c>
      <c r="C2888" s="31" t="s">
        <v>18</v>
      </c>
      <c r="D2888" s="31" t="s">
        <v>335</v>
      </c>
      <c r="E2888" s="33">
        <v>17662.05</v>
      </c>
      <c r="F2888" s="34">
        <v>230</v>
      </c>
    </row>
    <row r="2889" spans="1:6" x14ac:dyDescent="0.3">
      <c r="A2889" s="35" t="s">
        <v>29</v>
      </c>
      <c r="B2889" s="36" t="s">
        <v>32</v>
      </c>
      <c r="C2889" s="36" t="s">
        <v>59</v>
      </c>
      <c r="D2889" s="36" t="s">
        <v>362</v>
      </c>
      <c r="E2889" s="38">
        <v>5520</v>
      </c>
      <c r="F2889" s="39">
        <v>120</v>
      </c>
    </row>
    <row r="2890" spans="1:6" x14ac:dyDescent="0.3">
      <c r="A2890" s="30" t="s">
        <v>45</v>
      </c>
      <c r="B2890" s="31" t="s">
        <v>35</v>
      </c>
      <c r="C2890" s="31" t="s">
        <v>18</v>
      </c>
      <c r="D2890" s="32">
        <v>45476</v>
      </c>
      <c r="E2890" s="33">
        <v>10712.76</v>
      </c>
      <c r="F2890" s="34">
        <v>11</v>
      </c>
    </row>
    <row r="2891" spans="1:6" x14ac:dyDescent="0.3">
      <c r="A2891" s="35" t="s">
        <v>48</v>
      </c>
      <c r="B2891" s="36" t="s">
        <v>25</v>
      </c>
      <c r="C2891" s="36" t="s">
        <v>23</v>
      </c>
      <c r="D2891" s="37">
        <v>45416</v>
      </c>
      <c r="E2891" s="38">
        <v>8416.7999999999993</v>
      </c>
      <c r="F2891" s="39">
        <v>29</v>
      </c>
    </row>
    <row r="2892" spans="1:6" x14ac:dyDescent="0.3">
      <c r="A2892" s="30" t="s">
        <v>71</v>
      </c>
      <c r="B2892" s="31" t="s">
        <v>10</v>
      </c>
      <c r="C2892" s="31" t="s">
        <v>11</v>
      </c>
      <c r="D2892" s="32">
        <v>45387</v>
      </c>
      <c r="E2892" s="33">
        <v>9986.0499999999993</v>
      </c>
      <c r="F2892" s="34">
        <v>54</v>
      </c>
    </row>
    <row r="2893" spans="1:6" x14ac:dyDescent="0.3">
      <c r="A2893" s="35" t="s">
        <v>83</v>
      </c>
      <c r="B2893" s="36" t="s">
        <v>32</v>
      </c>
      <c r="C2893" s="36" t="s">
        <v>75</v>
      </c>
      <c r="D2893" s="37">
        <v>45383</v>
      </c>
      <c r="E2893" s="38">
        <v>15629.82</v>
      </c>
      <c r="F2893" s="39">
        <v>89</v>
      </c>
    </row>
    <row r="2894" spans="1:6" x14ac:dyDescent="0.3">
      <c r="A2894" s="30" t="s">
        <v>40</v>
      </c>
      <c r="B2894" s="31" t="s">
        <v>15</v>
      </c>
      <c r="C2894" s="31" t="s">
        <v>87</v>
      </c>
      <c r="D2894" s="31" t="s">
        <v>270</v>
      </c>
      <c r="E2894" s="33">
        <v>6224.33</v>
      </c>
      <c r="F2894" s="34">
        <v>100</v>
      </c>
    </row>
    <row r="2895" spans="1:6" x14ac:dyDescent="0.3">
      <c r="A2895" s="35" t="s">
        <v>64</v>
      </c>
      <c r="B2895" s="36" t="s">
        <v>25</v>
      </c>
      <c r="C2895" s="36" t="s">
        <v>57</v>
      </c>
      <c r="D2895" s="37">
        <v>45603</v>
      </c>
      <c r="E2895" s="38">
        <v>7736.85</v>
      </c>
      <c r="F2895" s="39">
        <v>95</v>
      </c>
    </row>
    <row r="2896" spans="1:6" x14ac:dyDescent="0.3">
      <c r="A2896" s="30" t="s">
        <v>55</v>
      </c>
      <c r="B2896" s="31" t="s">
        <v>15</v>
      </c>
      <c r="C2896" s="31" t="s">
        <v>8</v>
      </c>
      <c r="D2896" s="31" t="s">
        <v>350</v>
      </c>
      <c r="E2896" s="33">
        <v>4860.75</v>
      </c>
      <c r="F2896" s="34">
        <v>162</v>
      </c>
    </row>
    <row r="2897" spans="1:6" x14ac:dyDescent="0.3">
      <c r="A2897" s="35" t="s">
        <v>71</v>
      </c>
      <c r="B2897" s="36" t="s">
        <v>25</v>
      </c>
      <c r="C2897" s="36" t="s">
        <v>13</v>
      </c>
      <c r="D2897" s="36" t="s">
        <v>347</v>
      </c>
      <c r="E2897" s="38">
        <v>1754.64</v>
      </c>
      <c r="F2897" s="39">
        <v>62</v>
      </c>
    </row>
    <row r="2898" spans="1:6" x14ac:dyDescent="0.3">
      <c r="A2898" s="30" t="s">
        <v>48</v>
      </c>
      <c r="B2898" s="31" t="s">
        <v>35</v>
      </c>
      <c r="C2898" s="31" t="s">
        <v>42</v>
      </c>
      <c r="D2898" s="31" t="s">
        <v>331</v>
      </c>
      <c r="E2898" s="33">
        <v>897.13</v>
      </c>
      <c r="F2898" s="34">
        <v>24</v>
      </c>
    </row>
    <row r="2899" spans="1:6" x14ac:dyDescent="0.3">
      <c r="A2899" s="35" t="s">
        <v>14</v>
      </c>
      <c r="B2899" s="36" t="s">
        <v>10</v>
      </c>
      <c r="C2899" s="36" t="s">
        <v>20</v>
      </c>
      <c r="D2899" s="36" t="s">
        <v>342</v>
      </c>
      <c r="E2899" s="38">
        <v>10607.29</v>
      </c>
      <c r="F2899" s="39">
        <v>182</v>
      </c>
    </row>
    <row r="2900" spans="1:6" x14ac:dyDescent="0.3">
      <c r="A2900" s="30" t="s">
        <v>29</v>
      </c>
      <c r="B2900" s="31" t="s">
        <v>35</v>
      </c>
      <c r="C2900" s="31" t="s">
        <v>38</v>
      </c>
      <c r="D2900" s="32">
        <v>45633</v>
      </c>
      <c r="E2900" s="33">
        <v>10772</v>
      </c>
      <c r="F2900" s="34">
        <v>192</v>
      </c>
    </row>
    <row r="2901" spans="1:6" x14ac:dyDescent="0.3">
      <c r="A2901" s="35" t="s">
        <v>14</v>
      </c>
      <c r="B2901" s="36" t="s">
        <v>7</v>
      </c>
      <c r="C2901" s="36" t="s">
        <v>33</v>
      </c>
      <c r="D2901" s="36" t="s">
        <v>280</v>
      </c>
      <c r="E2901" s="38">
        <v>4116.96</v>
      </c>
      <c r="F2901" s="39">
        <v>203</v>
      </c>
    </row>
    <row r="2902" spans="1:6" x14ac:dyDescent="0.3">
      <c r="A2902" s="30" t="s">
        <v>31</v>
      </c>
      <c r="B2902" s="31" t="s">
        <v>25</v>
      </c>
      <c r="C2902" s="31" t="s">
        <v>26</v>
      </c>
      <c r="D2902" s="31" t="s">
        <v>348</v>
      </c>
      <c r="E2902" s="33">
        <v>5185.3599999999997</v>
      </c>
      <c r="F2902" s="34">
        <v>321</v>
      </c>
    </row>
    <row r="2903" spans="1:6" x14ac:dyDescent="0.3">
      <c r="A2903" s="35" t="s">
        <v>48</v>
      </c>
      <c r="B2903" s="36" t="s">
        <v>15</v>
      </c>
      <c r="C2903" s="36" t="s">
        <v>36</v>
      </c>
      <c r="D2903" s="36" t="s">
        <v>338</v>
      </c>
      <c r="E2903" s="38">
        <v>6974.95</v>
      </c>
      <c r="F2903" s="39">
        <v>58</v>
      </c>
    </row>
    <row r="2904" spans="1:6" x14ac:dyDescent="0.3">
      <c r="A2904" s="30" t="s">
        <v>70</v>
      </c>
      <c r="B2904" s="31" t="s">
        <v>32</v>
      </c>
      <c r="C2904" s="31" t="s">
        <v>50</v>
      </c>
      <c r="D2904" s="40" t="s">
        <v>322</v>
      </c>
      <c r="E2904" s="33">
        <v>90.36</v>
      </c>
      <c r="F2904" s="34">
        <v>73</v>
      </c>
    </row>
    <row r="2905" spans="1:6" x14ac:dyDescent="0.3">
      <c r="A2905" s="35" t="s">
        <v>67</v>
      </c>
      <c r="B2905" s="36" t="s">
        <v>7</v>
      </c>
      <c r="C2905" s="36" t="s">
        <v>59</v>
      </c>
      <c r="D2905" s="37">
        <v>45631</v>
      </c>
      <c r="E2905" s="38">
        <v>10203.469999999999</v>
      </c>
      <c r="F2905" s="39">
        <v>109</v>
      </c>
    </row>
    <row r="2906" spans="1:6" x14ac:dyDescent="0.3">
      <c r="A2906" s="30" t="s">
        <v>71</v>
      </c>
      <c r="B2906" s="31" t="s">
        <v>25</v>
      </c>
      <c r="C2906" s="31" t="s">
        <v>73</v>
      </c>
      <c r="D2906" s="32">
        <v>45386</v>
      </c>
      <c r="E2906" s="33">
        <v>5081.5200000000004</v>
      </c>
      <c r="F2906" s="34">
        <v>148</v>
      </c>
    </row>
    <row r="2907" spans="1:6" x14ac:dyDescent="0.3">
      <c r="A2907" s="35" t="s">
        <v>77</v>
      </c>
      <c r="B2907" s="36" t="s">
        <v>15</v>
      </c>
      <c r="C2907" s="36" t="s">
        <v>33</v>
      </c>
      <c r="D2907" s="36" t="s">
        <v>287</v>
      </c>
      <c r="E2907" s="38">
        <v>7166.62</v>
      </c>
      <c r="F2907" s="39">
        <v>381</v>
      </c>
    </row>
    <row r="2908" spans="1:6" x14ac:dyDescent="0.3">
      <c r="A2908" s="30" t="s">
        <v>45</v>
      </c>
      <c r="B2908" s="31" t="s">
        <v>35</v>
      </c>
      <c r="C2908" s="31" t="s">
        <v>36</v>
      </c>
      <c r="D2908" s="32">
        <v>45507</v>
      </c>
      <c r="E2908" s="33">
        <v>7026.54</v>
      </c>
      <c r="F2908" s="34">
        <v>95</v>
      </c>
    </row>
    <row r="2909" spans="1:6" x14ac:dyDescent="0.3">
      <c r="A2909" s="35" t="s">
        <v>37</v>
      </c>
      <c r="B2909" s="36" t="s">
        <v>10</v>
      </c>
      <c r="C2909" s="36" t="s">
        <v>59</v>
      </c>
      <c r="D2909" s="36" t="s">
        <v>358</v>
      </c>
      <c r="E2909" s="38">
        <v>8265.32</v>
      </c>
      <c r="F2909" s="39">
        <v>251</v>
      </c>
    </row>
    <row r="2910" spans="1:6" x14ac:dyDescent="0.3">
      <c r="A2910" s="30" t="s">
        <v>64</v>
      </c>
      <c r="B2910" s="31" t="s">
        <v>10</v>
      </c>
      <c r="C2910" s="31" t="s">
        <v>8</v>
      </c>
      <c r="D2910" s="31" t="s">
        <v>289</v>
      </c>
      <c r="E2910" s="33">
        <v>1516.19</v>
      </c>
      <c r="F2910" s="34">
        <v>53</v>
      </c>
    </row>
    <row r="2911" spans="1:6" x14ac:dyDescent="0.3">
      <c r="A2911" s="35" t="s">
        <v>67</v>
      </c>
      <c r="B2911" s="36" t="s">
        <v>7</v>
      </c>
      <c r="C2911" s="36" t="s">
        <v>20</v>
      </c>
      <c r="D2911" s="36" t="s">
        <v>319</v>
      </c>
      <c r="E2911" s="38">
        <v>1258.54</v>
      </c>
      <c r="F2911" s="39">
        <v>72</v>
      </c>
    </row>
    <row r="2912" spans="1:6" x14ac:dyDescent="0.3">
      <c r="A2912" s="30" t="s">
        <v>40</v>
      </c>
      <c r="B2912" s="31" t="s">
        <v>7</v>
      </c>
      <c r="C2912" s="31" t="s">
        <v>26</v>
      </c>
      <c r="D2912" s="31" t="s">
        <v>333</v>
      </c>
      <c r="E2912" s="33">
        <v>3506.38</v>
      </c>
      <c r="F2912" s="34">
        <v>126</v>
      </c>
    </row>
    <row r="2913" spans="1:6" x14ac:dyDescent="0.3">
      <c r="A2913" s="35" t="s">
        <v>83</v>
      </c>
      <c r="B2913" s="36" t="s">
        <v>10</v>
      </c>
      <c r="C2913" s="36" t="s">
        <v>75</v>
      </c>
      <c r="D2913" s="37">
        <v>45416</v>
      </c>
      <c r="E2913" s="38">
        <v>10969</v>
      </c>
      <c r="F2913" s="39">
        <v>83</v>
      </c>
    </row>
    <row r="2914" spans="1:6" x14ac:dyDescent="0.3">
      <c r="A2914" s="30" t="s">
        <v>77</v>
      </c>
      <c r="B2914" s="31" t="s">
        <v>7</v>
      </c>
      <c r="C2914" s="31" t="s">
        <v>73</v>
      </c>
      <c r="D2914" s="31" t="s">
        <v>300</v>
      </c>
      <c r="E2914" s="33">
        <v>8442.19</v>
      </c>
      <c r="F2914" s="34">
        <v>347</v>
      </c>
    </row>
    <row r="2915" spans="1:6" x14ac:dyDescent="0.3">
      <c r="A2915" s="35" t="s">
        <v>64</v>
      </c>
      <c r="B2915" s="36" t="s">
        <v>15</v>
      </c>
      <c r="C2915" s="36" t="s">
        <v>26</v>
      </c>
      <c r="D2915" s="37">
        <v>45359</v>
      </c>
      <c r="E2915" s="38">
        <v>11000.85</v>
      </c>
      <c r="F2915" s="39">
        <v>112</v>
      </c>
    </row>
    <row r="2916" spans="1:6" x14ac:dyDescent="0.3">
      <c r="A2916" s="30" t="s">
        <v>12</v>
      </c>
      <c r="B2916" s="31" t="s">
        <v>35</v>
      </c>
      <c r="C2916" s="31" t="s">
        <v>59</v>
      </c>
      <c r="D2916" s="32">
        <v>45603</v>
      </c>
      <c r="E2916" s="33">
        <v>6987.59</v>
      </c>
      <c r="F2916" s="34">
        <v>4</v>
      </c>
    </row>
    <row r="2917" spans="1:6" x14ac:dyDescent="0.3">
      <c r="A2917" s="35" t="s">
        <v>64</v>
      </c>
      <c r="B2917" s="36" t="s">
        <v>25</v>
      </c>
      <c r="C2917" s="36" t="s">
        <v>36</v>
      </c>
      <c r="D2917" s="37">
        <v>45599</v>
      </c>
      <c r="E2917" s="38">
        <v>3735</v>
      </c>
      <c r="F2917" s="39">
        <v>21</v>
      </c>
    </row>
    <row r="2918" spans="1:6" x14ac:dyDescent="0.3">
      <c r="A2918" s="30" t="s">
        <v>28</v>
      </c>
      <c r="B2918" s="31" t="s">
        <v>7</v>
      </c>
      <c r="C2918" s="31" t="s">
        <v>13</v>
      </c>
      <c r="D2918" s="32">
        <v>45566</v>
      </c>
      <c r="E2918" s="33">
        <v>17346.79</v>
      </c>
      <c r="F2918" s="34">
        <v>32</v>
      </c>
    </row>
    <row r="2919" spans="1:6" x14ac:dyDescent="0.3">
      <c r="A2919" s="35" t="s">
        <v>45</v>
      </c>
      <c r="B2919" s="36" t="s">
        <v>7</v>
      </c>
      <c r="C2919" s="36" t="s">
        <v>87</v>
      </c>
      <c r="D2919" s="37">
        <v>45386</v>
      </c>
      <c r="E2919" s="38">
        <v>16517.2</v>
      </c>
      <c r="F2919" s="39">
        <v>349</v>
      </c>
    </row>
    <row r="2920" spans="1:6" x14ac:dyDescent="0.3">
      <c r="A2920" s="30" t="s">
        <v>37</v>
      </c>
      <c r="B2920" s="31" t="s">
        <v>15</v>
      </c>
      <c r="C2920" s="31" t="s">
        <v>26</v>
      </c>
      <c r="D2920" s="31" t="s">
        <v>358</v>
      </c>
      <c r="E2920" s="33">
        <v>7642.94</v>
      </c>
      <c r="F2920" s="34">
        <v>778</v>
      </c>
    </row>
    <row r="2921" spans="1:6" x14ac:dyDescent="0.3">
      <c r="A2921" s="35" t="s">
        <v>40</v>
      </c>
      <c r="B2921" s="36" t="s">
        <v>25</v>
      </c>
      <c r="C2921" s="36" t="s">
        <v>42</v>
      </c>
      <c r="D2921" s="37">
        <v>45511</v>
      </c>
      <c r="E2921" s="38">
        <v>10337.23</v>
      </c>
      <c r="F2921" s="39">
        <v>49</v>
      </c>
    </row>
    <row r="2922" spans="1:6" x14ac:dyDescent="0.3">
      <c r="A2922" s="30" t="s">
        <v>14</v>
      </c>
      <c r="B2922" s="31" t="s">
        <v>7</v>
      </c>
      <c r="C2922" s="31" t="s">
        <v>42</v>
      </c>
      <c r="D2922" s="32">
        <v>45630</v>
      </c>
      <c r="E2922" s="33">
        <v>1367.24</v>
      </c>
      <c r="F2922" s="34">
        <v>384</v>
      </c>
    </row>
    <row r="2923" spans="1:6" x14ac:dyDescent="0.3">
      <c r="A2923" s="35" t="s">
        <v>29</v>
      </c>
      <c r="B2923" s="36" t="s">
        <v>35</v>
      </c>
      <c r="C2923" s="36" t="s">
        <v>57</v>
      </c>
      <c r="D2923" s="36" t="s">
        <v>285</v>
      </c>
      <c r="E2923" s="38">
        <v>570.58000000000004</v>
      </c>
      <c r="F2923" s="39">
        <v>191</v>
      </c>
    </row>
    <row r="2924" spans="1:6" x14ac:dyDescent="0.3">
      <c r="A2924" s="30" t="s">
        <v>83</v>
      </c>
      <c r="B2924" s="31" t="s">
        <v>7</v>
      </c>
      <c r="C2924" s="31" t="s">
        <v>75</v>
      </c>
      <c r="D2924" s="32">
        <v>45479</v>
      </c>
      <c r="E2924" s="33">
        <v>2012.27</v>
      </c>
      <c r="F2924" s="34">
        <v>259</v>
      </c>
    </row>
    <row r="2925" spans="1:6" x14ac:dyDescent="0.3">
      <c r="A2925" s="35" t="s">
        <v>22</v>
      </c>
      <c r="B2925" s="36" t="s">
        <v>35</v>
      </c>
      <c r="C2925" s="36" t="s">
        <v>65</v>
      </c>
      <c r="D2925" s="36" t="s">
        <v>271</v>
      </c>
      <c r="E2925" s="38">
        <v>1469.24</v>
      </c>
      <c r="F2925" s="39">
        <v>29</v>
      </c>
    </row>
    <row r="2926" spans="1:6" x14ac:dyDescent="0.3">
      <c r="A2926" s="30" t="s">
        <v>53</v>
      </c>
      <c r="B2926" s="31" t="s">
        <v>32</v>
      </c>
      <c r="C2926" s="31" t="s">
        <v>20</v>
      </c>
      <c r="D2926" s="31" t="s">
        <v>315</v>
      </c>
      <c r="E2926" s="33">
        <v>10020.18</v>
      </c>
      <c r="F2926" s="34">
        <v>113</v>
      </c>
    </row>
    <row r="2927" spans="1:6" x14ac:dyDescent="0.3">
      <c r="A2927" s="35" t="s">
        <v>58</v>
      </c>
      <c r="B2927" s="36" t="s">
        <v>35</v>
      </c>
      <c r="C2927" s="36" t="s">
        <v>8</v>
      </c>
      <c r="D2927" s="37">
        <v>45508</v>
      </c>
      <c r="E2927" s="38">
        <v>1914.65</v>
      </c>
      <c r="F2927" s="39">
        <v>304</v>
      </c>
    </row>
    <row r="2928" spans="1:6" x14ac:dyDescent="0.3">
      <c r="A2928" s="30" t="s">
        <v>19</v>
      </c>
      <c r="B2928" s="31" t="s">
        <v>10</v>
      </c>
      <c r="C2928" s="31" t="s">
        <v>75</v>
      </c>
      <c r="D2928" s="40" t="s">
        <v>44</v>
      </c>
      <c r="E2928" s="33">
        <v>49</v>
      </c>
      <c r="F2928" s="34">
        <v>363</v>
      </c>
    </row>
    <row r="2929" spans="1:6" x14ac:dyDescent="0.3">
      <c r="A2929" s="35" t="s">
        <v>9</v>
      </c>
      <c r="B2929" s="36" t="s">
        <v>7</v>
      </c>
      <c r="C2929" s="36" t="s">
        <v>87</v>
      </c>
      <c r="D2929" s="36" t="s">
        <v>268</v>
      </c>
      <c r="E2929" s="38">
        <v>2794.33</v>
      </c>
      <c r="F2929" s="39">
        <v>21</v>
      </c>
    </row>
    <row r="2930" spans="1:6" x14ac:dyDescent="0.3">
      <c r="A2930" s="30" t="s">
        <v>31</v>
      </c>
      <c r="B2930" s="31" t="s">
        <v>15</v>
      </c>
      <c r="C2930" s="31" t="s">
        <v>90</v>
      </c>
      <c r="D2930" s="31" t="s">
        <v>326</v>
      </c>
      <c r="E2930" s="33">
        <v>3192.06</v>
      </c>
      <c r="F2930" s="34">
        <v>54</v>
      </c>
    </row>
    <row r="2931" spans="1:6" x14ac:dyDescent="0.3">
      <c r="A2931" s="35" t="s">
        <v>58</v>
      </c>
      <c r="B2931" s="36" t="s">
        <v>32</v>
      </c>
      <c r="C2931" s="36" t="s">
        <v>36</v>
      </c>
      <c r="D2931" s="36" t="s">
        <v>306</v>
      </c>
      <c r="E2931" s="38">
        <v>2447.37</v>
      </c>
      <c r="F2931" s="39">
        <v>98</v>
      </c>
    </row>
    <row r="2932" spans="1:6" x14ac:dyDescent="0.3">
      <c r="A2932" s="30" t="s">
        <v>12</v>
      </c>
      <c r="B2932" s="31" t="s">
        <v>15</v>
      </c>
      <c r="C2932" s="31" t="s">
        <v>73</v>
      </c>
      <c r="D2932" s="31" t="s">
        <v>361</v>
      </c>
      <c r="E2932" s="33">
        <v>7696.46</v>
      </c>
      <c r="F2932" s="34">
        <v>313</v>
      </c>
    </row>
    <row r="2933" spans="1:6" x14ac:dyDescent="0.3">
      <c r="A2933" s="35" t="s">
        <v>58</v>
      </c>
      <c r="B2933" s="36" t="s">
        <v>32</v>
      </c>
      <c r="C2933" s="36" t="s">
        <v>42</v>
      </c>
      <c r="D2933" s="36" t="s">
        <v>351</v>
      </c>
      <c r="E2933" s="38">
        <v>14731.55</v>
      </c>
      <c r="F2933" s="39">
        <v>132</v>
      </c>
    </row>
    <row r="2934" spans="1:6" x14ac:dyDescent="0.3">
      <c r="A2934" s="30" t="s">
        <v>41</v>
      </c>
      <c r="B2934" s="31" t="s">
        <v>35</v>
      </c>
      <c r="C2934" s="31" t="s">
        <v>33</v>
      </c>
      <c r="D2934" s="32">
        <v>45570</v>
      </c>
      <c r="E2934" s="33">
        <v>9321.64</v>
      </c>
      <c r="F2934" s="34">
        <v>111</v>
      </c>
    </row>
    <row r="2935" spans="1:6" x14ac:dyDescent="0.3">
      <c r="A2935" s="35" t="s">
        <v>34</v>
      </c>
      <c r="B2935" s="36" t="s">
        <v>15</v>
      </c>
      <c r="C2935" s="36" t="s">
        <v>75</v>
      </c>
      <c r="D2935" s="36" t="s">
        <v>339</v>
      </c>
      <c r="E2935" s="38">
        <v>18473.63</v>
      </c>
      <c r="F2935" s="39">
        <v>88</v>
      </c>
    </row>
    <row r="2936" spans="1:6" x14ac:dyDescent="0.3">
      <c r="A2936" s="30" t="s">
        <v>83</v>
      </c>
      <c r="B2936" s="31" t="s">
        <v>10</v>
      </c>
      <c r="C2936" s="31" t="s">
        <v>90</v>
      </c>
      <c r="D2936" s="31" t="s">
        <v>280</v>
      </c>
      <c r="E2936" s="33">
        <v>7437.55</v>
      </c>
      <c r="F2936" s="34">
        <v>54</v>
      </c>
    </row>
    <row r="2937" spans="1:6" x14ac:dyDescent="0.3">
      <c r="A2937" s="35" t="s">
        <v>9</v>
      </c>
      <c r="B2937" s="36" t="s">
        <v>35</v>
      </c>
      <c r="C2937" s="36" t="s">
        <v>26</v>
      </c>
      <c r="D2937" s="37">
        <v>45631</v>
      </c>
      <c r="E2937" s="38">
        <v>14581.33</v>
      </c>
      <c r="F2937" s="39">
        <v>58</v>
      </c>
    </row>
    <row r="2938" spans="1:6" x14ac:dyDescent="0.3">
      <c r="A2938" s="30" t="s">
        <v>70</v>
      </c>
      <c r="B2938" s="31" t="s">
        <v>25</v>
      </c>
      <c r="C2938" s="31" t="s">
        <v>87</v>
      </c>
      <c r="D2938" s="31" t="s">
        <v>348</v>
      </c>
      <c r="E2938" s="33">
        <v>3389.96</v>
      </c>
      <c r="F2938" s="34">
        <v>115</v>
      </c>
    </row>
    <row r="2939" spans="1:6" x14ac:dyDescent="0.3">
      <c r="A2939" s="35" t="s">
        <v>41</v>
      </c>
      <c r="B2939" s="36" t="s">
        <v>10</v>
      </c>
      <c r="C2939" s="36" t="s">
        <v>50</v>
      </c>
      <c r="D2939" s="36" t="s">
        <v>344</v>
      </c>
      <c r="E2939" s="38">
        <v>3968.38</v>
      </c>
      <c r="F2939" s="39">
        <v>182</v>
      </c>
    </row>
    <row r="2940" spans="1:6" x14ac:dyDescent="0.3">
      <c r="A2940" s="30" t="s">
        <v>12</v>
      </c>
      <c r="B2940" s="31" t="s">
        <v>15</v>
      </c>
      <c r="C2940" s="31" t="s">
        <v>65</v>
      </c>
      <c r="D2940" s="31" t="s">
        <v>341</v>
      </c>
      <c r="E2940" s="33">
        <v>1084.26</v>
      </c>
      <c r="F2940" s="34">
        <v>120</v>
      </c>
    </row>
    <row r="2941" spans="1:6" x14ac:dyDescent="0.3">
      <c r="A2941" s="35" t="s">
        <v>29</v>
      </c>
      <c r="B2941" s="36" t="s">
        <v>25</v>
      </c>
      <c r="C2941" s="36" t="s">
        <v>36</v>
      </c>
      <c r="D2941" s="37">
        <v>45475</v>
      </c>
      <c r="E2941" s="38">
        <v>20690.2</v>
      </c>
      <c r="F2941" s="39">
        <v>51</v>
      </c>
    </row>
    <row r="2942" spans="1:6" x14ac:dyDescent="0.3">
      <c r="A2942" s="30" t="s">
        <v>70</v>
      </c>
      <c r="B2942" s="31" t="s">
        <v>35</v>
      </c>
      <c r="C2942" s="31" t="s">
        <v>18</v>
      </c>
      <c r="D2942" s="31" t="s">
        <v>329</v>
      </c>
      <c r="E2942" s="33">
        <v>8929.57</v>
      </c>
      <c r="F2942" s="34">
        <v>121</v>
      </c>
    </row>
    <row r="2943" spans="1:6" x14ac:dyDescent="0.3">
      <c r="A2943" s="35" t="s">
        <v>14</v>
      </c>
      <c r="B2943" s="36" t="s">
        <v>10</v>
      </c>
      <c r="C2943" s="36" t="s">
        <v>87</v>
      </c>
      <c r="D2943" s="37">
        <v>45299</v>
      </c>
      <c r="E2943" s="38">
        <v>15497.27</v>
      </c>
      <c r="F2943" s="39">
        <v>85</v>
      </c>
    </row>
    <row r="2944" spans="1:6" x14ac:dyDescent="0.3">
      <c r="A2944" s="30" t="s">
        <v>6</v>
      </c>
      <c r="B2944" s="31" t="s">
        <v>15</v>
      </c>
      <c r="C2944" s="31" t="s">
        <v>46</v>
      </c>
      <c r="D2944" s="31" t="s">
        <v>339</v>
      </c>
      <c r="E2944" s="33">
        <v>9172.1299999999992</v>
      </c>
      <c r="F2944" s="34">
        <v>30</v>
      </c>
    </row>
    <row r="2945" spans="1:6" x14ac:dyDescent="0.3">
      <c r="A2945" s="35" t="s">
        <v>12</v>
      </c>
      <c r="B2945" s="36" t="s">
        <v>35</v>
      </c>
      <c r="C2945" s="36" t="s">
        <v>57</v>
      </c>
      <c r="D2945" s="36" t="s">
        <v>333</v>
      </c>
      <c r="E2945" s="38">
        <v>6093.61</v>
      </c>
      <c r="F2945" s="39">
        <v>104</v>
      </c>
    </row>
    <row r="2946" spans="1:6" x14ac:dyDescent="0.3">
      <c r="A2946" s="30" t="s">
        <v>41</v>
      </c>
      <c r="B2946" s="31" t="s">
        <v>7</v>
      </c>
      <c r="C2946" s="31" t="s">
        <v>36</v>
      </c>
      <c r="D2946" s="31" t="s">
        <v>340</v>
      </c>
      <c r="E2946" s="33">
        <v>9144.7900000000009</v>
      </c>
      <c r="F2946" s="34">
        <v>156</v>
      </c>
    </row>
    <row r="2947" spans="1:6" x14ac:dyDescent="0.3">
      <c r="A2947" s="35" t="s">
        <v>40</v>
      </c>
      <c r="B2947" s="36" t="s">
        <v>25</v>
      </c>
      <c r="C2947" s="36" t="s">
        <v>36</v>
      </c>
      <c r="D2947" s="36" t="s">
        <v>321</v>
      </c>
      <c r="E2947" s="38">
        <v>5902.91</v>
      </c>
      <c r="F2947" s="39">
        <v>31</v>
      </c>
    </row>
    <row r="2948" spans="1:6" x14ac:dyDescent="0.3">
      <c r="A2948" s="30" t="s">
        <v>53</v>
      </c>
      <c r="B2948" s="31" t="s">
        <v>15</v>
      </c>
      <c r="C2948" s="31" t="s">
        <v>20</v>
      </c>
      <c r="D2948" s="31" t="s">
        <v>300</v>
      </c>
      <c r="E2948" s="33">
        <v>3277.47</v>
      </c>
      <c r="F2948" s="34">
        <v>131</v>
      </c>
    </row>
    <row r="2949" spans="1:6" x14ac:dyDescent="0.3">
      <c r="A2949" s="35" t="s">
        <v>22</v>
      </c>
      <c r="B2949" s="36" t="s">
        <v>25</v>
      </c>
      <c r="C2949" s="36" t="s">
        <v>57</v>
      </c>
      <c r="D2949" s="37">
        <v>45571</v>
      </c>
      <c r="E2949" s="38">
        <v>9759.5300000000007</v>
      </c>
      <c r="F2949" s="39">
        <v>424</v>
      </c>
    </row>
    <row r="2950" spans="1:6" x14ac:dyDescent="0.3">
      <c r="A2950" s="30" t="s">
        <v>48</v>
      </c>
      <c r="B2950" s="31" t="s">
        <v>35</v>
      </c>
      <c r="C2950" s="31" t="s">
        <v>100</v>
      </c>
      <c r="D2950" s="31" t="s">
        <v>303</v>
      </c>
      <c r="E2950" s="33">
        <v>2504.9</v>
      </c>
      <c r="F2950" s="34">
        <v>7</v>
      </c>
    </row>
    <row r="2951" spans="1:6" x14ac:dyDescent="0.3">
      <c r="A2951" s="35" t="s">
        <v>70</v>
      </c>
      <c r="B2951" s="36" t="s">
        <v>25</v>
      </c>
      <c r="C2951" s="36" t="s">
        <v>60</v>
      </c>
      <c r="D2951" s="37">
        <v>45508</v>
      </c>
      <c r="E2951" s="38">
        <v>1527.99</v>
      </c>
      <c r="F2951" s="39">
        <v>107</v>
      </c>
    </row>
    <row r="2952" spans="1:6" x14ac:dyDescent="0.3">
      <c r="A2952" s="30" t="s">
        <v>79</v>
      </c>
      <c r="B2952" s="31" t="s">
        <v>15</v>
      </c>
      <c r="C2952" s="31" t="s">
        <v>87</v>
      </c>
      <c r="D2952" s="32">
        <v>45479</v>
      </c>
      <c r="E2952" s="33">
        <v>3767.49</v>
      </c>
      <c r="F2952" s="34">
        <v>65</v>
      </c>
    </row>
    <row r="2953" spans="1:6" x14ac:dyDescent="0.3">
      <c r="A2953" s="35" t="s">
        <v>31</v>
      </c>
      <c r="B2953" s="36" t="s">
        <v>15</v>
      </c>
      <c r="C2953" s="36" t="s">
        <v>11</v>
      </c>
      <c r="D2953" s="37">
        <v>45567</v>
      </c>
      <c r="E2953" s="38">
        <v>9452.18</v>
      </c>
      <c r="F2953" s="39">
        <v>42</v>
      </c>
    </row>
    <row r="2954" spans="1:6" x14ac:dyDescent="0.3">
      <c r="A2954" s="30" t="s">
        <v>41</v>
      </c>
      <c r="B2954" s="31" t="s">
        <v>15</v>
      </c>
      <c r="C2954" s="31" t="s">
        <v>26</v>
      </c>
      <c r="D2954" s="31" t="s">
        <v>295</v>
      </c>
      <c r="E2954" s="33">
        <v>764.63</v>
      </c>
      <c r="F2954" s="34">
        <v>441</v>
      </c>
    </row>
    <row r="2955" spans="1:6" x14ac:dyDescent="0.3">
      <c r="A2955" s="35" t="s">
        <v>22</v>
      </c>
      <c r="B2955" s="36" t="s">
        <v>10</v>
      </c>
      <c r="C2955" s="36" t="s">
        <v>87</v>
      </c>
      <c r="D2955" s="36" t="s">
        <v>339</v>
      </c>
      <c r="E2955" s="38">
        <v>2432.75</v>
      </c>
      <c r="F2955" s="39">
        <v>535</v>
      </c>
    </row>
    <row r="2956" spans="1:6" x14ac:dyDescent="0.3">
      <c r="A2956" s="30" t="s">
        <v>9</v>
      </c>
      <c r="B2956" s="31" t="s">
        <v>15</v>
      </c>
      <c r="C2956" s="31" t="s">
        <v>26</v>
      </c>
      <c r="D2956" s="31" t="s">
        <v>301</v>
      </c>
      <c r="E2956" s="33">
        <v>779.04</v>
      </c>
      <c r="F2956" s="34">
        <v>134</v>
      </c>
    </row>
    <row r="2957" spans="1:6" x14ac:dyDescent="0.3">
      <c r="A2957" s="35" t="s">
        <v>19</v>
      </c>
      <c r="B2957" s="36" t="s">
        <v>32</v>
      </c>
      <c r="C2957" s="36" t="s">
        <v>60</v>
      </c>
      <c r="D2957" s="36" t="s">
        <v>319</v>
      </c>
      <c r="E2957" s="38">
        <v>5050.53</v>
      </c>
      <c r="F2957" s="39">
        <v>85</v>
      </c>
    </row>
    <row r="2958" spans="1:6" x14ac:dyDescent="0.3">
      <c r="A2958" s="30" t="s">
        <v>9</v>
      </c>
      <c r="B2958" s="31" t="s">
        <v>35</v>
      </c>
      <c r="C2958" s="31" t="s">
        <v>75</v>
      </c>
      <c r="D2958" s="31" t="s">
        <v>343</v>
      </c>
      <c r="E2958" s="33">
        <v>2727.35</v>
      </c>
      <c r="F2958" s="34">
        <v>293</v>
      </c>
    </row>
    <row r="2959" spans="1:6" x14ac:dyDescent="0.3">
      <c r="A2959" s="35" t="s">
        <v>37</v>
      </c>
      <c r="B2959" s="36" t="s">
        <v>35</v>
      </c>
      <c r="C2959" s="36" t="s">
        <v>100</v>
      </c>
      <c r="D2959" s="36" t="s">
        <v>349</v>
      </c>
      <c r="E2959" s="38">
        <v>9089.2099999999991</v>
      </c>
      <c r="F2959" s="39">
        <v>602</v>
      </c>
    </row>
    <row r="2960" spans="1:6" x14ac:dyDescent="0.3">
      <c r="A2960" s="30" t="s">
        <v>70</v>
      </c>
      <c r="B2960" s="31" t="s">
        <v>35</v>
      </c>
      <c r="C2960" s="31" t="s">
        <v>57</v>
      </c>
      <c r="D2960" s="31" t="s">
        <v>299</v>
      </c>
      <c r="E2960" s="33">
        <v>881.49</v>
      </c>
      <c r="F2960" s="34">
        <v>152</v>
      </c>
    </row>
    <row r="2961" spans="1:6" x14ac:dyDescent="0.3">
      <c r="A2961" s="35" t="s">
        <v>71</v>
      </c>
      <c r="B2961" s="36" t="s">
        <v>10</v>
      </c>
      <c r="C2961" s="36" t="s">
        <v>20</v>
      </c>
      <c r="D2961" s="37">
        <v>45330</v>
      </c>
      <c r="E2961" s="38">
        <v>227.55</v>
      </c>
      <c r="F2961" s="39">
        <v>225</v>
      </c>
    </row>
    <row r="2962" spans="1:6" x14ac:dyDescent="0.3">
      <c r="A2962" s="30" t="s">
        <v>77</v>
      </c>
      <c r="B2962" s="31" t="s">
        <v>25</v>
      </c>
      <c r="C2962" s="31" t="s">
        <v>100</v>
      </c>
      <c r="D2962" s="31" t="s">
        <v>331</v>
      </c>
      <c r="E2962" s="33">
        <v>14193.58</v>
      </c>
      <c r="F2962" s="34">
        <v>102</v>
      </c>
    </row>
    <row r="2963" spans="1:6" x14ac:dyDescent="0.3">
      <c r="A2963" s="35" t="s">
        <v>34</v>
      </c>
      <c r="B2963" s="36" t="s">
        <v>25</v>
      </c>
      <c r="C2963" s="36" t="s">
        <v>33</v>
      </c>
      <c r="D2963" s="37">
        <v>45293</v>
      </c>
      <c r="E2963" s="38">
        <v>7459.88</v>
      </c>
      <c r="F2963" s="39">
        <v>23</v>
      </c>
    </row>
    <row r="2964" spans="1:6" x14ac:dyDescent="0.3">
      <c r="A2964" s="30" t="s">
        <v>14</v>
      </c>
      <c r="B2964" s="31" t="s">
        <v>35</v>
      </c>
      <c r="C2964" s="31" t="s">
        <v>100</v>
      </c>
      <c r="D2964" s="31" t="s">
        <v>273</v>
      </c>
      <c r="E2964" s="33">
        <v>6578.55</v>
      </c>
      <c r="F2964" s="34">
        <v>312</v>
      </c>
    </row>
    <row r="2965" spans="1:6" x14ac:dyDescent="0.3">
      <c r="A2965" s="35" t="s">
        <v>70</v>
      </c>
      <c r="B2965" s="36" t="s">
        <v>15</v>
      </c>
      <c r="C2965" s="36" t="s">
        <v>46</v>
      </c>
      <c r="D2965" s="36" t="s">
        <v>266</v>
      </c>
      <c r="E2965" s="38">
        <v>8975.44</v>
      </c>
      <c r="F2965" s="39">
        <v>137</v>
      </c>
    </row>
    <row r="2966" spans="1:6" x14ac:dyDescent="0.3">
      <c r="A2966" s="30" t="s">
        <v>58</v>
      </c>
      <c r="B2966" s="31" t="s">
        <v>10</v>
      </c>
      <c r="C2966" s="31" t="s">
        <v>33</v>
      </c>
      <c r="D2966" s="31" t="s">
        <v>339</v>
      </c>
      <c r="E2966" s="33">
        <v>852.29</v>
      </c>
      <c r="F2966" s="34">
        <v>123</v>
      </c>
    </row>
    <row r="2967" spans="1:6" x14ac:dyDescent="0.3">
      <c r="A2967" s="35" t="s">
        <v>53</v>
      </c>
      <c r="B2967" s="36" t="s">
        <v>7</v>
      </c>
      <c r="C2967" s="36" t="s">
        <v>36</v>
      </c>
      <c r="D2967" s="36" t="s">
        <v>346</v>
      </c>
      <c r="E2967" s="38">
        <v>1955.2</v>
      </c>
      <c r="F2967" s="39">
        <v>250</v>
      </c>
    </row>
    <row r="2968" spans="1:6" x14ac:dyDescent="0.3">
      <c r="A2968" s="30" t="s">
        <v>12</v>
      </c>
      <c r="B2968" s="31" t="s">
        <v>32</v>
      </c>
      <c r="C2968" s="31" t="s">
        <v>13</v>
      </c>
      <c r="D2968" s="32">
        <v>45540</v>
      </c>
      <c r="E2968" s="33">
        <v>323.29000000000002</v>
      </c>
      <c r="F2968" s="34">
        <v>72</v>
      </c>
    </row>
    <row r="2969" spans="1:6" x14ac:dyDescent="0.3">
      <c r="A2969" s="35" t="s">
        <v>64</v>
      </c>
      <c r="B2969" s="36" t="s">
        <v>32</v>
      </c>
      <c r="C2969" s="36" t="s">
        <v>18</v>
      </c>
      <c r="D2969" s="36" t="s">
        <v>321</v>
      </c>
      <c r="E2969" s="38">
        <v>542.39</v>
      </c>
      <c r="F2969" s="39">
        <v>86</v>
      </c>
    </row>
    <row r="2970" spans="1:6" x14ac:dyDescent="0.3">
      <c r="A2970" s="30" t="s">
        <v>48</v>
      </c>
      <c r="B2970" s="31" t="s">
        <v>10</v>
      </c>
      <c r="C2970" s="31" t="s">
        <v>59</v>
      </c>
      <c r="D2970" s="32">
        <v>45389</v>
      </c>
      <c r="E2970" s="33">
        <v>7666.62</v>
      </c>
      <c r="F2970" s="34">
        <v>347</v>
      </c>
    </row>
    <row r="2971" spans="1:6" x14ac:dyDescent="0.3">
      <c r="A2971" s="35" t="s">
        <v>19</v>
      </c>
      <c r="B2971" s="36" t="s">
        <v>25</v>
      </c>
      <c r="C2971" s="36" t="s">
        <v>50</v>
      </c>
      <c r="D2971" s="37">
        <v>45357</v>
      </c>
      <c r="E2971" s="38">
        <v>1826.32</v>
      </c>
      <c r="F2971" s="39">
        <v>13</v>
      </c>
    </row>
    <row r="2972" spans="1:6" x14ac:dyDescent="0.3">
      <c r="A2972" s="30" t="s">
        <v>41</v>
      </c>
      <c r="B2972" s="31" t="s">
        <v>25</v>
      </c>
      <c r="C2972" s="31" t="s">
        <v>13</v>
      </c>
      <c r="D2972" s="31" t="s">
        <v>288</v>
      </c>
      <c r="E2972" s="33">
        <v>11510.68</v>
      </c>
      <c r="F2972" s="34">
        <v>30</v>
      </c>
    </row>
    <row r="2973" spans="1:6" x14ac:dyDescent="0.3">
      <c r="A2973" s="35" t="s">
        <v>79</v>
      </c>
      <c r="B2973" s="36" t="s">
        <v>25</v>
      </c>
      <c r="C2973" s="36" t="s">
        <v>20</v>
      </c>
      <c r="D2973" s="37">
        <v>45540</v>
      </c>
      <c r="E2973" s="38">
        <v>12263.85</v>
      </c>
      <c r="F2973" s="39">
        <v>223</v>
      </c>
    </row>
    <row r="2974" spans="1:6" x14ac:dyDescent="0.3">
      <c r="A2974" s="30" t="s">
        <v>70</v>
      </c>
      <c r="B2974" s="31" t="s">
        <v>10</v>
      </c>
      <c r="C2974" s="31" t="s">
        <v>100</v>
      </c>
      <c r="D2974" s="32">
        <v>45449</v>
      </c>
      <c r="E2974" s="33">
        <v>3878.6</v>
      </c>
      <c r="F2974" s="34">
        <v>108</v>
      </c>
    </row>
    <row r="2975" spans="1:6" x14ac:dyDescent="0.3">
      <c r="A2975" s="35" t="s">
        <v>70</v>
      </c>
      <c r="B2975" s="36" t="s">
        <v>10</v>
      </c>
      <c r="C2975" s="36" t="s">
        <v>38</v>
      </c>
      <c r="D2975" s="37">
        <v>45389</v>
      </c>
      <c r="E2975" s="38">
        <v>8328.52</v>
      </c>
      <c r="F2975" s="39">
        <v>238</v>
      </c>
    </row>
    <row r="2976" spans="1:6" x14ac:dyDescent="0.3">
      <c r="A2976" s="30" t="s">
        <v>28</v>
      </c>
      <c r="B2976" s="31" t="s">
        <v>25</v>
      </c>
      <c r="C2976" s="31" t="s">
        <v>38</v>
      </c>
      <c r="D2976" s="32">
        <v>45449</v>
      </c>
      <c r="E2976" s="33">
        <v>1666.46</v>
      </c>
      <c r="F2976" s="34">
        <v>98</v>
      </c>
    </row>
    <row r="2977" spans="1:6" x14ac:dyDescent="0.3">
      <c r="A2977" s="35" t="s">
        <v>79</v>
      </c>
      <c r="B2977" s="36" t="s">
        <v>15</v>
      </c>
      <c r="C2977" s="36" t="s">
        <v>65</v>
      </c>
      <c r="D2977" s="36" t="s">
        <v>336</v>
      </c>
      <c r="E2977" s="38">
        <v>1754.11</v>
      </c>
      <c r="F2977" s="39">
        <v>95</v>
      </c>
    </row>
    <row r="2978" spans="1:6" x14ac:dyDescent="0.3">
      <c r="A2978" s="30" t="s">
        <v>64</v>
      </c>
      <c r="B2978" s="31" t="s">
        <v>25</v>
      </c>
      <c r="C2978" s="31" t="s">
        <v>42</v>
      </c>
      <c r="D2978" s="31" t="s">
        <v>303</v>
      </c>
      <c r="E2978" s="33">
        <v>2390.6999999999998</v>
      </c>
      <c r="F2978" s="34">
        <v>274</v>
      </c>
    </row>
    <row r="2979" spans="1:6" x14ac:dyDescent="0.3">
      <c r="A2979" s="35" t="s">
        <v>83</v>
      </c>
      <c r="B2979" s="36" t="s">
        <v>25</v>
      </c>
      <c r="C2979" s="36" t="s">
        <v>90</v>
      </c>
      <c r="D2979" s="36" t="s">
        <v>283</v>
      </c>
      <c r="E2979" s="38">
        <v>8546.7199999999993</v>
      </c>
      <c r="F2979" s="39">
        <v>41</v>
      </c>
    </row>
    <row r="2980" spans="1:6" x14ac:dyDescent="0.3">
      <c r="A2980" s="30" t="s">
        <v>31</v>
      </c>
      <c r="B2980" s="31" t="s">
        <v>35</v>
      </c>
      <c r="C2980" s="31" t="s">
        <v>60</v>
      </c>
      <c r="D2980" s="31" t="s">
        <v>309</v>
      </c>
      <c r="E2980" s="33">
        <v>4115.57</v>
      </c>
      <c r="F2980" s="34">
        <v>274</v>
      </c>
    </row>
    <row r="2981" spans="1:6" x14ac:dyDescent="0.3">
      <c r="A2981" s="35" t="s">
        <v>12</v>
      </c>
      <c r="B2981" s="36" t="s">
        <v>25</v>
      </c>
      <c r="C2981" s="36" t="s">
        <v>18</v>
      </c>
      <c r="D2981" s="37">
        <v>45566</v>
      </c>
      <c r="E2981" s="38">
        <v>787.38</v>
      </c>
      <c r="F2981" s="39">
        <v>95</v>
      </c>
    </row>
    <row r="2982" spans="1:6" x14ac:dyDescent="0.3">
      <c r="A2982" s="30" t="s">
        <v>28</v>
      </c>
      <c r="B2982" s="31" t="s">
        <v>32</v>
      </c>
      <c r="C2982" s="31" t="s">
        <v>60</v>
      </c>
      <c r="D2982" s="31" t="s">
        <v>289</v>
      </c>
      <c r="E2982" s="33">
        <v>2095.7800000000002</v>
      </c>
      <c r="F2982" s="34">
        <v>8</v>
      </c>
    </row>
    <row r="2983" spans="1:6" x14ac:dyDescent="0.3">
      <c r="A2983" s="35" t="s">
        <v>45</v>
      </c>
      <c r="B2983" s="36" t="s">
        <v>25</v>
      </c>
      <c r="C2983" s="36" t="s">
        <v>11</v>
      </c>
      <c r="D2983" s="36" t="s">
        <v>298</v>
      </c>
      <c r="E2983" s="38">
        <v>5220.8</v>
      </c>
      <c r="F2983" s="39">
        <v>267</v>
      </c>
    </row>
    <row r="2984" spans="1:6" x14ac:dyDescent="0.3">
      <c r="A2984" s="30" t="s">
        <v>19</v>
      </c>
      <c r="B2984" s="31" t="s">
        <v>7</v>
      </c>
      <c r="C2984" s="31" t="s">
        <v>18</v>
      </c>
      <c r="D2984" s="31" t="s">
        <v>332</v>
      </c>
      <c r="E2984" s="33">
        <v>11264.45</v>
      </c>
      <c r="F2984" s="34">
        <v>340</v>
      </c>
    </row>
    <row r="2985" spans="1:6" x14ac:dyDescent="0.3">
      <c r="A2985" s="35" t="s">
        <v>19</v>
      </c>
      <c r="B2985" s="36" t="s">
        <v>7</v>
      </c>
      <c r="C2985" s="36" t="s">
        <v>73</v>
      </c>
      <c r="D2985" s="37">
        <v>45508</v>
      </c>
      <c r="E2985" s="38">
        <v>5477.33</v>
      </c>
      <c r="F2985" s="39">
        <v>341</v>
      </c>
    </row>
    <row r="2986" spans="1:6" x14ac:dyDescent="0.3">
      <c r="A2986" s="30" t="s">
        <v>45</v>
      </c>
      <c r="B2986" s="31" t="s">
        <v>32</v>
      </c>
      <c r="C2986" s="31" t="s">
        <v>38</v>
      </c>
      <c r="D2986" s="31" t="s">
        <v>315</v>
      </c>
      <c r="E2986" s="33">
        <v>3389</v>
      </c>
      <c r="F2986" s="34">
        <v>160</v>
      </c>
    </row>
    <row r="2987" spans="1:6" x14ac:dyDescent="0.3">
      <c r="A2987" s="35" t="s">
        <v>67</v>
      </c>
      <c r="B2987" s="36" t="s">
        <v>15</v>
      </c>
      <c r="C2987" s="36" t="s">
        <v>60</v>
      </c>
      <c r="D2987" s="36" t="s">
        <v>361</v>
      </c>
      <c r="E2987" s="38">
        <v>11559.52</v>
      </c>
      <c r="F2987" s="39">
        <v>413</v>
      </c>
    </row>
    <row r="2988" spans="1:6" x14ac:dyDescent="0.3">
      <c r="A2988" s="30" t="s">
        <v>34</v>
      </c>
      <c r="B2988" s="31" t="s">
        <v>10</v>
      </c>
      <c r="C2988" s="31" t="s">
        <v>73</v>
      </c>
      <c r="D2988" s="32">
        <v>45325</v>
      </c>
      <c r="E2988" s="33">
        <v>1676.82</v>
      </c>
      <c r="F2988" s="34">
        <v>2</v>
      </c>
    </row>
    <row r="2989" spans="1:6" x14ac:dyDescent="0.3">
      <c r="A2989" s="35" t="s">
        <v>6</v>
      </c>
      <c r="B2989" s="36" t="s">
        <v>32</v>
      </c>
      <c r="C2989" s="36" t="s">
        <v>33</v>
      </c>
      <c r="D2989" s="36" t="s">
        <v>271</v>
      </c>
      <c r="E2989" s="38">
        <v>437.48</v>
      </c>
      <c r="F2989" s="39">
        <v>174</v>
      </c>
    </row>
    <row r="2990" spans="1:6" x14ac:dyDescent="0.3">
      <c r="A2990" s="30" t="s">
        <v>55</v>
      </c>
      <c r="B2990" s="31" t="s">
        <v>25</v>
      </c>
      <c r="C2990" s="31" t="s">
        <v>100</v>
      </c>
      <c r="D2990" s="31" t="s">
        <v>268</v>
      </c>
      <c r="E2990" s="33">
        <v>8487.6299999999992</v>
      </c>
      <c r="F2990" s="34">
        <v>40</v>
      </c>
    </row>
    <row r="2991" spans="1:6" x14ac:dyDescent="0.3">
      <c r="A2991" s="35" t="s">
        <v>19</v>
      </c>
      <c r="B2991" s="36" t="s">
        <v>10</v>
      </c>
      <c r="C2991" s="36" t="s">
        <v>75</v>
      </c>
      <c r="D2991" s="41" t="s">
        <v>170</v>
      </c>
      <c r="E2991" s="38">
        <v>53.85</v>
      </c>
      <c r="F2991" s="39">
        <v>399</v>
      </c>
    </row>
    <row r="2992" spans="1:6" x14ac:dyDescent="0.3">
      <c r="A2992" s="30" t="s">
        <v>53</v>
      </c>
      <c r="B2992" s="31" t="s">
        <v>7</v>
      </c>
      <c r="C2992" s="31" t="s">
        <v>65</v>
      </c>
      <c r="D2992" s="31" t="s">
        <v>350</v>
      </c>
      <c r="E2992" s="33">
        <v>9863.6200000000008</v>
      </c>
      <c r="F2992" s="34">
        <v>167</v>
      </c>
    </row>
    <row r="2993" spans="1:6" x14ac:dyDescent="0.3">
      <c r="A2993" s="35" t="s">
        <v>55</v>
      </c>
      <c r="B2993" s="36" t="s">
        <v>35</v>
      </c>
      <c r="C2993" s="36" t="s">
        <v>75</v>
      </c>
      <c r="D2993" s="36" t="s">
        <v>293</v>
      </c>
      <c r="E2993" s="38">
        <v>3468.53</v>
      </c>
      <c r="F2993" s="39">
        <v>166</v>
      </c>
    </row>
    <row r="2994" spans="1:6" x14ac:dyDescent="0.3">
      <c r="A2994" s="30" t="s">
        <v>45</v>
      </c>
      <c r="B2994" s="31" t="s">
        <v>7</v>
      </c>
      <c r="C2994" s="31" t="s">
        <v>13</v>
      </c>
      <c r="D2994" s="31" t="s">
        <v>341</v>
      </c>
      <c r="E2994" s="33">
        <v>6770.35</v>
      </c>
      <c r="F2994" s="34">
        <v>173</v>
      </c>
    </row>
    <row r="2995" spans="1:6" x14ac:dyDescent="0.3">
      <c r="A2995" s="35" t="s">
        <v>83</v>
      </c>
      <c r="B2995" s="36" t="s">
        <v>25</v>
      </c>
      <c r="C2995" s="36" t="s">
        <v>36</v>
      </c>
      <c r="D2995" s="37">
        <v>45386</v>
      </c>
      <c r="E2995" s="38">
        <v>564.14</v>
      </c>
      <c r="F2995" s="39">
        <v>50</v>
      </c>
    </row>
    <row r="2996" spans="1:6" x14ac:dyDescent="0.3">
      <c r="A2996" s="30" t="s">
        <v>28</v>
      </c>
      <c r="B2996" s="31" t="s">
        <v>10</v>
      </c>
      <c r="C2996" s="31" t="s">
        <v>11</v>
      </c>
      <c r="D2996" s="32">
        <v>45543</v>
      </c>
      <c r="E2996" s="33">
        <v>21044.07</v>
      </c>
      <c r="F2996" s="34">
        <v>210</v>
      </c>
    </row>
    <row r="2997" spans="1:6" x14ac:dyDescent="0.3">
      <c r="A2997" s="35" t="s">
        <v>28</v>
      </c>
      <c r="B2997" s="36" t="s">
        <v>25</v>
      </c>
      <c r="C2997" s="36" t="s">
        <v>42</v>
      </c>
      <c r="D2997" s="36" t="s">
        <v>358</v>
      </c>
      <c r="E2997" s="38">
        <v>677.38</v>
      </c>
      <c r="F2997" s="39">
        <v>327</v>
      </c>
    </row>
    <row r="2998" spans="1:6" x14ac:dyDescent="0.3">
      <c r="A2998" s="30" t="s">
        <v>67</v>
      </c>
      <c r="B2998" s="31" t="s">
        <v>35</v>
      </c>
      <c r="C2998" s="31" t="s">
        <v>59</v>
      </c>
      <c r="D2998" s="31" t="s">
        <v>273</v>
      </c>
      <c r="E2998" s="33">
        <v>4368.01</v>
      </c>
      <c r="F2998" s="34">
        <v>29</v>
      </c>
    </row>
    <row r="2999" spans="1:6" x14ac:dyDescent="0.3">
      <c r="A2999" s="35" t="s">
        <v>12</v>
      </c>
      <c r="B2999" s="36" t="s">
        <v>25</v>
      </c>
      <c r="C2999" s="36" t="s">
        <v>33</v>
      </c>
      <c r="D2999" s="36" t="s">
        <v>295</v>
      </c>
      <c r="E2999" s="38">
        <v>9866.2000000000007</v>
      </c>
      <c r="F2999" s="39">
        <v>306</v>
      </c>
    </row>
    <row r="3000" spans="1:6" x14ac:dyDescent="0.3">
      <c r="A3000" s="30" t="s">
        <v>83</v>
      </c>
      <c r="B3000" s="31" t="s">
        <v>35</v>
      </c>
      <c r="C3000" s="31" t="s">
        <v>18</v>
      </c>
      <c r="D3000" s="31" t="s">
        <v>314</v>
      </c>
      <c r="E3000" s="33">
        <v>10723.86</v>
      </c>
      <c r="F3000" s="34">
        <v>125</v>
      </c>
    </row>
    <row r="3001" spans="1:6" x14ac:dyDescent="0.3">
      <c r="A3001" s="35" t="s">
        <v>53</v>
      </c>
      <c r="B3001" s="36" t="s">
        <v>35</v>
      </c>
      <c r="C3001" s="36" t="s">
        <v>100</v>
      </c>
      <c r="D3001" s="36" t="s">
        <v>303</v>
      </c>
      <c r="E3001" s="38">
        <v>5443.42</v>
      </c>
      <c r="F3001" s="39">
        <v>284</v>
      </c>
    </row>
    <row r="3002" spans="1:6" x14ac:dyDescent="0.3">
      <c r="A3002" s="30" t="s">
        <v>31</v>
      </c>
      <c r="B3002" s="31" t="s">
        <v>35</v>
      </c>
      <c r="C3002" s="31" t="s">
        <v>42</v>
      </c>
      <c r="D3002" s="32">
        <v>45568</v>
      </c>
      <c r="E3002" s="33">
        <v>1312.35</v>
      </c>
      <c r="F3002" s="34">
        <v>200</v>
      </c>
    </row>
    <row r="3003" spans="1:6" x14ac:dyDescent="0.3">
      <c r="A3003" s="35" t="s">
        <v>19</v>
      </c>
      <c r="B3003" s="36" t="s">
        <v>7</v>
      </c>
      <c r="C3003" s="36" t="s">
        <v>42</v>
      </c>
      <c r="D3003" s="36" t="s">
        <v>283</v>
      </c>
      <c r="E3003" s="38">
        <v>8471.68</v>
      </c>
      <c r="F3003" s="39">
        <v>162</v>
      </c>
    </row>
    <row r="3004" spans="1:6" x14ac:dyDescent="0.3">
      <c r="A3004" s="30" t="s">
        <v>9</v>
      </c>
      <c r="B3004" s="31" t="s">
        <v>25</v>
      </c>
      <c r="C3004" s="31" t="s">
        <v>36</v>
      </c>
      <c r="D3004" s="32">
        <v>45294</v>
      </c>
      <c r="E3004" s="33">
        <v>5774.6</v>
      </c>
      <c r="F3004" s="34">
        <v>178</v>
      </c>
    </row>
    <row r="3005" spans="1:6" x14ac:dyDescent="0.3">
      <c r="A3005" s="35" t="s">
        <v>34</v>
      </c>
      <c r="B3005" s="36" t="s">
        <v>7</v>
      </c>
      <c r="C3005" s="36" t="s">
        <v>38</v>
      </c>
      <c r="D3005" s="36" t="s">
        <v>297</v>
      </c>
      <c r="E3005" s="38">
        <v>3780.02</v>
      </c>
      <c r="F3005" s="39">
        <v>97</v>
      </c>
    </row>
    <row r="3006" spans="1:6" x14ac:dyDescent="0.3">
      <c r="A3006" s="30" t="s">
        <v>19</v>
      </c>
      <c r="B3006" s="31" t="s">
        <v>7</v>
      </c>
      <c r="C3006" s="31" t="s">
        <v>46</v>
      </c>
      <c r="D3006" s="32">
        <v>45603</v>
      </c>
      <c r="E3006" s="33">
        <v>6831.03</v>
      </c>
      <c r="F3006" s="34">
        <v>243</v>
      </c>
    </row>
    <row r="3007" spans="1:6" x14ac:dyDescent="0.3">
      <c r="A3007" s="35" t="s">
        <v>37</v>
      </c>
      <c r="B3007" s="36" t="s">
        <v>25</v>
      </c>
      <c r="C3007" s="36" t="s">
        <v>8</v>
      </c>
      <c r="D3007" s="37">
        <v>45325</v>
      </c>
      <c r="E3007" s="38">
        <v>4834.51</v>
      </c>
      <c r="F3007" s="39">
        <v>63</v>
      </c>
    </row>
    <row r="3008" spans="1:6" x14ac:dyDescent="0.3">
      <c r="A3008" s="30" t="s">
        <v>6</v>
      </c>
      <c r="B3008" s="31" t="s">
        <v>32</v>
      </c>
      <c r="C3008" s="31" t="s">
        <v>73</v>
      </c>
      <c r="D3008" s="32">
        <v>45385</v>
      </c>
      <c r="E3008" s="33">
        <v>8119.65</v>
      </c>
      <c r="F3008" s="34">
        <v>143</v>
      </c>
    </row>
    <row r="3009" spans="1:6" x14ac:dyDescent="0.3">
      <c r="A3009" s="35" t="s">
        <v>70</v>
      </c>
      <c r="B3009" s="36" t="s">
        <v>7</v>
      </c>
      <c r="C3009" s="36" t="s">
        <v>11</v>
      </c>
      <c r="D3009" s="36" t="s">
        <v>348</v>
      </c>
      <c r="E3009" s="38">
        <v>4811.88</v>
      </c>
      <c r="F3009" s="39">
        <v>242</v>
      </c>
    </row>
    <row r="3010" spans="1:6" x14ac:dyDescent="0.3">
      <c r="A3010" s="30" t="s">
        <v>70</v>
      </c>
      <c r="B3010" s="31" t="s">
        <v>32</v>
      </c>
      <c r="C3010" s="31" t="s">
        <v>65</v>
      </c>
      <c r="D3010" s="31" t="s">
        <v>302</v>
      </c>
      <c r="E3010" s="33">
        <v>5930.01</v>
      </c>
      <c r="F3010" s="34">
        <v>252</v>
      </c>
    </row>
    <row r="3011" spans="1:6" x14ac:dyDescent="0.3">
      <c r="A3011" s="35" t="s">
        <v>40</v>
      </c>
      <c r="B3011" s="36" t="s">
        <v>35</v>
      </c>
      <c r="C3011" s="36" t="s">
        <v>33</v>
      </c>
      <c r="D3011" s="36" t="s">
        <v>328</v>
      </c>
      <c r="E3011" s="38">
        <v>3040.05</v>
      </c>
      <c r="F3011" s="39">
        <v>426</v>
      </c>
    </row>
    <row r="3012" spans="1:6" x14ac:dyDescent="0.3">
      <c r="A3012" s="30" t="s">
        <v>58</v>
      </c>
      <c r="B3012" s="31" t="s">
        <v>10</v>
      </c>
      <c r="C3012" s="31" t="s">
        <v>57</v>
      </c>
      <c r="D3012" s="31" t="s">
        <v>326</v>
      </c>
      <c r="E3012" s="33">
        <v>1126.8699999999999</v>
      </c>
      <c r="F3012" s="34">
        <v>23</v>
      </c>
    </row>
    <row r="3013" spans="1:6" x14ac:dyDescent="0.3">
      <c r="A3013" s="35" t="s">
        <v>28</v>
      </c>
      <c r="B3013" s="36" t="s">
        <v>35</v>
      </c>
      <c r="C3013" s="36" t="s">
        <v>18</v>
      </c>
      <c r="D3013" s="36" t="s">
        <v>336</v>
      </c>
      <c r="E3013" s="38">
        <v>6051.65</v>
      </c>
      <c r="F3013" s="39">
        <v>490</v>
      </c>
    </row>
    <row r="3014" spans="1:6" x14ac:dyDescent="0.3">
      <c r="A3014" s="30" t="s">
        <v>31</v>
      </c>
      <c r="B3014" s="31" t="s">
        <v>35</v>
      </c>
      <c r="C3014" s="31" t="s">
        <v>87</v>
      </c>
      <c r="D3014" s="32">
        <v>45353</v>
      </c>
      <c r="E3014" s="33">
        <v>12279.35</v>
      </c>
      <c r="F3014" s="34">
        <v>162</v>
      </c>
    </row>
    <row r="3015" spans="1:6" x14ac:dyDescent="0.3">
      <c r="A3015" s="35" t="s">
        <v>28</v>
      </c>
      <c r="B3015" s="36" t="s">
        <v>10</v>
      </c>
      <c r="C3015" s="36" t="s">
        <v>18</v>
      </c>
      <c r="D3015" s="36" t="s">
        <v>297</v>
      </c>
      <c r="E3015" s="38">
        <v>7091.66</v>
      </c>
      <c r="F3015" s="39">
        <v>28</v>
      </c>
    </row>
    <row r="3016" spans="1:6" x14ac:dyDescent="0.3">
      <c r="A3016" s="30" t="s">
        <v>14</v>
      </c>
      <c r="B3016" s="31" t="s">
        <v>15</v>
      </c>
      <c r="C3016" s="31" t="s">
        <v>38</v>
      </c>
      <c r="D3016" s="31" t="s">
        <v>363</v>
      </c>
      <c r="E3016" s="33">
        <v>3160.97</v>
      </c>
      <c r="F3016" s="34">
        <v>25</v>
      </c>
    </row>
    <row r="3017" spans="1:6" x14ac:dyDescent="0.3">
      <c r="A3017" s="35" t="s">
        <v>28</v>
      </c>
      <c r="B3017" s="36" t="s">
        <v>10</v>
      </c>
      <c r="C3017" s="36" t="s">
        <v>50</v>
      </c>
      <c r="D3017" s="36" t="s">
        <v>313</v>
      </c>
      <c r="E3017" s="38">
        <v>1408.28</v>
      </c>
      <c r="F3017" s="39">
        <v>35</v>
      </c>
    </row>
    <row r="3018" spans="1:6" x14ac:dyDescent="0.3">
      <c r="A3018" s="30" t="s">
        <v>9</v>
      </c>
      <c r="B3018" s="31" t="s">
        <v>7</v>
      </c>
      <c r="C3018" s="31" t="s">
        <v>36</v>
      </c>
      <c r="D3018" s="31" t="s">
        <v>282</v>
      </c>
      <c r="E3018" s="33">
        <v>5776.61</v>
      </c>
      <c r="F3018" s="34">
        <v>114</v>
      </c>
    </row>
    <row r="3019" spans="1:6" x14ac:dyDescent="0.3">
      <c r="A3019" s="35" t="s">
        <v>64</v>
      </c>
      <c r="B3019" s="36" t="s">
        <v>10</v>
      </c>
      <c r="C3019" s="36" t="s">
        <v>90</v>
      </c>
      <c r="D3019" s="36" t="s">
        <v>270</v>
      </c>
      <c r="E3019" s="38">
        <v>4890.59</v>
      </c>
      <c r="F3019" s="39">
        <v>274</v>
      </c>
    </row>
    <row r="3020" spans="1:6" x14ac:dyDescent="0.3">
      <c r="A3020" s="30" t="s">
        <v>6</v>
      </c>
      <c r="B3020" s="31" t="s">
        <v>7</v>
      </c>
      <c r="C3020" s="31" t="s">
        <v>23</v>
      </c>
      <c r="D3020" s="31" t="s">
        <v>275</v>
      </c>
      <c r="E3020" s="33">
        <v>2048.13</v>
      </c>
      <c r="F3020" s="34">
        <v>172</v>
      </c>
    </row>
    <row r="3021" spans="1:6" x14ac:dyDescent="0.3">
      <c r="A3021" s="35" t="s">
        <v>31</v>
      </c>
      <c r="B3021" s="36" t="s">
        <v>35</v>
      </c>
      <c r="C3021" s="36" t="s">
        <v>59</v>
      </c>
      <c r="D3021" s="36" t="s">
        <v>324</v>
      </c>
      <c r="E3021" s="38">
        <v>4590.46</v>
      </c>
      <c r="F3021" s="39">
        <v>1</v>
      </c>
    </row>
    <row r="3022" spans="1:6" x14ac:dyDescent="0.3">
      <c r="A3022" s="30" t="s">
        <v>22</v>
      </c>
      <c r="B3022" s="31" t="s">
        <v>10</v>
      </c>
      <c r="C3022" s="31" t="s">
        <v>42</v>
      </c>
      <c r="D3022" s="32">
        <v>45357</v>
      </c>
      <c r="E3022" s="33">
        <v>8665.99</v>
      </c>
      <c r="F3022" s="34">
        <v>162</v>
      </c>
    </row>
    <row r="3023" spans="1:6" x14ac:dyDescent="0.3">
      <c r="A3023" s="35" t="s">
        <v>34</v>
      </c>
      <c r="B3023" s="36" t="s">
        <v>35</v>
      </c>
      <c r="C3023" s="36" t="s">
        <v>18</v>
      </c>
      <c r="D3023" s="36" t="s">
        <v>354</v>
      </c>
      <c r="E3023" s="38">
        <v>2202.46</v>
      </c>
      <c r="F3023" s="39">
        <v>97</v>
      </c>
    </row>
    <row r="3024" spans="1:6" x14ac:dyDescent="0.3">
      <c r="A3024" s="30" t="s">
        <v>34</v>
      </c>
      <c r="B3024" s="31" t="s">
        <v>10</v>
      </c>
      <c r="C3024" s="31" t="s">
        <v>36</v>
      </c>
      <c r="D3024" s="32">
        <v>45630</v>
      </c>
      <c r="E3024" s="33">
        <v>11720.11</v>
      </c>
      <c r="F3024" s="34">
        <v>48</v>
      </c>
    </row>
    <row r="3025" spans="1:6" x14ac:dyDescent="0.3">
      <c r="A3025" s="35" t="s">
        <v>29</v>
      </c>
      <c r="B3025" s="36" t="s">
        <v>15</v>
      </c>
      <c r="C3025" s="36" t="s">
        <v>73</v>
      </c>
      <c r="D3025" s="36" t="s">
        <v>311</v>
      </c>
      <c r="E3025" s="38">
        <v>7884.86</v>
      </c>
      <c r="F3025" s="39">
        <v>266</v>
      </c>
    </row>
    <row r="3026" spans="1:6" x14ac:dyDescent="0.3">
      <c r="A3026" s="30" t="s">
        <v>37</v>
      </c>
      <c r="B3026" s="31" t="s">
        <v>7</v>
      </c>
      <c r="C3026" s="31" t="s">
        <v>26</v>
      </c>
      <c r="D3026" s="32">
        <v>45447</v>
      </c>
      <c r="E3026" s="33">
        <v>3857.88</v>
      </c>
      <c r="F3026" s="34">
        <v>303</v>
      </c>
    </row>
    <row r="3027" spans="1:6" x14ac:dyDescent="0.3">
      <c r="A3027" s="35" t="s">
        <v>55</v>
      </c>
      <c r="B3027" s="36" t="s">
        <v>15</v>
      </c>
      <c r="C3027" s="36" t="s">
        <v>26</v>
      </c>
      <c r="D3027" s="37">
        <v>45330</v>
      </c>
      <c r="E3027" s="38">
        <v>10123.959999999999</v>
      </c>
      <c r="F3027" s="39">
        <v>84</v>
      </c>
    </row>
    <row r="3028" spans="1:6" x14ac:dyDescent="0.3">
      <c r="A3028" s="30" t="s">
        <v>12</v>
      </c>
      <c r="B3028" s="31" t="s">
        <v>15</v>
      </c>
      <c r="C3028" s="31" t="s">
        <v>36</v>
      </c>
      <c r="D3028" s="32">
        <v>45630</v>
      </c>
      <c r="E3028" s="33">
        <v>8170.88</v>
      </c>
      <c r="F3028" s="34">
        <v>137</v>
      </c>
    </row>
    <row r="3029" spans="1:6" x14ac:dyDescent="0.3">
      <c r="A3029" s="35" t="s">
        <v>19</v>
      </c>
      <c r="B3029" s="36" t="s">
        <v>10</v>
      </c>
      <c r="C3029" s="36" t="s">
        <v>38</v>
      </c>
      <c r="D3029" s="36" t="s">
        <v>347</v>
      </c>
      <c r="E3029" s="38">
        <v>19390.61</v>
      </c>
      <c r="F3029" s="39">
        <v>141</v>
      </c>
    </row>
    <row r="3030" spans="1:6" x14ac:dyDescent="0.3">
      <c r="A3030" s="30" t="s">
        <v>9</v>
      </c>
      <c r="B3030" s="31" t="s">
        <v>25</v>
      </c>
      <c r="C3030" s="31" t="s">
        <v>87</v>
      </c>
      <c r="D3030" s="31" t="s">
        <v>345</v>
      </c>
      <c r="E3030" s="33">
        <v>10197.43</v>
      </c>
      <c r="F3030" s="34">
        <v>24</v>
      </c>
    </row>
    <row r="3031" spans="1:6" x14ac:dyDescent="0.3">
      <c r="A3031" s="35" t="s">
        <v>53</v>
      </c>
      <c r="B3031" s="36" t="s">
        <v>10</v>
      </c>
      <c r="C3031" s="36" t="s">
        <v>13</v>
      </c>
      <c r="D3031" s="37">
        <v>45540</v>
      </c>
      <c r="E3031" s="38">
        <v>5188.18</v>
      </c>
      <c r="F3031" s="39">
        <v>5</v>
      </c>
    </row>
    <row r="3032" spans="1:6" x14ac:dyDescent="0.3">
      <c r="A3032" s="30" t="s">
        <v>67</v>
      </c>
      <c r="B3032" s="31" t="s">
        <v>15</v>
      </c>
      <c r="C3032" s="31" t="s">
        <v>87</v>
      </c>
      <c r="D3032" s="32">
        <v>45543</v>
      </c>
      <c r="E3032" s="33">
        <v>350.27</v>
      </c>
      <c r="F3032" s="34">
        <v>117</v>
      </c>
    </row>
    <row r="3033" spans="1:6" x14ac:dyDescent="0.3">
      <c r="A3033" s="35" t="s">
        <v>77</v>
      </c>
      <c r="B3033" s="36" t="s">
        <v>35</v>
      </c>
      <c r="C3033" s="36" t="s">
        <v>75</v>
      </c>
      <c r="D3033" s="36" t="s">
        <v>364</v>
      </c>
      <c r="E3033" s="38">
        <v>3766.32</v>
      </c>
      <c r="F3033" s="39">
        <v>300</v>
      </c>
    </row>
    <row r="3034" spans="1:6" x14ac:dyDescent="0.3">
      <c r="A3034" s="30" t="s">
        <v>28</v>
      </c>
      <c r="B3034" s="31" t="s">
        <v>10</v>
      </c>
      <c r="C3034" s="31" t="s">
        <v>100</v>
      </c>
      <c r="D3034" s="31" t="s">
        <v>298</v>
      </c>
      <c r="E3034" s="33">
        <v>4888.37</v>
      </c>
      <c r="F3034" s="34">
        <v>435</v>
      </c>
    </row>
    <row r="3035" spans="1:6" x14ac:dyDescent="0.3">
      <c r="A3035" s="35" t="s">
        <v>6</v>
      </c>
      <c r="B3035" s="36" t="s">
        <v>35</v>
      </c>
      <c r="C3035" s="36" t="s">
        <v>59</v>
      </c>
      <c r="D3035" s="36" t="s">
        <v>267</v>
      </c>
      <c r="E3035" s="38">
        <v>5230.3599999999997</v>
      </c>
      <c r="F3035" s="39">
        <v>142</v>
      </c>
    </row>
    <row r="3036" spans="1:6" x14ac:dyDescent="0.3">
      <c r="A3036" s="30" t="s">
        <v>67</v>
      </c>
      <c r="B3036" s="31" t="s">
        <v>15</v>
      </c>
      <c r="C3036" s="31" t="s">
        <v>65</v>
      </c>
      <c r="D3036" s="31" t="s">
        <v>320</v>
      </c>
      <c r="E3036" s="33">
        <v>3790.18</v>
      </c>
      <c r="F3036" s="34">
        <v>168</v>
      </c>
    </row>
    <row r="3037" spans="1:6" x14ac:dyDescent="0.3">
      <c r="A3037" s="35" t="s">
        <v>79</v>
      </c>
      <c r="B3037" s="36" t="s">
        <v>35</v>
      </c>
      <c r="C3037" s="36" t="s">
        <v>23</v>
      </c>
      <c r="D3037" s="36" t="s">
        <v>358</v>
      </c>
      <c r="E3037" s="38">
        <v>302.18</v>
      </c>
      <c r="F3037" s="39">
        <v>233</v>
      </c>
    </row>
    <row r="3038" spans="1:6" x14ac:dyDescent="0.3">
      <c r="A3038" s="30" t="s">
        <v>37</v>
      </c>
      <c r="B3038" s="31" t="s">
        <v>32</v>
      </c>
      <c r="C3038" s="31" t="s">
        <v>36</v>
      </c>
      <c r="D3038" s="31" t="s">
        <v>318</v>
      </c>
      <c r="E3038" s="33">
        <v>1017.17</v>
      </c>
      <c r="F3038" s="34">
        <v>123</v>
      </c>
    </row>
    <row r="3039" spans="1:6" x14ac:dyDescent="0.3">
      <c r="A3039" s="35" t="s">
        <v>37</v>
      </c>
      <c r="B3039" s="36" t="s">
        <v>35</v>
      </c>
      <c r="C3039" s="36" t="s">
        <v>57</v>
      </c>
      <c r="D3039" s="37">
        <v>45328</v>
      </c>
      <c r="E3039" s="38">
        <v>241.36</v>
      </c>
      <c r="F3039" s="39">
        <v>17</v>
      </c>
    </row>
    <row r="3040" spans="1:6" x14ac:dyDescent="0.3">
      <c r="A3040" s="30" t="s">
        <v>22</v>
      </c>
      <c r="B3040" s="31" t="s">
        <v>32</v>
      </c>
      <c r="C3040" s="31" t="s">
        <v>11</v>
      </c>
      <c r="D3040" s="31" t="s">
        <v>283</v>
      </c>
      <c r="E3040" s="33">
        <v>8347.2999999999993</v>
      </c>
      <c r="F3040" s="34">
        <v>138</v>
      </c>
    </row>
    <row r="3041" spans="1:6" x14ac:dyDescent="0.3">
      <c r="A3041" s="35" t="s">
        <v>79</v>
      </c>
      <c r="B3041" s="36" t="s">
        <v>25</v>
      </c>
      <c r="C3041" s="36" t="s">
        <v>73</v>
      </c>
      <c r="D3041" s="37">
        <v>45567</v>
      </c>
      <c r="E3041" s="38">
        <v>6291.74</v>
      </c>
      <c r="F3041" s="39">
        <v>88</v>
      </c>
    </row>
    <row r="3042" spans="1:6" x14ac:dyDescent="0.3">
      <c r="A3042" s="30" t="s">
        <v>40</v>
      </c>
      <c r="B3042" s="31" t="s">
        <v>35</v>
      </c>
      <c r="C3042" s="31" t="s">
        <v>90</v>
      </c>
      <c r="D3042" s="31" t="s">
        <v>288</v>
      </c>
      <c r="E3042" s="33">
        <v>1543.77</v>
      </c>
      <c r="F3042" s="34">
        <v>674</v>
      </c>
    </row>
    <row r="3043" spans="1:6" x14ac:dyDescent="0.3">
      <c r="A3043" s="35" t="s">
        <v>58</v>
      </c>
      <c r="B3043" s="36" t="s">
        <v>10</v>
      </c>
      <c r="C3043" s="36" t="s">
        <v>42</v>
      </c>
      <c r="D3043" s="36" t="s">
        <v>302</v>
      </c>
      <c r="E3043" s="38">
        <v>9744.5</v>
      </c>
      <c r="F3043" s="39">
        <v>225</v>
      </c>
    </row>
    <row r="3044" spans="1:6" x14ac:dyDescent="0.3">
      <c r="A3044" s="30" t="s">
        <v>71</v>
      </c>
      <c r="B3044" s="31" t="s">
        <v>7</v>
      </c>
      <c r="C3044" s="31" t="s">
        <v>8</v>
      </c>
      <c r="D3044" s="31" t="s">
        <v>296</v>
      </c>
      <c r="E3044" s="33">
        <v>5414.75</v>
      </c>
      <c r="F3044" s="34">
        <v>325</v>
      </c>
    </row>
    <row r="3045" spans="1:6" x14ac:dyDescent="0.3">
      <c r="A3045" s="35" t="s">
        <v>28</v>
      </c>
      <c r="B3045" s="36" t="s">
        <v>32</v>
      </c>
      <c r="C3045" s="36" t="s">
        <v>100</v>
      </c>
      <c r="D3045" s="36" t="s">
        <v>298</v>
      </c>
      <c r="E3045" s="38">
        <v>1898.07</v>
      </c>
      <c r="F3045" s="39">
        <v>22</v>
      </c>
    </row>
    <row r="3046" spans="1:6" x14ac:dyDescent="0.3">
      <c r="A3046" s="30" t="s">
        <v>77</v>
      </c>
      <c r="B3046" s="31" t="s">
        <v>15</v>
      </c>
      <c r="C3046" s="31" t="s">
        <v>20</v>
      </c>
      <c r="D3046" s="32">
        <v>45299</v>
      </c>
      <c r="E3046" s="33">
        <v>4911.08</v>
      </c>
      <c r="F3046" s="34">
        <v>163</v>
      </c>
    </row>
    <row r="3047" spans="1:6" x14ac:dyDescent="0.3">
      <c r="A3047" s="35" t="s">
        <v>34</v>
      </c>
      <c r="B3047" s="36" t="s">
        <v>15</v>
      </c>
      <c r="C3047" s="36" t="s">
        <v>36</v>
      </c>
      <c r="D3047" s="36" t="s">
        <v>289</v>
      </c>
      <c r="E3047" s="38">
        <v>11293.17</v>
      </c>
      <c r="F3047" s="39">
        <v>219</v>
      </c>
    </row>
    <row r="3048" spans="1:6" x14ac:dyDescent="0.3">
      <c r="A3048" s="30" t="s">
        <v>40</v>
      </c>
      <c r="B3048" s="31" t="s">
        <v>10</v>
      </c>
      <c r="C3048" s="31" t="s">
        <v>20</v>
      </c>
      <c r="D3048" s="31" t="s">
        <v>284</v>
      </c>
      <c r="E3048" s="33">
        <v>12398.37</v>
      </c>
      <c r="F3048" s="34">
        <v>161</v>
      </c>
    </row>
    <row r="3049" spans="1:6" x14ac:dyDescent="0.3">
      <c r="A3049" s="35" t="s">
        <v>53</v>
      </c>
      <c r="B3049" s="36" t="s">
        <v>32</v>
      </c>
      <c r="C3049" s="36" t="s">
        <v>57</v>
      </c>
      <c r="D3049" s="36" t="s">
        <v>365</v>
      </c>
      <c r="E3049" s="38">
        <v>1508.57</v>
      </c>
      <c r="F3049" s="39">
        <v>28</v>
      </c>
    </row>
    <row r="3050" spans="1:6" x14ac:dyDescent="0.3">
      <c r="A3050" s="30" t="s">
        <v>70</v>
      </c>
      <c r="B3050" s="31" t="s">
        <v>15</v>
      </c>
      <c r="C3050" s="31" t="s">
        <v>65</v>
      </c>
      <c r="D3050" s="31" t="s">
        <v>277</v>
      </c>
      <c r="E3050" s="33">
        <v>5869.09</v>
      </c>
      <c r="F3050" s="34">
        <v>354</v>
      </c>
    </row>
    <row r="3051" spans="1:6" x14ac:dyDescent="0.3">
      <c r="A3051" s="35" t="s">
        <v>83</v>
      </c>
      <c r="B3051" s="36" t="s">
        <v>32</v>
      </c>
      <c r="C3051" s="36" t="s">
        <v>46</v>
      </c>
      <c r="D3051" s="36" t="s">
        <v>347</v>
      </c>
      <c r="E3051" s="38">
        <v>2770.47</v>
      </c>
      <c r="F3051" s="39">
        <v>159</v>
      </c>
    </row>
    <row r="3052" spans="1:6" x14ac:dyDescent="0.3">
      <c r="A3052" s="30" t="s">
        <v>14</v>
      </c>
      <c r="B3052" s="31" t="s">
        <v>7</v>
      </c>
      <c r="C3052" s="31" t="s">
        <v>90</v>
      </c>
      <c r="D3052" s="32">
        <v>45330</v>
      </c>
      <c r="E3052" s="33">
        <v>3541.73</v>
      </c>
      <c r="F3052" s="34">
        <v>494</v>
      </c>
    </row>
    <row r="3053" spans="1:6" x14ac:dyDescent="0.3">
      <c r="A3053" s="35" t="s">
        <v>28</v>
      </c>
      <c r="B3053" s="36" t="s">
        <v>25</v>
      </c>
      <c r="C3053" s="36" t="s">
        <v>100</v>
      </c>
      <c r="D3053" s="36" t="s">
        <v>280</v>
      </c>
      <c r="E3053" s="38">
        <v>7624.41</v>
      </c>
      <c r="F3053" s="39">
        <v>139</v>
      </c>
    </row>
    <row r="3054" spans="1:6" x14ac:dyDescent="0.3">
      <c r="A3054" s="30" t="s">
        <v>19</v>
      </c>
      <c r="B3054" s="31" t="s">
        <v>10</v>
      </c>
      <c r="C3054" s="31" t="s">
        <v>11</v>
      </c>
      <c r="D3054" s="32">
        <v>45419</v>
      </c>
      <c r="E3054" s="33">
        <v>9928.42</v>
      </c>
      <c r="F3054" s="34">
        <v>130</v>
      </c>
    </row>
    <row r="3055" spans="1:6" x14ac:dyDescent="0.3">
      <c r="A3055" s="35" t="s">
        <v>19</v>
      </c>
      <c r="B3055" s="36" t="s">
        <v>10</v>
      </c>
      <c r="C3055" s="36" t="s">
        <v>75</v>
      </c>
      <c r="D3055" s="41" t="s">
        <v>273</v>
      </c>
      <c r="E3055" s="38">
        <v>53.31</v>
      </c>
      <c r="F3055" s="39">
        <v>371</v>
      </c>
    </row>
    <row r="3056" spans="1:6" x14ac:dyDescent="0.3">
      <c r="A3056" s="30" t="s">
        <v>12</v>
      </c>
      <c r="B3056" s="31" t="s">
        <v>15</v>
      </c>
      <c r="C3056" s="31" t="s">
        <v>100</v>
      </c>
      <c r="D3056" s="31" t="s">
        <v>304</v>
      </c>
      <c r="E3056" s="33">
        <v>1624.86</v>
      </c>
      <c r="F3056" s="34">
        <v>103</v>
      </c>
    </row>
    <row r="3057" spans="1:6" x14ac:dyDescent="0.3">
      <c r="A3057" s="35" t="s">
        <v>14</v>
      </c>
      <c r="B3057" s="36" t="s">
        <v>7</v>
      </c>
      <c r="C3057" s="36" t="s">
        <v>26</v>
      </c>
      <c r="D3057" s="37">
        <v>45627</v>
      </c>
      <c r="E3057" s="38">
        <v>6301.56</v>
      </c>
      <c r="F3057" s="39">
        <v>287</v>
      </c>
    </row>
    <row r="3058" spans="1:6" x14ac:dyDescent="0.3">
      <c r="A3058" s="30" t="s">
        <v>22</v>
      </c>
      <c r="B3058" s="31" t="s">
        <v>35</v>
      </c>
      <c r="C3058" s="31" t="s">
        <v>59</v>
      </c>
      <c r="D3058" s="32">
        <v>45604</v>
      </c>
      <c r="E3058" s="33">
        <v>8578.4</v>
      </c>
      <c r="F3058" s="34">
        <v>15</v>
      </c>
    </row>
    <row r="3059" spans="1:6" x14ac:dyDescent="0.3">
      <c r="A3059" s="35" t="s">
        <v>6</v>
      </c>
      <c r="B3059" s="36" t="s">
        <v>15</v>
      </c>
      <c r="C3059" s="36" t="s">
        <v>50</v>
      </c>
      <c r="D3059" s="36" t="s">
        <v>270</v>
      </c>
      <c r="E3059" s="38">
        <v>5573.57</v>
      </c>
      <c r="F3059" s="39">
        <v>372</v>
      </c>
    </row>
    <row r="3060" spans="1:6" x14ac:dyDescent="0.3">
      <c r="A3060" s="30" t="s">
        <v>53</v>
      </c>
      <c r="B3060" s="31" t="s">
        <v>7</v>
      </c>
      <c r="C3060" s="31" t="s">
        <v>87</v>
      </c>
      <c r="D3060" s="31" t="s">
        <v>322</v>
      </c>
      <c r="E3060" s="33">
        <v>3465.68</v>
      </c>
      <c r="F3060" s="34">
        <v>133</v>
      </c>
    </row>
    <row r="3061" spans="1:6" x14ac:dyDescent="0.3">
      <c r="A3061" s="35" t="s">
        <v>29</v>
      </c>
      <c r="B3061" s="36" t="s">
        <v>25</v>
      </c>
      <c r="C3061" s="36" t="s">
        <v>23</v>
      </c>
      <c r="D3061" s="37">
        <v>45480</v>
      </c>
      <c r="E3061" s="38">
        <v>1245.9100000000001</v>
      </c>
      <c r="F3061" s="39">
        <v>90</v>
      </c>
    </row>
    <row r="3062" spans="1:6" x14ac:dyDescent="0.3">
      <c r="A3062" s="30" t="s">
        <v>77</v>
      </c>
      <c r="B3062" s="31" t="s">
        <v>25</v>
      </c>
      <c r="C3062" s="31" t="s">
        <v>8</v>
      </c>
      <c r="D3062" s="32">
        <v>45599</v>
      </c>
      <c r="E3062" s="33">
        <v>8888.61</v>
      </c>
      <c r="F3062" s="34">
        <v>4</v>
      </c>
    </row>
    <row r="3063" spans="1:6" x14ac:dyDescent="0.3">
      <c r="A3063" s="35" t="s">
        <v>77</v>
      </c>
      <c r="B3063" s="36" t="s">
        <v>7</v>
      </c>
      <c r="C3063" s="36" t="s">
        <v>100</v>
      </c>
      <c r="D3063" s="36" t="s">
        <v>274</v>
      </c>
      <c r="E3063" s="38">
        <v>5931.82</v>
      </c>
      <c r="F3063" s="39">
        <v>243</v>
      </c>
    </row>
    <row r="3064" spans="1:6" x14ac:dyDescent="0.3">
      <c r="A3064" s="30" t="s">
        <v>31</v>
      </c>
      <c r="B3064" s="31" t="s">
        <v>15</v>
      </c>
      <c r="C3064" s="31" t="s">
        <v>42</v>
      </c>
      <c r="D3064" s="32">
        <v>45474</v>
      </c>
      <c r="E3064" s="33">
        <v>2620.66</v>
      </c>
      <c r="F3064" s="34">
        <v>34</v>
      </c>
    </row>
    <row r="3065" spans="1:6" x14ac:dyDescent="0.3">
      <c r="A3065" s="35" t="s">
        <v>41</v>
      </c>
      <c r="B3065" s="36" t="s">
        <v>25</v>
      </c>
      <c r="C3065" s="36" t="s">
        <v>38</v>
      </c>
      <c r="D3065" s="37">
        <v>45627</v>
      </c>
      <c r="E3065" s="38">
        <v>1284.3699999999999</v>
      </c>
      <c r="F3065" s="39">
        <v>560</v>
      </c>
    </row>
    <row r="3066" spans="1:6" x14ac:dyDescent="0.3">
      <c r="A3066" s="30" t="s">
        <v>41</v>
      </c>
      <c r="B3066" s="31" t="s">
        <v>10</v>
      </c>
      <c r="C3066" s="31" t="s">
        <v>36</v>
      </c>
      <c r="D3066" s="32">
        <v>45541</v>
      </c>
      <c r="E3066" s="33">
        <v>11033.61</v>
      </c>
      <c r="F3066" s="34">
        <v>155</v>
      </c>
    </row>
    <row r="3067" spans="1:6" x14ac:dyDescent="0.3">
      <c r="A3067" s="35" t="s">
        <v>67</v>
      </c>
      <c r="B3067" s="36" t="s">
        <v>10</v>
      </c>
      <c r="C3067" s="36" t="s">
        <v>36</v>
      </c>
      <c r="D3067" s="36" t="s">
        <v>295</v>
      </c>
      <c r="E3067" s="38">
        <v>2413.0500000000002</v>
      </c>
      <c r="F3067" s="39">
        <v>82</v>
      </c>
    </row>
    <row r="3068" spans="1:6" x14ac:dyDescent="0.3">
      <c r="A3068" s="30" t="s">
        <v>12</v>
      </c>
      <c r="B3068" s="31" t="s">
        <v>7</v>
      </c>
      <c r="C3068" s="31" t="s">
        <v>11</v>
      </c>
      <c r="D3068" s="31" t="s">
        <v>348</v>
      </c>
      <c r="E3068" s="33">
        <v>13136.08</v>
      </c>
      <c r="F3068" s="34">
        <v>90</v>
      </c>
    </row>
    <row r="3069" spans="1:6" x14ac:dyDescent="0.3">
      <c r="A3069" s="35" t="s">
        <v>45</v>
      </c>
      <c r="B3069" s="36" t="s">
        <v>7</v>
      </c>
      <c r="C3069" s="36" t="s">
        <v>73</v>
      </c>
      <c r="D3069" s="36" t="s">
        <v>313</v>
      </c>
      <c r="E3069" s="38">
        <v>14297.82</v>
      </c>
      <c r="F3069" s="39">
        <v>211</v>
      </c>
    </row>
    <row r="3070" spans="1:6" x14ac:dyDescent="0.3">
      <c r="A3070" s="30" t="s">
        <v>79</v>
      </c>
      <c r="B3070" s="31" t="s">
        <v>7</v>
      </c>
      <c r="C3070" s="31" t="s">
        <v>8</v>
      </c>
      <c r="D3070" s="31" t="s">
        <v>366</v>
      </c>
      <c r="E3070" s="33">
        <v>2837.65</v>
      </c>
      <c r="F3070" s="34">
        <v>212</v>
      </c>
    </row>
    <row r="3071" spans="1:6" x14ac:dyDescent="0.3">
      <c r="A3071" s="35" t="s">
        <v>31</v>
      </c>
      <c r="B3071" s="36" t="s">
        <v>35</v>
      </c>
      <c r="C3071" s="36" t="s">
        <v>38</v>
      </c>
      <c r="D3071" s="36" t="s">
        <v>360</v>
      </c>
      <c r="E3071" s="38">
        <v>7496.03</v>
      </c>
      <c r="F3071" s="39">
        <v>259</v>
      </c>
    </row>
    <row r="3072" spans="1:6" x14ac:dyDescent="0.3">
      <c r="A3072" s="30" t="s">
        <v>19</v>
      </c>
      <c r="B3072" s="31" t="s">
        <v>32</v>
      </c>
      <c r="C3072" s="31" t="s">
        <v>46</v>
      </c>
      <c r="D3072" s="31" t="s">
        <v>333</v>
      </c>
      <c r="E3072" s="33">
        <v>1815.29</v>
      </c>
      <c r="F3072" s="34">
        <v>79</v>
      </c>
    </row>
    <row r="3073" spans="1:6" x14ac:dyDescent="0.3">
      <c r="A3073" s="35" t="s">
        <v>19</v>
      </c>
      <c r="B3073" s="36" t="s">
        <v>7</v>
      </c>
      <c r="C3073" s="36" t="s">
        <v>33</v>
      </c>
      <c r="D3073" s="36" t="s">
        <v>287</v>
      </c>
      <c r="E3073" s="38">
        <v>8250.0300000000007</v>
      </c>
      <c r="F3073" s="39">
        <v>228</v>
      </c>
    </row>
    <row r="3074" spans="1:6" x14ac:dyDescent="0.3">
      <c r="A3074" s="30" t="s">
        <v>48</v>
      </c>
      <c r="B3074" s="31" t="s">
        <v>35</v>
      </c>
      <c r="C3074" s="31" t="s">
        <v>13</v>
      </c>
      <c r="D3074" s="31" t="s">
        <v>286</v>
      </c>
      <c r="E3074" s="33">
        <v>5605.82</v>
      </c>
      <c r="F3074" s="34">
        <v>64</v>
      </c>
    </row>
    <row r="3075" spans="1:6" x14ac:dyDescent="0.3">
      <c r="A3075" s="35" t="s">
        <v>12</v>
      </c>
      <c r="B3075" s="36" t="s">
        <v>10</v>
      </c>
      <c r="C3075" s="36" t="s">
        <v>59</v>
      </c>
      <c r="D3075" s="36" t="s">
        <v>327</v>
      </c>
      <c r="E3075" s="38">
        <v>1563.39</v>
      </c>
      <c r="F3075" s="39">
        <v>179</v>
      </c>
    </row>
    <row r="3076" spans="1:6" x14ac:dyDescent="0.3">
      <c r="A3076" s="30" t="s">
        <v>53</v>
      </c>
      <c r="B3076" s="31" t="s">
        <v>35</v>
      </c>
      <c r="C3076" s="31" t="s">
        <v>75</v>
      </c>
      <c r="D3076" s="31" t="s">
        <v>318</v>
      </c>
      <c r="E3076" s="33">
        <v>3997.02</v>
      </c>
      <c r="F3076" s="34">
        <v>411</v>
      </c>
    </row>
    <row r="3077" spans="1:6" x14ac:dyDescent="0.3">
      <c r="A3077" s="35" t="s">
        <v>64</v>
      </c>
      <c r="B3077" s="36" t="s">
        <v>10</v>
      </c>
      <c r="C3077" s="36" t="s">
        <v>75</v>
      </c>
      <c r="D3077" s="36" t="s">
        <v>289</v>
      </c>
      <c r="E3077" s="38">
        <v>3284.22</v>
      </c>
      <c r="F3077" s="39">
        <v>230</v>
      </c>
    </row>
    <row r="3078" spans="1:6" x14ac:dyDescent="0.3">
      <c r="A3078" s="30" t="s">
        <v>64</v>
      </c>
      <c r="B3078" s="31" t="s">
        <v>25</v>
      </c>
      <c r="C3078" s="31" t="s">
        <v>87</v>
      </c>
      <c r="D3078" s="31" t="s">
        <v>340</v>
      </c>
      <c r="E3078" s="33">
        <v>4609.67</v>
      </c>
      <c r="F3078" s="34">
        <v>58</v>
      </c>
    </row>
    <row r="3079" spans="1:6" x14ac:dyDescent="0.3">
      <c r="A3079" s="35" t="s">
        <v>55</v>
      </c>
      <c r="B3079" s="36" t="s">
        <v>7</v>
      </c>
      <c r="C3079" s="36" t="s">
        <v>75</v>
      </c>
      <c r="D3079" s="37">
        <v>45359</v>
      </c>
      <c r="E3079" s="38">
        <v>9412.06</v>
      </c>
      <c r="F3079" s="39">
        <v>123</v>
      </c>
    </row>
    <row r="3080" spans="1:6" x14ac:dyDescent="0.3">
      <c r="A3080" s="30" t="s">
        <v>58</v>
      </c>
      <c r="B3080" s="31" t="s">
        <v>25</v>
      </c>
      <c r="C3080" s="31" t="s">
        <v>42</v>
      </c>
      <c r="D3080" s="32">
        <v>45383</v>
      </c>
      <c r="E3080" s="33">
        <v>427.36</v>
      </c>
      <c r="F3080" s="34">
        <v>249</v>
      </c>
    </row>
    <row r="3081" spans="1:6" x14ac:dyDescent="0.3">
      <c r="A3081" s="35" t="s">
        <v>70</v>
      </c>
      <c r="B3081" s="36" t="s">
        <v>35</v>
      </c>
      <c r="C3081" s="36" t="s">
        <v>23</v>
      </c>
      <c r="D3081" s="36" t="s">
        <v>270</v>
      </c>
      <c r="E3081" s="38">
        <v>19449.02</v>
      </c>
      <c r="F3081" s="39">
        <v>204</v>
      </c>
    </row>
    <row r="3082" spans="1:6" x14ac:dyDescent="0.3">
      <c r="A3082" s="30" t="s">
        <v>9</v>
      </c>
      <c r="B3082" s="31" t="s">
        <v>15</v>
      </c>
      <c r="C3082" s="31" t="s">
        <v>87</v>
      </c>
      <c r="D3082" s="32">
        <v>45601</v>
      </c>
      <c r="E3082" s="33">
        <v>14122.44</v>
      </c>
      <c r="F3082" s="34">
        <v>32</v>
      </c>
    </row>
    <row r="3083" spans="1:6" x14ac:dyDescent="0.3">
      <c r="A3083" s="35" t="s">
        <v>53</v>
      </c>
      <c r="B3083" s="36" t="s">
        <v>25</v>
      </c>
      <c r="C3083" s="36" t="s">
        <v>13</v>
      </c>
      <c r="D3083" s="36" t="s">
        <v>274</v>
      </c>
      <c r="E3083" s="38">
        <v>2257.14</v>
      </c>
      <c r="F3083" s="39">
        <v>231</v>
      </c>
    </row>
    <row r="3084" spans="1:6" x14ac:dyDescent="0.3">
      <c r="A3084" s="30" t="s">
        <v>55</v>
      </c>
      <c r="B3084" s="31" t="s">
        <v>7</v>
      </c>
      <c r="C3084" s="31" t="s">
        <v>90</v>
      </c>
      <c r="D3084" s="31" t="s">
        <v>325</v>
      </c>
      <c r="E3084" s="33">
        <v>11334.21</v>
      </c>
      <c r="F3084" s="34">
        <v>72</v>
      </c>
    </row>
    <row r="3085" spans="1:6" x14ac:dyDescent="0.3">
      <c r="A3085" s="35" t="s">
        <v>6</v>
      </c>
      <c r="B3085" s="36" t="s">
        <v>7</v>
      </c>
      <c r="C3085" s="36" t="s">
        <v>38</v>
      </c>
      <c r="D3085" s="37">
        <v>45353</v>
      </c>
      <c r="E3085" s="38">
        <v>7865.93</v>
      </c>
      <c r="F3085" s="39">
        <v>436</v>
      </c>
    </row>
    <row r="3086" spans="1:6" x14ac:dyDescent="0.3">
      <c r="A3086" s="30" t="s">
        <v>41</v>
      </c>
      <c r="B3086" s="31" t="s">
        <v>10</v>
      </c>
      <c r="C3086" s="31" t="s">
        <v>60</v>
      </c>
      <c r="D3086" s="32">
        <v>45448</v>
      </c>
      <c r="E3086" s="33">
        <v>11462.32</v>
      </c>
      <c r="F3086" s="34">
        <v>172</v>
      </c>
    </row>
    <row r="3087" spans="1:6" x14ac:dyDescent="0.3">
      <c r="A3087" s="35" t="s">
        <v>22</v>
      </c>
      <c r="B3087" s="36" t="s">
        <v>7</v>
      </c>
      <c r="C3087" s="36" t="s">
        <v>75</v>
      </c>
      <c r="D3087" s="36" t="s">
        <v>283</v>
      </c>
      <c r="E3087" s="38">
        <v>6154.53</v>
      </c>
      <c r="F3087" s="39">
        <v>132</v>
      </c>
    </row>
    <row r="3088" spans="1:6" x14ac:dyDescent="0.3">
      <c r="A3088" s="30" t="s">
        <v>22</v>
      </c>
      <c r="B3088" s="31" t="s">
        <v>7</v>
      </c>
      <c r="C3088" s="31" t="s">
        <v>18</v>
      </c>
      <c r="D3088" s="31" t="s">
        <v>345</v>
      </c>
      <c r="E3088" s="33">
        <v>867.5</v>
      </c>
      <c r="F3088" s="34">
        <v>143</v>
      </c>
    </row>
    <row r="3089" spans="1:6" x14ac:dyDescent="0.3">
      <c r="A3089" s="35" t="s">
        <v>71</v>
      </c>
      <c r="B3089" s="36" t="s">
        <v>35</v>
      </c>
      <c r="C3089" s="36" t="s">
        <v>33</v>
      </c>
      <c r="D3089" s="36" t="s">
        <v>276</v>
      </c>
      <c r="E3089" s="38">
        <v>9056.1</v>
      </c>
      <c r="F3089" s="39">
        <v>58</v>
      </c>
    </row>
    <row r="3090" spans="1:6" x14ac:dyDescent="0.3">
      <c r="A3090" s="30" t="s">
        <v>6</v>
      </c>
      <c r="B3090" s="31" t="s">
        <v>7</v>
      </c>
      <c r="C3090" s="31" t="s">
        <v>11</v>
      </c>
      <c r="D3090" s="32">
        <v>45480</v>
      </c>
      <c r="E3090" s="33">
        <v>6569.4</v>
      </c>
      <c r="F3090" s="34">
        <v>66</v>
      </c>
    </row>
    <row r="3091" spans="1:6" x14ac:dyDescent="0.3">
      <c r="A3091" s="35" t="s">
        <v>19</v>
      </c>
      <c r="B3091" s="36" t="s">
        <v>7</v>
      </c>
      <c r="C3091" s="36" t="s">
        <v>100</v>
      </c>
      <c r="D3091" s="36" t="s">
        <v>314</v>
      </c>
      <c r="E3091" s="38">
        <v>7431</v>
      </c>
      <c r="F3091" s="39">
        <v>180</v>
      </c>
    </row>
    <row r="3092" spans="1:6" x14ac:dyDescent="0.3">
      <c r="A3092" s="30" t="s">
        <v>70</v>
      </c>
      <c r="B3092" s="31" t="s">
        <v>7</v>
      </c>
      <c r="C3092" s="31" t="s">
        <v>20</v>
      </c>
      <c r="D3092" s="32">
        <v>45634</v>
      </c>
      <c r="E3092" s="33">
        <v>3672.65</v>
      </c>
      <c r="F3092" s="34">
        <v>124</v>
      </c>
    </row>
    <row r="3093" spans="1:6" x14ac:dyDescent="0.3">
      <c r="A3093" s="35" t="s">
        <v>12</v>
      </c>
      <c r="B3093" s="36" t="s">
        <v>25</v>
      </c>
      <c r="C3093" s="36" t="s">
        <v>23</v>
      </c>
      <c r="D3093" s="36" t="s">
        <v>330</v>
      </c>
      <c r="E3093" s="38">
        <v>6464.8</v>
      </c>
      <c r="F3093" s="39">
        <v>189</v>
      </c>
    </row>
    <row r="3094" spans="1:6" x14ac:dyDescent="0.3">
      <c r="A3094" s="30" t="s">
        <v>19</v>
      </c>
      <c r="B3094" s="31" t="s">
        <v>15</v>
      </c>
      <c r="C3094" s="31" t="s">
        <v>26</v>
      </c>
      <c r="D3094" s="32">
        <v>45448</v>
      </c>
      <c r="E3094" s="33">
        <v>813.58</v>
      </c>
      <c r="F3094" s="34">
        <v>163</v>
      </c>
    </row>
    <row r="3095" spans="1:6" x14ac:dyDescent="0.3">
      <c r="A3095" s="35" t="s">
        <v>19</v>
      </c>
      <c r="B3095" s="36" t="s">
        <v>35</v>
      </c>
      <c r="C3095" s="36" t="s">
        <v>26</v>
      </c>
      <c r="D3095" s="36" t="s">
        <v>349</v>
      </c>
      <c r="E3095" s="38">
        <v>7301.81</v>
      </c>
      <c r="F3095" s="39">
        <v>134</v>
      </c>
    </row>
    <row r="3096" spans="1:6" x14ac:dyDescent="0.3">
      <c r="A3096" s="30" t="s">
        <v>31</v>
      </c>
      <c r="B3096" s="31" t="s">
        <v>32</v>
      </c>
      <c r="C3096" s="31" t="s">
        <v>59</v>
      </c>
      <c r="D3096" s="32">
        <v>45417</v>
      </c>
      <c r="E3096" s="33">
        <v>8523.42</v>
      </c>
      <c r="F3096" s="34">
        <v>171</v>
      </c>
    </row>
    <row r="3097" spans="1:6" x14ac:dyDescent="0.3">
      <c r="A3097" s="35" t="s">
        <v>29</v>
      </c>
      <c r="B3097" s="36" t="s">
        <v>25</v>
      </c>
      <c r="C3097" s="36" t="s">
        <v>20</v>
      </c>
      <c r="D3097" s="36" t="s">
        <v>338</v>
      </c>
      <c r="E3097" s="38">
        <v>3822.64</v>
      </c>
      <c r="F3097" s="39">
        <v>85</v>
      </c>
    </row>
    <row r="3098" spans="1:6" x14ac:dyDescent="0.3">
      <c r="A3098" s="30" t="s">
        <v>48</v>
      </c>
      <c r="B3098" s="31" t="s">
        <v>15</v>
      </c>
      <c r="C3098" s="31" t="s">
        <v>90</v>
      </c>
      <c r="D3098" s="31" t="s">
        <v>273</v>
      </c>
      <c r="E3098" s="33">
        <v>10219.39</v>
      </c>
      <c r="F3098" s="34">
        <v>139</v>
      </c>
    </row>
    <row r="3099" spans="1:6" x14ac:dyDescent="0.3">
      <c r="A3099" s="35" t="s">
        <v>48</v>
      </c>
      <c r="B3099" s="36" t="s">
        <v>25</v>
      </c>
      <c r="C3099" s="36" t="s">
        <v>11</v>
      </c>
      <c r="D3099" s="37">
        <v>45631</v>
      </c>
      <c r="E3099" s="38">
        <v>5798.43</v>
      </c>
      <c r="F3099" s="39">
        <v>206</v>
      </c>
    </row>
    <row r="3100" spans="1:6" x14ac:dyDescent="0.3">
      <c r="A3100" s="30" t="s">
        <v>31</v>
      </c>
      <c r="B3100" s="31" t="s">
        <v>25</v>
      </c>
      <c r="C3100" s="31" t="s">
        <v>18</v>
      </c>
      <c r="D3100" s="31" t="s">
        <v>267</v>
      </c>
      <c r="E3100" s="33">
        <v>4487.01</v>
      </c>
      <c r="F3100" s="34">
        <v>184</v>
      </c>
    </row>
    <row r="3101" spans="1:6" x14ac:dyDescent="0.3">
      <c r="A3101" s="35" t="s">
        <v>83</v>
      </c>
      <c r="B3101" s="36" t="s">
        <v>7</v>
      </c>
      <c r="C3101" s="36" t="s">
        <v>11</v>
      </c>
      <c r="D3101" s="36" t="s">
        <v>294</v>
      </c>
      <c r="E3101" s="38">
        <v>17237.669999999998</v>
      </c>
      <c r="F3101" s="39">
        <v>13</v>
      </c>
    </row>
    <row r="3102" spans="1:6" x14ac:dyDescent="0.3">
      <c r="A3102" s="30" t="s">
        <v>58</v>
      </c>
      <c r="B3102" s="31" t="s">
        <v>15</v>
      </c>
      <c r="C3102" s="31" t="s">
        <v>38</v>
      </c>
      <c r="D3102" s="31" t="s">
        <v>301</v>
      </c>
      <c r="E3102" s="33">
        <v>7497.22</v>
      </c>
      <c r="F3102" s="34">
        <v>184</v>
      </c>
    </row>
    <row r="3103" spans="1:6" x14ac:dyDescent="0.3">
      <c r="A3103" s="35" t="s">
        <v>45</v>
      </c>
      <c r="B3103" s="36" t="s">
        <v>32</v>
      </c>
      <c r="C3103" s="36" t="s">
        <v>46</v>
      </c>
      <c r="D3103" s="36" t="s">
        <v>295</v>
      </c>
      <c r="E3103" s="38">
        <v>3034.06</v>
      </c>
      <c r="F3103" s="39">
        <v>245</v>
      </c>
    </row>
    <row r="3104" spans="1:6" x14ac:dyDescent="0.3">
      <c r="A3104" s="30" t="s">
        <v>14</v>
      </c>
      <c r="B3104" s="31" t="s">
        <v>10</v>
      </c>
      <c r="C3104" s="31" t="s">
        <v>23</v>
      </c>
      <c r="D3104" s="31" t="s">
        <v>278</v>
      </c>
      <c r="E3104" s="33">
        <v>6795.06</v>
      </c>
      <c r="F3104" s="34">
        <v>177</v>
      </c>
    </row>
    <row r="3105" spans="1:6" x14ac:dyDescent="0.3">
      <c r="A3105" s="35" t="s">
        <v>22</v>
      </c>
      <c r="B3105" s="36" t="s">
        <v>32</v>
      </c>
      <c r="C3105" s="36" t="s">
        <v>23</v>
      </c>
      <c r="D3105" s="36" t="s">
        <v>318</v>
      </c>
      <c r="E3105" s="38">
        <v>4273.09</v>
      </c>
      <c r="F3105" s="39">
        <v>280</v>
      </c>
    </row>
    <row r="3106" spans="1:6" x14ac:dyDescent="0.3">
      <c r="A3106" s="30" t="s">
        <v>83</v>
      </c>
      <c r="B3106" s="31" t="s">
        <v>10</v>
      </c>
      <c r="C3106" s="31" t="s">
        <v>33</v>
      </c>
      <c r="D3106" s="31" t="s">
        <v>274</v>
      </c>
      <c r="E3106" s="33">
        <v>1412.6</v>
      </c>
      <c r="F3106" s="34">
        <v>278</v>
      </c>
    </row>
    <row r="3107" spans="1:6" x14ac:dyDescent="0.3">
      <c r="A3107" s="35" t="s">
        <v>34</v>
      </c>
      <c r="B3107" s="36" t="s">
        <v>7</v>
      </c>
      <c r="C3107" s="36" t="s">
        <v>60</v>
      </c>
      <c r="D3107" s="36" t="s">
        <v>280</v>
      </c>
      <c r="E3107" s="38">
        <v>9852.89</v>
      </c>
      <c r="F3107" s="39">
        <v>43</v>
      </c>
    </row>
    <row r="3108" spans="1:6" x14ac:dyDescent="0.3">
      <c r="A3108" s="30" t="s">
        <v>31</v>
      </c>
      <c r="B3108" s="31" t="s">
        <v>15</v>
      </c>
      <c r="C3108" s="31" t="s">
        <v>73</v>
      </c>
      <c r="D3108" s="31" t="s">
        <v>297</v>
      </c>
      <c r="E3108" s="33">
        <v>10744.23</v>
      </c>
      <c r="F3108" s="34">
        <v>105</v>
      </c>
    </row>
    <row r="3109" spans="1:6" x14ac:dyDescent="0.3">
      <c r="A3109" s="35" t="s">
        <v>64</v>
      </c>
      <c r="B3109" s="36" t="s">
        <v>32</v>
      </c>
      <c r="C3109" s="36" t="s">
        <v>38</v>
      </c>
      <c r="D3109" s="36" t="s">
        <v>333</v>
      </c>
      <c r="E3109" s="38">
        <v>1213.6300000000001</v>
      </c>
      <c r="F3109" s="39">
        <v>101</v>
      </c>
    </row>
    <row r="3110" spans="1:6" x14ac:dyDescent="0.3">
      <c r="A3110" s="30" t="s">
        <v>64</v>
      </c>
      <c r="B3110" s="31" t="s">
        <v>10</v>
      </c>
      <c r="C3110" s="31" t="s">
        <v>36</v>
      </c>
      <c r="D3110" s="31" t="s">
        <v>310</v>
      </c>
      <c r="E3110" s="33">
        <v>4263.93</v>
      </c>
      <c r="F3110" s="34">
        <v>80</v>
      </c>
    </row>
    <row r="3111" spans="1:6" x14ac:dyDescent="0.3">
      <c r="A3111" s="35" t="s">
        <v>64</v>
      </c>
      <c r="B3111" s="36" t="s">
        <v>10</v>
      </c>
      <c r="C3111" s="36" t="s">
        <v>23</v>
      </c>
      <c r="D3111" s="37">
        <v>45390</v>
      </c>
      <c r="E3111" s="38">
        <v>13808.46</v>
      </c>
      <c r="F3111" s="39">
        <v>270</v>
      </c>
    </row>
    <row r="3112" spans="1:6" x14ac:dyDescent="0.3">
      <c r="A3112" s="30" t="s">
        <v>70</v>
      </c>
      <c r="B3112" s="31" t="s">
        <v>10</v>
      </c>
      <c r="C3112" s="31" t="s">
        <v>20</v>
      </c>
      <c r="D3112" s="31" t="s">
        <v>294</v>
      </c>
      <c r="E3112" s="33">
        <v>2411.9299999999998</v>
      </c>
      <c r="F3112" s="34">
        <v>248</v>
      </c>
    </row>
    <row r="3113" spans="1:6" x14ac:dyDescent="0.3">
      <c r="A3113" s="35" t="s">
        <v>22</v>
      </c>
      <c r="B3113" s="36" t="s">
        <v>35</v>
      </c>
      <c r="C3113" s="36" t="s">
        <v>50</v>
      </c>
      <c r="D3113" s="37">
        <v>45416</v>
      </c>
      <c r="E3113" s="38">
        <v>14603.41</v>
      </c>
      <c r="F3113" s="39">
        <v>12</v>
      </c>
    </row>
    <row r="3114" spans="1:6" x14ac:dyDescent="0.3">
      <c r="A3114" s="30" t="s">
        <v>77</v>
      </c>
      <c r="B3114" s="31" t="s">
        <v>35</v>
      </c>
      <c r="C3114" s="31" t="s">
        <v>13</v>
      </c>
      <c r="D3114" s="32">
        <v>45419</v>
      </c>
      <c r="E3114" s="33">
        <v>17813.77</v>
      </c>
      <c r="F3114" s="34">
        <v>120</v>
      </c>
    </row>
    <row r="3115" spans="1:6" x14ac:dyDescent="0.3">
      <c r="A3115" s="35" t="s">
        <v>55</v>
      </c>
      <c r="B3115" s="36" t="s">
        <v>25</v>
      </c>
      <c r="C3115" s="36" t="s">
        <v>36</v>
      </c>
      <c r="D3115" s="36" t="s">
        <v>367</v>
      </c>
      <c r="E3115" s="38">
        <v>14346.28</v>
      </c>
      <c r="F3115" s="39">
        <v>48</v>
      </c>
    </row>
    <row r="3116" spans="1:6" x14ac:dyDescent="0.3">
      <c r="A3116" s="30" t="s">
        <v>83</v>
      </c>
      <c r="B3116" s="31" t="s">
        <v>25</v>
      </c>
      <c r="C3116" s="31" t="s">
        <v>38</v>
      </c>
      <c r="D3116" s="31" t="s">
        <v>274</v>
      </c>
      <c r="E3116" s="33">
        <v>10009.51</v>
      </c>
      <c r="F3116" s="34">
        <v>144</v>
      </c>
    </row>
    <row r="3117" spans="1:6" x14ac:dyDescent="0.3">
      <c r="A3117" s="35" t="s">
        <v>48</v>
      </c>
      <c r="B3117" s="36" t="s">
        <v>7</v>
      </c>
      <c r="C3117" s="36" t="s">
        <v>38</v>
      </c>
      <c r="D3117" s="37">
        <v>45633</v>
      </c>
      <c r="E3117" s="38">
        <v>494.27</v>
      </c>
      <c r="F3117" s="39">
        <v>186</v>
      </c>
    </row>
    <row r="3118" spans="1:6" x14ac:dyDescent="0.3">
      <c r="A3118" s="30" t="s">
        <v>70</v>
      </c>
      <c r="B3118" s="31" t="s">
        <v>10</v>
      </c>
      <c r="C3118" s="31" t="s">
        <v>73</v>
      </c>
      <c r="D3118" s="31" t="s">
        <v>317</v>
      </c>
      <c r="E3118" s="33">
        <v>9118.67</v>
      </c>
      <c r="F3118" s="34">
        <v>253</v>
      </c>
    </row>
    <row r="3119" spans="1:6" x14ac:dyDescent="0.3">
      <c r="A3119" s="35" t="s">
        <v>79</v>
      </c>
      <c r="B3119" s="36" t="s">
        <v>15</v>
      </c>
      <c r="C3119" s="36" t="s">
        <v>75</v>
      </c>
      <c r="D3119" s="36" t="s">
        <v>327</v>
      </c>
      <c r="E3119" s="38">
        <v>1751.26</v>
      </c>
      <c r="F3119" s="39">
        <v>293</v>
      </c>
    </row>
    <row r="3120" spans="1:6" x14ac:dyDescent="0.3">
      <c r="A3120" s="30" t="s">
        <v>55</v>
      </c>
      <c r="B3120" s="31" t="s">
        <v>7</v>
      </c>
      <c r="C3120" s="31" t="s">
        <v>26</v>
      </c>
      <c r="D3120" s="31" t="s">
        <v>315</v>
      </c>
      <c r="E3120" s="33">
        <v>3402.47</v>
      </c>
      <c r="F3120" s="34">
        <v>69</v>
      </c>
    </row>
    <row r="3121" spans="1:6" x14ac:dyDescent="0.3">
      <c r="A3121" s="35" t="s">
        <v>45</v>
      </c>
      <c r="B3121" s="36" t="s">
        <v>35</v>
      </c>
      <c r="C3121" s="36" t="s">
        <v>75</v>
      </c>
      <c r="D3121" s="37">
        <v>45601</v>
      </c>
      <c r="E3121" s="38">
        <v>6841.28</v>
      </c>
      <c r="F3121" s="39">
        <v>237</v>
      </c>
    </row>
    <row r="3122" spans="1:6" x14ac:dyDescent="0.3">
      <c r="A3122" s="30" t="s">
        <v>83</v>
      </c>
      <c r="B3122" s="31" t="s">
        <v>10</v>
      </c>
      <c r="C3122" s="31" t="s">
        <v>26</v>
      </c>
      <c r="D3122" s="31" t="s">
        <v>287</v>
      </c>
      <c r="E3122" s="33">
        <v>12584.46</v>
      </c>
      <c r="F3122" s="34">
        <v>328</v>
      </c>
    </row>
    <row r="3123" spans="1:6" x14ac:dyDescent="0.3">
      <c r="A3123" s="35" t="s">
        <v>19</v>
      </c>
      <c r="B3123" s="36" t="s">
        <v>35</v>
      </c>
      <c r="C3123" s="36" t="s">
        <v>13</v>
      </c>
      <c r="D3123" s="37">
        <v>45479</v>
      </c>
      <c r="E3123" s="38">
        <v>14291.3</v>
      </c>
      <c r="F3123" s="39">
        <v>179</v>
      </c>
    </row>
    <row r="3124" spans="1:6" x14ac:dyDescent="0.3">
      <c r="A3124" s="30" t="s">
        <v>19</v>
      </c>
      <c r="B3124" s="31" t="s">
        <v>7</v>
      </c>
      <c r="C3124" s="31" t="s">
        <v>59</v>
      </c>
      <c r="D3124" s="31" t="s">
        <v>275</v>
      </c>
      <c r="E3124" s="33">
        <v>1998.41</v>
      </c>
      <c r="F3124" s="34">
        <v>303</v>
      </c>
    </row>
    <row r="3125" spans="1:6" x14ac:dyDescent="0.3">
      <c r="A3125" s="35" t="s">
        <v>31</v>
      </c>
      <c r="B3125" s="36" t="s">
        <v>10</v>
      </c>
      <c r="C3125" s="36" t="s">
        <v>23</v>
      </c>
      <c r="D3125" s="36" t="s">
        <v>326</v>
      </c>
      <c r="E3125" s="38">
        <v>9558.06</v>
      </c>
      <c r="F3125" s="39">
        <v>117</v>
      </c>
    </row>
    <row r="3126" spans="1:6" x14ac:dyDescent="0.3">
      <c r="A3126" s="30" t="s">
        <v>64</v>
      </c>
      <c r="B3126" s="31" t="s">
        <v>35</v>
      </c>
      <c r="C3126" s="31" t="s">
        <v>18</v>
      </c>
      <c r="D3126" s="32">
        <v>45328</v>
      </c>
      <c r="E3126" s="33">
        <v>5594.84</v>
      </c>
      <c r="F3126" s="34">
        <v>174</v>
      </c>
    </row>
    <row r="3127" spans="1:6" x14ac:dyDescent="0.3">
      <c r="A3127" s="35" t="s">
        <v>29</v>
      </c>
      <c r="B3127" s="36" t="s">
        <v>10</v>
      </c>
      <c r="C3127" s="36" t="s">
        <v>8</v>
      </c>
      <c r="D3127" s="36" t="s">
        <v>272</v>
      </c>
      <c r="E3127" s="38">
        <v>16520.75</v>
      </c>
      <c r="F3127" s="39">
        <v>84</v>
      </c>
    </row>
    <row r="3128" spans="1:6" x14ac:dyDescent="0.3">
      <c r="A3128" s="30" t="s">
        <v>29</v>
      </c>
      <c r="B3128" s="31" t="s">
        <v>35</v>
      </c>
      <c r="C3128" s="31" t="s">
        <v>20</v>
      </c>
      <c r="D3128" s="32">
        <v>45325</v>
      </c>
      <c r="E3128" s="33">
        <v>5545.62</v>
      </c>
      <c r="F3128" s="34">
        <v>139</v>
      </c>
    </row>
    <row r="3129" spans="1:6" x14ac:dyDescent="0.3">
      <c r="A3129" s="35" t="s">
        <v>9</v>
      </c>
      <c r="B3129" s="36" t="s">
        <v>15</v>
      </c>
      <c r="C3129" s="36" t="s">
        <v>100</v>
      </c>
      <c r="D3129" s="37">
        <v>45566</v>
      </c>
      <c r="E3129" s="38">
        <v>8260.58</v>
      </c>
      <c r="F3129" s="39">
        <v>108</v>
      </c>
    </row>
    <row r="3130" spans="1:6" x14ac:dyDescent="0.3">
      <c r="A3130" s="30" t="s">
        <v>41</v>
      </c>
      <c r="B3130" s="31" t="s">
        <v>32</v>
      </c>
      <c r="C3130" s="31" t="s">
        <v>100</v>
      </c>
      <c r="D3130" s="31" t="s">
        <v>275</v>
      </c>
      <c r="E3130" s="33">
        <v>2636.16</v>
      </c>
      <c r="F3130" s="34">
        <v>110</v>
      </c>
    </row>
    <row r="3131" spans="1:6" x14ac:dyDescent="0.3">
      <c r="A3131" s="35" t="s">
        <v>31</v>
      </c>
      <c r="B3131" s="36" t="s">
        <v>35</v>
      </c>
      <c r="C3131" s="36" t="s">
        <v>33</v>
      </c>
      <c r="D3131" s="36" t="s">
        <v>283</v>
      </c>
      <c r="E3131" s="38">
        <v>8285.3799999999992</v>
      </c>
      <c r="F3131" s="39">
        <v>18</v>
      </c>
    </row>
    <row r="3132" spans="1:6" x14ac:dyDescent="0.3">
      <c r="A3132" s="30" t="s">
        <v>45</v>
      </c>
      <c r="B3132" s="31" t="s">
        <v>15</v>
      </c>
      <c r="C3132" s="31" t="s">
        <v>11</v>
      </c>
      <c r="D3132" s="32">
        <v>45511</v>
      </c>
      <c r="E3132" s="33">
        <v>4590</v>
      </c>
      <c r="F3132" s="34">
        <v>78</v>
      </c>
    </row>
    <row r="3133" spans="1:6" x14ac:dyDescent="0.3">
      <c r="A3133" s="35" t="s">
        <v>19</v>
      </c>
      <c r="B3133" s="36" t="s">
        <v>10</v>
      </c>
      <c r="C3133" s="36" t="s">
        <v>50</v>
      </c>
      <c r="D3133" s="37">
        <v>45510</v>
      </c>
      <c r="E3133" s="38">
        <v>13189.14</v>
      </c>
      <c r="F3133" s="39">
        <v>95</v>
      </c>
    </row>
    <row r="3134" spans="1:6" x14ac:dyDescent="0.3">
      <c r="A3134" s="30" t="s">
        <v>14</v>
      </c>
      <c r="B3134" s="31" t="s">
        <v>7</v>
      </c>
      <c r="C3134" s="31" t="s">
        <v>60</v>
      </c>
      <c r="D3134" s="31" t="s">
        <v>304</v>
      </c>
      <c r="E3134" s="33">
        <v>3768.3</v>
      </c>
      <c r="F3134" s="34">
        <v>212</v>
      </c>
    </row>
    <row r="3135" spans="1:6" x14ac:dyDescent="0.3">
      <c r="A3135" s="35" t="s">
        <v>55</v>
      </c>
      <c r="B3135" s="36" t="s">
        <v>15</v>
      </c>
      <c r="C3135" s="36" t="s">
        <v>23</v>
      </c>
      <c r="D3135" s="37">
        <v>45508</v>
      </c>
      <c r="E3135" s="38">
        <v>7962.71</v>
      </c>
      <c r="F3135" s="39">
        <v>293</v>
      </c>
    </row>
    <row r="3136" spans="1:6" x14ac:dyDescent="0.3">
      <c r="A3136" s="30" t="s">
        <v>64</v>
      </c>
      <c r="B3136" s="31" t="s">
        <v>35</v>
      </c>
      <c r="C3136" s="31" t="s">
        <v>57</v>
      </c>
      <c r="D3136" s="32">
        <v>45512</v>
      </c>
      <c r="E3136" s="33">
        <v>3665.13</v>
      </c>
      <c r="F3136" s="34">
        <v>191</v>
      </c>
    </row>
    <row r="3137" spans="1:6" x14ac:dyDescent="0.3">
      <c r="A3137" s="35" t="s">
        <v>64</v>
      </c>
      <c r="B3137" s="36" t="s">
        <v>7</v>
      </c>
      <c r="C3137" s="36" t="s">
        <v>46</v>
      </c>
      <c r="D3137" s="36" t="s">
        <v>300</v>
      </c>
      <c r="E3137" s="38">
        <v>334.81</v>
      </c>
      <c r="F3137" s="39">
        <v>66</v>
      </c>
    </row>
    <row r="3138" spans="1:6" x14ac:dyDescent="0.3">
      <c r="A3138" s="30" t="s">
        <v>19</v>
      </c>
      <c r="B3138" s="31" t="s">
        <v>35</v>
      </c>
      <c r="C3138" s="31" t="s">
        <v>57</v>
      </c>
      <c r="D3138" s="31" t="s">
        <v>328</v>
      </c>
      <c r="E3138" s="33">
        <v>2187.5</v>
      </c>
      <c r="F3138" s="34">
        <v>159</v>
      </c>
    </row>
    <row r="3139" spans="1:6" x14ac:dyDescent="0.3">
      <c r="A3139" s="35" t="s">
        <v>58</v>
      </c>
      <c r="B3139" s="36" t="s">
        <v>32</v>
      </c>
      <c r="C3139" s="36" t="s">
        <v>87</v>
      </c>
      <c r="D3139" s="37">
        <v>45604</v>
      </c>
      <c r="E3139" s="38">
        <v>18481.73</v>
      </c>
      <c r="F3139" s="39">
        <v>295</v>
      </c>
    </row>
    <row r="3140" spans="1:6" x14ac:dyDescent="0.3">
      <c r="A3140" s="30" t="s">
        <v>77</v>
      </c>
      <c r="B3140" s="31" t="s">
        <v>32</v>
      </c>
      <c r="C3140" s="31" t="s">
        <v>65</v>
      </c>
      <c r="D3140" s="31" t="s">
        <v>332</v>
      </c>
      <c r="E3140" s="33">
        <v>11863.69</v>
      </c>
      <c r="F3140" s="34">
        <v>24</v>
      </c>
    </row>
    <row r="3141" spans="1:6" x14ac:dyDescent="0.3">
      <c r="A3141" s="35" t="s">
        <v>9</v>
      </c>
      <c r="B3141" s="36" t="s">
        <v>25</v>
      </c>
      <c r="C3141" s="36" t="s">
        <v>26</v>
      </c>
      <c r="D3141" s="37">
        <v>45603</v>
      </c>
      <c r="E3141" s="38">
        <v>4332.41</v>
      </c>
      <c r="F3141" s="39">
        <v>10</v>
      </c>
    </row>
    <row r="3142" spans="1:6" x14ac:dyDescent="0.3">
      <c r="A3142" s="30" t="s">
        <v>37</v>
      </c>
      <c r="B3142" s="31" t="s">
        <v>35</v>
      </c>
      <c r="C3142" s="31" t="s">
        <v>90</v>
      </c>
      <c r="D3142" s="32">
        <v>45325</v>
      </c>
      <c r="E3142" s="33">
        <v>3653.33</v>
      </c>
      <c r="F3142" s="34">
        <v>327</v>
      </c>
    </row>
    <row r="3143" spans="1:6" x14ac:dyDescent="0.3">
      <c r="A3143" s="35" t="s">
        <v>77</v>
      </c>
      <c r="B3143" s="36" t="s">
        <v>15</v>
      </c>
      <c r="C3143" s="36" t="s">
        <v>73</v>
      </c>
      <c r="D3143" s="36" t="s">
        <v>301</v>
      </c>
      <c r="E3143" s="38">
        <v>7023.94</v>
      </c>
      <c r="F3143" s="39">
        <v>89</v>
      </c>
    </row>
    <row r="3144" spans="1:6" x14ac:dyDescent="0.3">
      <c r="A3144" s="30" t="s">
        <v>29</v>
      </c>
      <c r="B3144" s="31" t="s">
        <v>7</v>
      </c>
      <c r="C3144" s="31" t="s">
        <v>50</v>
      </c>
      <c r="D3144" s="32">
        <v>45359</v>
      </c>
      <c r="E3144" s="33">
        <v>10001.950000000001</v>
      </c>
      <c r="F3144" s="34">
        <v>132</v>
      </c>
    </row>
    <row r="3145" spans="1:6" x14ac:dyDescent="0.3">
      <c r="A3145" s="35" t="s">
        <v>48</v>
      </c>
      <c r="B3145" s="36" t="s">
        <v>7</v>
      </c>
      <c r="C3145" s="36" t="s">
        <v>13</v>
      </c>
      <c r="D3145" s="37">
        <v>45294</v>
      </c>
      <c r="E3145" s="38">
        <v>16460.650000000001</v>
      </c>
      <c r="F3145" s="39">
        <v>171</v>
      </c>
    </row>
    <row r="3146" spans="1:6" x14ac:dyDescent="0.3">
      <c r="A3146" s="30" t="s">
        <v>70</v>
      </c>
      <c r="B3146" s="31" t="s">
        <v>25</v>
      </c>
      <c r="C3146" s="31" t="s">
        <v>59</v>
      </c>
      <c r="D3146" s="31" t="s">
        <v>327</v>
      </c>
      <c r="E3146" s="33">
        <v>8575.27</v>
      </c>
      <c r="F3146" s="34">
        <v>165</v>
      </c>
    </row>
    <row r="3147" spans="1:6" x14ac:dyDescent="0.3">
      <c r="A3147" s="35" t="s">
        <v>41</v>
      </c>
      <c r="B3147" s="36" t="s">
        <v>35</v>
      </c>
      <c r="C3147" s="36" t="s">
        <v>57</v>
      </c>
      <c r="D3147" s="36" t="s">
        <v>273</v>
      </c>
      <c r="E3147" s="38">
        <v>12191.42</v>
      </c>
      <c r="F3147" s="39">
        <v>177</v>
      </c>
    </row>
    <row r="3148" spans="1:6" x14ac:dyDescent="0.3">
      <c r="A3148" s="30" t="s">
        <v>34</v>
      </c>
      <c r="B3148" s="31" t="s">
        <v>10</v>
      </c>
      <c r="C3148" s="31" t="s">
        <v>59</v>
      </c>
      <c r="D3148" s="31" t="s">
        <v>307</v>
      </c>
      <c r="E3148" s="33">
        <v>969.15</v>
      </c>
      <c r="F3148" s="34">
        <v>233</v>
      </c>
    </row>
    <row r="3149" spans="1:6" x14ac:dyDescent="0.3">
      <c r="A3149" s="35" t="s">
        <v>28</v>
      </c>
      <c r="B3149" s="36" t="s">
        <v>7</v>
      </c>
      <c r="C3149" s="36" t="s">
        <v>38</v>
      </c>
      <c r="D3149" s="36" t="s">
        <v>302</v>
      </c>
      <c r="E3149" s="38">
        <v>6498.96</v>
      </c>
      <c r="F3149" s="39">
        <v>143</v>
      </c>
    </row>
    <row r="3150" spans="1:6" x14ac:dyDescent="0.3">
      <c r="A3150" s="30" t="s">
        <v>45</v>
      </c>
      <c r="B3150" s="31" t="s">
        <v>25</v>
      </c>
      <c r="C3150" s="31" t="s">
        <v>33</v>
      </c>
      <c r="D3150" s="40">
        <v>44565</v>
      </c>
      <c r="E3150" s="33">
        <v>49</v>
      </c>
      <c r="F3150" s="34">
        <v>97</v>
      </c>
    </row>
    <row r="3151" spans="1:6" x14ac:dyDescent="0.3">
      <c r="A3151" s="35" t="s">
        <v>19</v>
      </c>
      <c r="B3151" s="36" t="s">
        <v>32</v>
      </c>
      <c r="C3151" s="36" t="s">
        <v>65</v>
      </c>
      <c r="D3151" s="36" t="s">
        <v>286</v>
      </c>
      <c r="E3151" s="38">
        <v>7640.61</v>
      </c>
      <c r="F3151" s="39">
        <v>154</v>
      </c>
    </row>
    <row r="3152" spans="1:6" x14ac:dyDescent="0.3">
      <c r="A3152" s="30" t="s">
        <v>53</v>
      </c>
      <c r="B3152" s="31" t="s">
        <v>10</v>
      </c>
      <c r="C3152" s="31" t="s">
        <v>36</v>
      </c>
      <c r="D3152" s="32">
        <v>45537</v>
      </c>
      <c r="E3152" s="33">
        <v>5596.93</v>
      </c>
      <c r="F3152" s="34">
        <v>62</v>
      </c>
    </row>
    <row r="3153" spans="1:6" x14ac:dyDescent="0.3">
      <c r="A3153" s="35" t="s">
        <v>28</v>
      </c>
      <c r="B3153" s="36" t="s">
        <v>7</v>
      </c>
      <c r="C3153" s="36" t="s">
        <v>50</v>
      </c>
      <c r="D3153" s="36" t="s">
        <v>306</v>
      </c>
      <c r="E3153" s="38">
        <v>2639.55</v>
      </c>
      <c r="F3153" s="39">
        <v>59</v>
      </c>
    </row>
    <row r="3154" spans="1:6" x14ac:dyDescent="0.3">
      <c r="A3154" s="30" t="s">
        <v>19</v>
      </c>
      <c r="B3154" s="31" t="s">
        <v>15</v>
      </c>
      <c r="C3154" s="31" t="s">
        <v>60</v>
      </c>
      <c r="D3154" s="31" t="s">
        <v>272</v>
      </c>
      <c r="E3154" s="33">
        <v>4626.87</v>
      </c>
      <c r="F3154" s="34">
        <v>78</v>
      </c>
    </row>
    <row r="3155" spans="1:6" x14ac:dyDescent="0.3">
      <c r="A3155" s="35" t="s">
        <v>41</v>
      </c>
      <c r="B3155" s="36" t="s">
        <v>10</v>
      </c>
      <c r="C3155" s="36" t="s">
        <v>59</v>
      </c>
      <c r="D3155" s="37">
        <v>45389</v>
      </c>
      <c r="E3155" s="38">
        <v>1900.09</v>
      </c>
      <c r="F3155" s="39">
        <v>297</v>
      </c>
    </row>
    <row r="3156" spans="1:6" x14ac:dyDescent="0.3">
      <c r="A3156" s="30" t="s">
        <v>83</v>
      </c>
      <c r="B3156" s="31" t="s">
        <v>10</v>
      </c>
      <c r="C3156" s="31" t="s">
        <v>65</v>
      </c>
      <c r="D3156" s="31" t="s">
        <v>327</v>
      </c>
      <c r="E3156" s="33">
        <v>13315.47</v>
      </c>
      <c r="F3156" s="34">
        <v>72</v>
      </c>
    </row>
    <row r="3157" spans="1:6" x14ac:dyDescent="0.3">
      <c r="A3157" s="35" t="s">
        <v>12</v>
      </c>
      <c r="B3157" s="36" t="s">
        <v>15</v>
      </c>
      <c r="C3157" s="36" t="s">
        <v>18</v>
      </c>
      <c r="D3157" s="36" t="s">
        <v>267</v>
      </c>
      <c r="E3157" s="38">
        <v>6359.09</v>
      </c>
      <c r="F3157" s="39">
        <v>121</v>
      </c>
    </row>
    <row r="3158" spans="1:6" x14ac:dyDescent="0.3">
      <c r="A3158" s="30" t="s">
        <v>71</v>
      </c>
      <c r="B3158" s="31" t="s">
        <v>32</v>
      </c>
      <c r="C3158" s="31" t="s">
        <v>11</v>
      </c>
      <c r="D3158" s="31" t="s">
        <v>320</v>
      </c>
      <c r="E3158" s="33">
        <v>2644.65</v>
      </c>
      <c r="F3158" s="34">
        <v>83</v>
      </c>
    </row>
    <row r="3159" spans="1:6" x14ac:dyDescent="0.3">
      <c r="A3159" s="35" t="s">
        <v>71</v>
      </c>
      <c r="B3159" s="36" t="s">
        <v>32</v>
      </c>
      <c r="C3159" s="36" t="s">
        <v>36</v>
      </c>
      <c r="D3159" s="37">
        <v>45571</v>
      </c>
      <c r="E3159" s="38">
        <v>4879.55</v>
      </c>
      <c r="F3159" s="39">
        <v>427</v>
      </c>
    </row>
    <row r="3160" spans="1:6" x14ac:dyDescent="0.3">
      <c r="A3160" s="30" t="s">
        <v>77</v>
      </c>
      <c r="B3160" s="31" t="s">
        <v>25</v>
      </c>
      <c r="C3160" s="31" t="s">
        <v>59</v>
      </c>
      <c r="D3160" s="31" t="s">
        <v>289</v>
      </c>
      <c r="E3160" s="33">
        <v>11572.5</v>
      </c>
      <c r="F3160" s="34">
        <v>51</v>
      </c>
    </row>
    <row r="3161" spans="1:6" x14ac:dyDescent="0.3">
      <c r="A3161" s="35" t="s">
        <v>9</v>
      </c>
      <c r="B3161" s="36" t="s">
        <v>10</v>
      </c>
      <c r="C3161" s="36" t="s">
        <v>23</v>
      </c>
      <c r="D3161" s="36" t="s">
        <v>275</v>
      </c>
      <c r="E3161" s="38">
        <v>15626.93</v>
      </c>
      <c r="F3161" s="39">
        <v>225</v>
      </c>
    </row>
    <row r="3162" spans="1:6" x14ac:dyDescent="0.3">
      <c r="A3162" s="30" t="s">
        <v>53</v>
      </c>
      <c r="B3162" s="31" t="s">
        <v>10</v>
      </c>
      <c r="C3162" s="31" t="s">
        <v>33</v>
      </c>
      <c r="D3162" s="31" t="s">
        <v>283</v>
      </c>
      <c r="E3162" s="33">
        <v>4781.1400000000003</v>
      </c>
      <c r="F3162" s="34">
        <v>38</v>
      </c>
    </row>
    <row r="3163" spans="1:6" x14ac:dyDescent="0.3">
      <c r="A3163" s="35" t="s">
        <v>6</v>
      </c>
      <c r="B3163" s="36" t="s">
        <v>10</v>
      </c>
      <c r="C3163" s="36" t="s">
        <v>65</v>
      </c>
      <c r="D3163" s="36" t="s">
        <v>346</v>
      </c>
      <c r="E3163" s="38">
        <v>11793.4</v>
      </c>
      <c r="F3163" s="39">
        <v>101</v>
      </c>
    </row>
    <row r="3164" spans="1:6" x14ac:dyDescent="0.3">
      <c r="A3164" s="30" t="s">
        <v>37</v>
      </c>
      <c r="B3164" s="31" t="s">
        <v>15</v>
      </c>
      <c r="C3164" s="31" t="s">
        <v>73</v>
      </c>
      <c r="D3164" s="31" t="s">
        <v>305</v>
      </c>
      <c r="E3164" s="33">
        <v>1061.03</v>
      </c>
      <c r="F3164" s="34">
        <v>58</v>
      </c>
    </row>
    <row r="3165" spans="1:6" x14ac:dyDescent="0.3">
      <c r="A3165" s="35" t="s">
        <v>71</v>
      </c>
      <c r="B3165" s="36" t="s">
        <v>25</v>
      </c>
      <c r="C3165" s="36" t="s">
        <v>20</v>
      </c>
      <c r="D3165" s="36" t="s">
        <v>300</v>
      </c>
      <c r="E3165" s="38">
        <v>2499.92</v>
      </c>
      <c r="F3165" s="39">
        <v>44</v>
      </c>
    </row>
    <row r="3166" spans="1:6" x14ac:dyDescent="0.3">
      <c r="A3166" s="30" t="s">
        <v>12</v>
      </c>
      <c r="B3166" s="31" t="s">
        <v>15</v>
      </c>
      <c r="C3166" s="31" t="s">
        <v>33</v>
      </c>
      <c r="D3166" s="32">
        <v>45538</v>
      </c>
      <c r="E3166" s="33">
        <v>676.29</v>
      </c>
      <c r="F3166" s="34">
        <v>158</v>
      </c>
    </row>
    <row r="3167" spans="1:6" x14ac:dyDescent="0.3">
      <c r="A3167" s="35" t="s">
        <v>70</v>
      </c>
      <c r="B3167" s="36" t="s">
        <v>7</v>
      </c>
      <c r="C3167" s="36" t="s">
        <v>38</v>
      </c>
      <c r="D3167" s="36" t="s">
        <v>269</v>
      </c>
      <c r="E3167" s="38">
        <v>1886.06</v>
      </c>
      <c r="F3167" s="39">
        <v>23</v>
      </c>
    </row>
    <row r="3168" spans="1:6" x14ac:dyDescent="0.3">
      <c r="A3168" s="30" t="s">
        <v>34</v>
      </c>
      <c r="B3168" s="31" t="s">
        <v>35</v>
      </c>
      <c r="C3168" s="31" t="s">
        <v>90</v>
      </c>
      <c r="D3168" s="32">
        <v>45571</v>
      </c>
      <c r="E3168" s="33">
        <v>5093.92</v>
      </c>
      <c r="F3168" s="34">
        <v>524</v>
      </c>
    </row>
    <row r="3169" spans="1:6" x14ac:dyDescent="0.3">
      <c r="A3169" s="35" t="s">
        <v>53</v>
      </c>
      <c r="B3169" s="36" t="s">
        <v>15</v>
      </c>
      <c r="C3169" s="36" t="s">
        <v>42</v>
      </c>
      <c r="D3169" s="37">
        <v>45506</v>
      </c>
      <c r="E3169" s="38">
        <v>1018.8</v>
      </c>
      <c r="F3169" s="39">
        <v>157</v>
      </c>
    </row>
    <row r="3170" spans="1:6" x14ac:dyDescent="0.3">
      <c r="A3170" s="30" t="s">
        <v>28</v>
      </c>
      <c r="B3170" s="31" t="s">
        <v>15</v>
      </c>
      <c r="C3170" s="31" t="s">
        <v>59</v>
      </c>
      <c r="D3170" s="31" t="s">
        <v>309</v>
      </c>
      <c r="E3170" s="33">
        <v>5616.77</v>
      </c>
      <c r="F3170" s="34">
        <v>23</v>
      </c>
    </row>
    <row r="3171" spans="1:6" x14ac:dyDescent="0.3">
      <c r="A3171" s="35" t="s">
        <v>79</v>
      </c>
      <c r="B3171" s="36" t="s">
        <v>10</v>
      </c>
      <c r="C3171" s="36" t="s">
        <v>13</v>
      </c>
      <c r="D3171" s="36" t="s">
        <v>274</v>
      </c>
      <c r="E3171" s="38">
        <v>10461.82</v>
      </c>
      <c r="F3171" s="39">
        <v>78</v>
      </c>
    </row>
    <row r="3172" spans="1:6" x14ac:dyDescent="0.3">
      <c r="A3172" s="30" t="s">
        <v>58</v>
      </c>
      <c r="B3172" s="31" t="s">
        <v>7</v>
      </c>
      <c r="C3172" s="31" t="s">
        <v>20</v>
      </c>
      <c r="D3172" s="31" t="s">
        <v>277</v>
      </c>
      <c r="E3172" s="33">
        <v>12841.79</v>
      </c>
      <c r="F3172" s="34">
        <v>26</v>
      </c>
    </row>
    <row r="3173" spans="1:6" x14ac:dyDescent="0.3">
      <c r="A3173" s="35" t="s">
        <v>12</v>
      </c>
      <c r="B3173" s="36" t="s">
        <v>25</v>
      </c>
      <c r="C3173" s="36" t="s">
        <v>26</v>
      </c>
      <c r="D3173" s="36" t="s">
        <v>282</v>
      </c>
      <c r="E3173" s="38">
        <v>6723.42</v>
      </c>
      <c r="F3173" s="39">
        <v>67</v>
      </c>
    </row>
    <row r="3174" spans="1:6" x14ac:dyDescent="0.3">
      <c r="A3174" s="30" t="s">
        <v>12</v>
      </c>
      <c r="B3174" s="31" t="s">
        <v>32</v>
      </c>
      <c r="C3174" s="31" t="s">
        <v>46</v>
      </c>
      <c r="D3174" s="31" t="s">
        <v>317</v>
      </c>
      <c r="E3174" s="33">
        <v>521.35</v>
      </c>
      <c r="F3174" s="34">
        <v>127</v>
      </c>
    </row>
    <row r="3175" spans="1:6" x14ac:dyDescent="0.3">
      <c r="A3175" s="35" t="s">
        <v>28</v>
      </c>
      <c r="B3175" s="36" t="s">
        <v>7</v>
      </c>
      <c r="C3175" s="36" t="s">
        <v>90</v>
      </c>
      <c r="D3175" s="37">
        <v>45385</v>
      </c>
      <c r="E3175" s="38">
        <v>3106.11</v>
      </c>
      <c r="F3175" s="39">
        <v>159</v>
      </c>
    </row>
    <row r="3176" spans="1:6" x14ac:dyDescent="0.3">
      <c r="A3176" s="30" t="s">
        <v>48</v>
      </c>
      <c r="B3176" s="31" t="s">
        <v>25</v>
      </c>
      <c r="C3176" s="31" t="s">
        <v>13</v>
      </c>
      <c r="D3176" s="31" t="s">
        <v>337</v>
      </c>
      <c r="E3176" s="33">
        <v>1684.28</v>
      </c>
      <c r="F3176" s="34">
        <v>419</v>
      </c>
    </row>
    <row r="3177" spans="1:6" x14ac:dyDescent="0.3">
      <c r="A3177" s="35" t="s">
        <v>48</v>
      </c>
      <c r="B3177" s="36" t="s">
        <v>25</v>
      </c>
      <c r="C3177" s="36" t="s">
        <v>26</v>
      </c>
      <c r="D3177" s="36" t="s">
        <v>302</v>
      </c>
      <c r="E3177" s="38">
        <v>11226.14</v>
      </c>
      <c r="F3177" s="39">
        <v>84</v>
      </c>
    </row>
    <row r="3178" spans="1:6" x14ac:dyDescent="0.3">
      <c r="A3178" s="30" t="s">
        <v>41</v>
      </c>
      <c r="B3178" s="31" t="s">
        <v>35</v>
      </c>
      <c r="C3178" s="31" t="s">
        <v>38</v>
      </c>
      <c r="D3178" s="32">
        <v>45419</v>
      </c>
      <c r="E3178" s="33">
        <v>1172.53</v>
      </c>
      <c r="F3178" s="34">
        <v>124</v>
      </c>
    </row>
    <row r="3179" spans="1:6" x14ac:dyDescent="0.3">
      <c r="A3179" s="35" t="s">
        <v>31</v>
      </c>
      <c r="B3179" s="36" t="s">
        <v>32</v>
      </c>
      <c r="C3179" s="36" t="s">
        <v>90</v>
      </c>
      <c r="D3179" s="36" t="s">
        <v>324</v>
      </c>
      <c r="E3179" s="38">
        <v>3917.13</v>
      </c>
      <c r="F3179" s="39">
        <v>287</v>
      </c>
    </row>
    <row r="3180" spans="1:6" x14ac:dyDescent="0.3">
      <c r="A3180" s="30" t="s">
        <v>34</v>
      </c>
      <c r="B3180" s="31" t="s">
        <v>35</v>
      </c>
      <c r="C3180" s="31" t="s">
        <v>65</v>
      </c>
      <c r="D3180" s="32">
        <v>45631</v>
      </c>
      <c r="E3180" s="33">
        <v>4871.07</v>
      </c>
      <c r="F3180" s="34">
        <v>33</v>
      </c>
    </row>
    <row r="3181" spans="1:6" x14ac:dyDescent="0.3">
      <c r="A3181" s="35" t="s">
        <v>19</v>
      </c>
      <c r="B3181" s="36" t="s">
        <v>32</v>
      </c>
      <c r="C3181" s="36" t="s">
        <v>38</v>
      </c>
      <c r="D3181" s="37">
        <v>45599</v>
      </c>
      <c r="E3181" s="38">
        <v>9306.64</v>
      </c>
      <c r="F3181" s="39">
        <v>48</v>
      </c>
    </row>
    <row r="3182" spans="1:6" x14ac:dyDescent="0.3">
      <c r="A3182" s="30" t="s">
        <v>28</v>
      </c>
      <c r="B3182" s="31" t="s">
        <v>25</v>
      </c>
      <c r="C3182" s="31" t="s">
        <v>36</v>
      </c>
      <c r="D3182" s="32">
        <v>45603</v>
      </c>
      <c r="E3182" s="33">
        <v>5270.33</v>
      </c>
      <c r="F3182" s="34">
        <v>323</v>
      </c>
    </row>
    <row r="3183" spans="1:6" x14ac:dyDescent="0.3">
      <c r="A3183" s="35" t="s">
        <v>22</v>
      </c>
      <c r="B3183" s="36" t="s">
        <v>25</v>
      </c>
      <c r="C3183" s="36" t="s">
        <v>75</v>
      </c>
      <c r="D3183" s="37">
        <v>45299</v>
      </c>
      <c r="E3183" s="38">
        <v>14722.35</v>
      </c>
      <c r="F3183" s="39">
        <v>61</v>
      </c>
    </row>
    <row r="3184" spans="1:6" x14ac:dyDescent="0.3">
      <c r="A3184" s="30" t="s">
        <v>22</v>
      </c>
      <c r="B3184" s="31" t="s">
        <v>7</v>
      </c>
      <c r="C3184" s="31" t="s">
        <v>50</v>
      </c>
      <c r="D3184" s="31" t="s">
        <v>274</v>
      </c>
      <c r="E3184" s="33">
        <v>13444.87</v>
      </c>
      <c r="F3184" s="34">
        <v>197</v>
      </c>
    </row>
    <row r="3185" spans="1:6" x14ac:dyDescent="0.3">
      <c r="A3185" s="35" t="s">
        <v>48</v>
      </c>
      <c r="B3185" s="36" t="s">
        <v>32</v>
      </c>
      <c r="C3185" s="36" t="s">
        <v>23</v>
      </c>
      <c r="D3185" s="36" t="s">
        <v>327</v>
      </c>
      <c r="E3185" s="38">
        <v>14885.97</v>
      </c>
      <c r="F3185" s="39">
        <v>248</v>
      </c>
    </row>
    <row r="3186" spans="1:6" x14ac:dyDescent="0.3">
      <c r="A3186" s="30" t="s">
        <v>45</v>
      </c>
      <c r="B3186" s="31" t="s">
        <v>25</v>
      </c>
      <c r="C3186" s="31" t="s">
        <v>33</v>
      </c>
      <c r="D3186" s="40">
        <v>44930</v>
      </c>
      <c r="E3186" s="33">
        <v>51.29</v>
      </c>
      <c r="F3186" s="34">
        <v>100</v>
      </c>
    </row>
    <row r="3187" spans="1:6" x14ac:dyDescent="0.3">
      <c r="A3187" s="35" t="s">
        <v>83</v>
      </c>
      <c r="B3187" s="36" t="s">
        <v>15</v>
      </c>
      <c r="C3187" s="36" t="s">
        <v>13</v>
      </c>
      <c r="D3187" s="36" t="s">
        <v>278</v>
      </c>
      <c r="E3187" s="38">
        <v>11767.94</v>
      </c>
      <c r="F3187" s="39">
        <v>68</v>
      </c>
    </row>
    <row r="3188" spans="1:6" x14ac:dyDescent="0.3">
      <c r="A3188" s="30" t="s">
        <v>19</v>
      </c>
      <c r="B3188" s="31" t="s">
        <v>15</v>
      </c>
      <c r="C3188" s="31" t="s">
        <v>50</v>
      </c>
      <c r="D3188" s="31" t="s">
        <v>357</v>
      </c>
      <c r="E3188" s="33">
        <v>12897.53</v>
      </c>
      <c r="F3188" s="34">
        <v>25</v>
      </c>
    </row>
    <row r="3189" spans="1:6" x14ac:dyDescent="0.3">
      <c r="A3189" s="35" t="s">
        <v>6</v>
      </c>
      <c r="B3189" s="36" t="s">
        <v>35</v>
      </c>
      <c r="C3189" s="36" t="s">
        <v>60</v>
      </c>
      <c r="D3189" s="37">
        <v>45416</v>
      </c>
      <c r="E3189" s="38">
        <v>3867.62</v>
      </c>
      <c r="F3189" s="39">
        <v>214</v>
      </c>
    </row>
    <row r="3190" spans="1:6" x14ac:dyDescent="0.3">
      <c r="A3190" s="30" t="s">
        <v>71</v>
      </c>
      <c r="B3190" s="31" t="s">
        <v>35</v>
      </c>
      <c r="C3190" s="31" t="s">
        <v>38</v>
      </c>
      <c r="D3190" s="32">
        <v>45354</v>
      </c>
      <c r="E3190" s="33">
        <v>13524.05</v>
      </c>
      <c r="F3190" s="34">
        <v>253</v>
      </c>
    </row>
    <row r="3191" spans="1:6" x14ac:dyDescent="0.3">
      <c r="A3191" s="35" t="s">
        <v>55</v>
      </c>
      <c r="B3191" s="36" t="s">
        <v>32</v>
      </c>
      <c r="C3191" s="36" t="s">
        <v>50</v>
      </c>
      <c r="D3191" s="36" t="s">
        <v>334</v>
      </c>
      <c r="E3191" s="38">
        <v>2319.1</v>
      </c>
      <c r="F3191" s="39">
        <v>189</v>
      </c>
    </row>
    <row r="3192" spans="1:6" x14ac:dyDescent="0.3">
      <c r="A3192" s="30" t="s">
        <v>40</v>
      </c>
      <c r="B3192" s="31" t="s">
        <v>25</v>
      </c>
      <c r="C3192" s="31" t="s">
        <v>100</v>
      </c>
      <c r="D3192" s="31" t="s">
        <v>273</v>
      </c>
      <c r="E3192" s="33">
        <v>9036.58</v>
      </c>
      <c r="F3192" s="34">
        <v>377</v>
      </c>
    </row>
    <row r="3193" spans="1:6" x14ac:dyDescent="0.3">
      <c r="A3193" s="35" t="s">
        <v>45</v>
      </c>
      <c r="B3193" s="36" t="s">
        <v>25</v>
      </c>
      <c r="C3193" s="36" t="s">
        <v>20</v>
      </c>
      <c r="D3193" s="36" t="s">
        <v>360</v>
      </c>
      <c r="E3193" s="38">
        <v>8905.5300000000007</v>
      </c>
      <c r="F3193" s="39">
        <v>201</v>
      </c>
    </row>
    <row r="3194" spans="1:6" x14ac:dyDescent="0.3">
      <c r="A3194" s="30" t="s">
        <v>19</v>
      </c>
      <c r="B3194" s="31" t="s">
        <v>25</v>
      </c>
      <c r="C3194" s="31" t="s">
        <v>11</v>
      </c>
      <c r="D3194" s="32">
        <v>45293</v>
      </c>
      <c r="E3194" s="33">
        <v>4040.65</v>
      </c>
      <c r="F3194" s="34">
        <v>423</v>
      </c>
    </row>
    <row r="3195" spans="1:6" x14ac:dyDescent="0.3">
      <c r="A3195" s="35" t="s">
        <v>79</v>
      </c>
      <c r="B3195" s="36" t="s">
        <v>25</v>
      </c>
      <c r="C3195" s="36" t="s">
        <v>33</v>
      </c>
      <c r="D3195" s="37">
        <v>45390</v>
      </c>
      <c r="E3195" s="38">
        <v>2204.17</v>
      </c>
      <c r="F3195" s="39">
        <v>145</v>
      </c>
    </row>
    <row r="3196" spans="1:6" x14ac:dyDescent="0.3">
      <c r="A3196" s="30" t="s">
        <v>67</v>
      </c>
      <c r="B3196" s="31" t="s">
        <v>25</v>
      </c>
      <c r="C3196" s="31" t="s">
        <v>65</v>
      </c>
      <c r="D3196" s="32">
        <v>45416</v>
      </c>
      <c r="E3196" s="33">
        <v>7037.21</v>
      </c>
      <c r="F3196" s="34">
        <v>172</v>
      </c>
    </row>
    <row r="3197" spans="1:6" x14ac:dyDescent="0.3">
      <c r="A3197" s="35" t="s">
        <v>37</v>
      </c>
      <c r="B3197" s="36" t="s">
        <v>15</v>
      </c>
      <c r="C3197" s="36" t="s">
        <v>20</v>
      </c>
      <c r="D3197" s="36" t="s">
        <v>272</v>
      </c>
      <c r="E3197" s="38">
        <v>12285.41</v>
      </c>
      <c r="F3197" s="39">
        <v>175</v>
      </c>
    </row>
    <row r="3198" spans="1:6" x14ac:dyDescent="0.3">
      <c r="A3198" s="30" t="s">
        <v>55</v>
      </c>
      <c r="B3198" s="31" t="s">
        <v>7</v>
      </c>
      <c r="C3198" s="31" t="s">
        <v>23</v>
      </c>
      <c r="D3198" s="31" t="s">
        <v>330</v>
      </c>
      <c r="E3198" s="33">
        <v>21812.86</v>
      </c>
      <c r="F3198" s="34">
        <v>183</v>
      </c>
    </row>
    <row r="3199" spans="1:6" x14ac:dyDescent="0.3">
      <c r="A3199" s="35" t="s">
        <v>55</v>
      </c>
      <c r="B3199" s="36" t="s">
        <v>35</v>
      </c>
      <c r="C3199" s="36" t="s">
        <v>23</v>
      </c>
      <c r="D3199" s="36" t="s">
        <v>289</v>
      </c>
      <c r="E3199" s="38">
        <v>6707.97</v>
      </c>
      <c r="F3199" s="39">
        <v>187</v>
      </c>
    </row>
    <row r="3200" spans="1:6" x14ac:dyDescent="0.3">
      <c r="A3200" s="30" t="s">
        <v>55</v>
      </c>
      <c r="B3200" s="31" t="s">
        <v>7</v>
      </c>
      <c r="C3200" s="31" t="s">
        <v>38</v>
      </c>
      <c r="D3200" s="31" t="s">
        <v>302</v>
      </c>
      <c r="E3200" s="33">
        <v>2513.58</v>
      </c>
      <c r="F3200" s="34">
        <v>226</v>
      </c>
    </row>
    <row r="3201" spans="1:6" x14ac:dyDescent="0.3">
      <c r="A3201" s="35" t="s">
        <v>29</v>
      </c>
      <c r="B3201" s="36" t="s">
        <v>7</v>
      </c>
      <c r="C3201" s="36" t="s">
        <v>26</v>
      </c>
      <c r="D3201" s="36" t="s">
        <v>274</v>
      </c>
      <c r="E3201" s="38">
        <v>11491.21</v>
      </c>
      <c r="F3201" s="39">
        <v>71</v>
      </c>
    </row>
    <row r="3202" spans="1:6" x14ac:dyDescent="0.3">
      <c r="A3202" s="30" t="s">
        <v>79</v>
      </c>
      <c r="B3202" s="31" t="s">
        <v>32</v>
      </c>
      <c r="C3202" s="31" t="s">
        <v>73</v>
      </c>
      <c r="D3202" s="32">
        <v>45352</v>
      </c>
      <c r="E3202" s="33">
        <v>3762.58</v>
      </c>
      <c r="F3202" s="34">
        <v>49</v>
      </c>
    </row>
    <row r="3203" spans="1:6" x14ac:dyDescent="0.3">
      <c r="A3203" s="35" t="s">
        <v>37</v>
      </c>
      <c r="B3203" s="36" t="s">
        <v>32</v>
      </c>
      <c r="C3203" s="36" t="s">
        <v>59</v>
      </c>
      <c r="D3203" s="36" t="s">
        <v>285</v>
      </c>
      <c r="E3203" s="38">
        <v>5158.01</v>
      </c>
      <c r="F3203" s="39">
        <v>2</v>
      </c>
    </row>
    <row r="3204" spans="1:6" x14ac:dyDescent="0.3">
      <c r="A3204" s="30" t="s">
        <v>19</v>
      </c>
      <c r="B3204" s="31" t="s">
        <v>32</v>
      </c>
      <c r="C3204" s="31" t="s">
        <v>50</v>
      </c>
      <c r="D3204" s="32">
        <v>45475</v>
      </c>
      <c r="E3204" s="33">
        <v>6660.69</v>
      </c>
      <c r="F3204" s="34">
        <v>418</v>
      </c>
    </row>
    <row r="3205" spans="1:6" x14ac:dyDescent="0.3">
      <c r="A3205" s="35" t="s">
        <v>34</v>
      </c>
      <c r="B3205" s="36" t="s">
        <v>15</v>
      </c>
      <c r="C3205" s="36" t="s">
        <v>18</v>
      </c>
      <c r="D3205" s="37">
        <v>45598</v>
      </c>
      <c r="E3205" s="38">
        <v>4786.05</v>
      </c>
      <c r="F3205" s="39">
        <v>107</v>
      </c>
    </row>
    <row r="3206" spans="1:6" x14ac:dyDescent="0.3">
      <c r="A3206" s="30" t="s">
        <v>55</v>
      </c>
      <c r="B3206" s="31" t="s">
        <v>35</v>
      </c>
      <c r="C3206" s="31" t="s">
        <v>42</v>
      </c>
      <c r="D3206" s="31" t="s">
        <v>324</v>
      </c>
      <c r="E3206" s="33">
        <v>6797.67</v>
      </c>
      <c r="F3206" s="34">
        <v>82</v>
      </c>
    </row>
    <row r="3207" spans="1:6" x14ac:dyDescent="0.3">
      <c r="A3207" s="35" t="s">
        <v>40</v>
      </c>
      <c r="B3207" s="36" t="s">
        <v>32</v>
      </c>
      <c r="C3207" s="36" t="s">
        <v>13</v>
      </c>
      <c r="D3207" s="36" t="s">
        <v>280</v>
      </c>
      <c r="E3207" s="38">
        <v>782.24</v>
      </c>
      <c r="F3207" s="39">
        <v>348</v>
      </c>
    </row>
    <row r="3208" spans="1:6" x14ac:dyDescent="0.3">
      <c r="A3208" s="30" t="s">
        <v>58</v>
      </c>
      <c r="B3208" s="31" t="s">
        <v>7</v>
      </c>
      <c r="C3208" s="31" t="s">
        <v>18</v>
      </c>
      <c r="D3208" s="31" t="s">
        <v>357</v>
      </c>
      <c r="E3208" s="33">
        <v>653.1</v>
      </c>
      <c r="F3208" s="34">
        <v>136</v>
      </c>
    </row>
    <row r="3209" spans="1:6" x14ac:dyDescent="0.3">
      <c r="A3209" s="35" t="s">
        <v>28</v>
      </c>
      <c r="B3209" s="36" t="s">
        <v>15</v>
      </c>
      <c r="C3209" s="36" t="s">
        <v>42</v>
      </c>
      <c r="D3209" s="36" t="s">
        <v>292</v>
      </c>
      <c r="E3209" s="38">
        <v>4768.88</v>
      </c>
      <c r="F3209" s="39">
        <v>281</v>
      </c>
    </row>
    <row r="3210" spans="1:6" x14ac:dyDescent="0.3">
      <c r="A3210" s="30" t="s">
        <v>41</v>
      </c>
      <c r="B3210" s="31" t="s">
        <v>10</v>
      </c>
      <c r="C3210" s="31" t="s">
        <v>42</v>
      </c>
      <c r="D3210" s="31" t="s">
        <v>348</v>
      </c>
      <c r="E3210" s="33">
        <v>1123.57</v>
      </c>
      <c r="F3210" s="34">
        <v>19</v>
      </c>
    </row>
    <row r="3211" spans="1:6" x14ac:dyDescent="0.3">
      <c r="A3211" s="35" t="s">
        <v>58</v>
      </c>
      <c r="B3211" s="36" t="s">
        <v>15</v>
      </c>
      <c r="C3211" s="36" t="s">
        <v>87</v>
      </c>
      <c r="D3211" s="37">
        <v>45597</v>
      </c>
      <c r="E3211" s="38">
        <v>16435.38</v>
      </c>
      <c r="F3211" s="39">
        <v>425</v>
      </c>
    </row>
    <row r="3212" spans="1:6" x14ac:dyDescent="0.3">
      <c r="A3212" s="30" t="s">
        <v>41</v>
      </c>
      <c r="B3212" s="31" t="s">
        <v>7</v>
      </c>
      <c r="C3212" s="31" t="s">
        <v>26</v>
      </c>
      <c r="D3212" s="32">
        <v>45537</v>
      </c>
      <c r="E3212" s="33">
        <v>2922.18</v>
      </c>
      <c r="F3212" s="34">
        <v>289</v>
      </c>
    </row>
    <row r="3213" spans="1:6" x14ac:dyDescent="0.3">
      <c r="A3213" s="35" t="s">
        <v>9</v>
      </c>
      <c r="B3213" s="36" t="s">
        <v>7</v>
      </c>
      <c r="C3213" s="36" t="s">
        <v>65</v>
      </c>
      <c r="D3213" s="37">
        <v>45449</v>
      </c>
      <c r="E3213" s="38">
        <v>12123.84</v>
      </c>
      <c r="F3213" s="39">
        <v>222</v>
      </c>
    </row>
    <row r="3214" spans="1:6" x14ac:dyDescent="0.3">
      <c r="A3214" s="30" t="s">
        <v>79</v>
      </c>
      <c r="B3214" s="31" t="s">
        <v>7</v>
      </c>
      <c r="C3214" s="31" t="s">
        <v>90</v>
      </c>
      <c r="D3214" s="32">
        <v>45573</v>
      </c>
      <c r="E3214" s="33">
        <v>6448.87</v>
      </c>
      <c r="F3214" s="34">
        <v>244</v>
      </c>
    </row>
    <row r="3215" spans="1:6" x14ac:dyDescent="0.3">
      <c r="A3215" s="35" t="s">
        <v>64</v>
      </c>
      <c r="B3215" s="36" t="s">
        <v>15</v>
      </c>
      <c r="C3215" s="36" t="s">
        <v>18</v>
      </c>
      <c r="D3215" s="37">
        <v>45383</v>
      </c>
      <c r="E3215" s="38">
        <v>2587.61</v>
      </c>
      <c r="F3215" s="39">
        <v>44</v>
      </c>
    </row>
    <row r="3216" spans="1:6" x14ac:dyDescent="0.3">
      <c r="A3216" s="30" t="s">
        <v>67</v>
      </c>
      <c r="B3216" s="31" t="s">
        <v>35</v>
      </c>
      <c r="C3216" s="31" t="s">
        <v>100</v>
      </c>
      <c r="D3216" s="32">
        <v>45508</v>
      </c>
      <c r="E3216" s="33">
        <v>12109</v>
      </c>
      <c r="F3216" s="34">
        <v>16</v>
      </c>
    </row>
    <row r="3217" spans="1:6" x14ac:dyDescent="0.3">
      <c r="A3217" s="35" t="s">
        <v>31</v>
      </c>
      <c r="B3217" s="36" t="s">
        <v>7</v>
      </c>
      <c r="C3217" s="36" t="s">
        <v>46</v>
      </c>
      <c r="D3217" s="37">
        <v>45325</v>
      </c>
      <c r="E3217" s="38">
        <v>4482.33</v>
      </c>
      <c r="F3217" s="39">
        <v>467</v>
      </c>
    </row>
    <row r="3218" spans="1:6" x14ac:dyDescent="0.3">
      <c r="A3218" s="30" t="s">
        <v>9</v>
      </c>
      <c r="B3218" s="31" t="s">
        <v>35</v>
      </c>
      <c r="C3218" s="31" t="s">
        <v>38</v>
      </c>
      <c r="D3218" s="31" t="s">
        <v>280</v>
      </c>
      <c r="E3218" s="33">
        <v>5294.88</v>
      </c>
      <c r="F3218" s="34">
        <v>679</v>
      </c>
    </row>
    <row r="3219" spans="1:6" x14ac:dyDescent="0.3">
      <c r="A3219" s="35" t="s">
        <v>6</v>
      </c>
      <c r="B3219" s="36" t="s">
        <v>15</v>
      </c>
      <c r="C3219" s="36" t="s">
        <v>23</v>
      </c>
      <c r="D3219" s="36" t="s">
        <v>273</v>
      </c>
      <c r="E3219" s="38">
        <v>5512.57</v>
      </c>
      <c r="F3219" s="39">
        <v>46</v>
      </c>
    </row>
    <row r="3220" spans="1:6" x14ac:dyDescent="0.3">
      <c r="A3220" s="30" t="s">
        <v>53</v>
      </c>
      <c r="B3220" s="31" t="s">
        <v>7</v>
      </c>
      <c r="C3220" s="31" t="s">
        <v>23</v>
      </c>
      <c r="D3220" s="32">
        <v>45419</v>
      </c>
      <c r="E3220" s="33">
        <v>3707.27</v>
      </c>
      <c r="F3220" s="34">
        <v>392</v>
      </c>
    </row>
    <row r="3221" spans="1:6" x14ac:dyDescent="0.3">
      <c r="A3221" s="35" t="s">
        <v>31</v>
      </c>
      <c r="B3221" s="36" t="s">
        <v>10</v>
      </c>
      <c r="C3221" s="36" t="s">
        <v>8</v>
      </c>
      <c r="D3221" s="37">
        <v>45627</v>
      </c>
      <c r="E3221" s="38">
        <v>7899.01</v>
      </c>
      <c r="F3221" s="39">
        <v>461</v>
      </c>
    </row>
    <row r="3222" spans="1:6" x14ac:dyDescent="0.3">
      <c r="A3222" s="30" t="s">
        <v>48</v>
      </c>
      <c r="B3222" s="31" t="s">
        <v>10</v>
      </c>
      <c r="C3222" s="31" t="s">
        <v>8</v>
      </c>
      <c r="D3222" s="32">
        <v>45354</v>
      </c>
      <c r="E3222" s="33">
        <v>9813.42</v>
      </c>
      <c r="F3222" s="34">
        <v>100</v>
      </c>
    </row>
    <row r="3223" spans="1:6" x14ac:dyDescent="0.3">
      <c r="A3223" s="35" t="s">
        <v>6</v>
      </c>
      <c r="B3223" s="36" t="s">
        <v>25</v>
      </c>
      <c r="C3223" s="36" t="s">
        <v>46</v>
      </c>
      <c r="D3223" s="36" t="s">
        <v>293</v>
      </c>
      <c r="E3223" s="38">
        <v>2845.74</v>
      </c>
      <c r="F3223" s="39">
        <v>197</v>
      </c>
    </row>
    <row r="3224" spans="1:6" x14ac:dyDescent="0.3">
      <c r="A3224" s="30" t="s">
        <v>22</v>
      </c>
      <c r="B3224" s="31" t="s">
        <v>10</v>
      </c>
      <c r="C3224" s="31" t="s">
        <v>90</v>
      </c>
      <c r="D3224" s="31" t="s">
        <v>271</v>
      </c>
      <c r="E3224" s="33">
        <v>2941.72</v>
      </c>
      <c r="F3224" s="34">
        <v>220</v>
      </c>
    </row>
    <row r="3225" spans="1:6" x14ac:dyDescent="0.3">
      <c r="A3225" s="35" t="s">
        <v>48</v>
      </c>
      <c r="B3225" s="36" t="s">
        <v>7</v>
      </c>
      <c r="C3225" s="36" t="s">
        <v>60</v>
      </c>
      <c r="D3225" s="37">
        <v>45475</v>
      </c>
      <c r="E3225" s="38">
        <v>1969.62</v>
      </c>
      <c r="F3225" s="39">
        <v>114</v>
      </c>
    </row>
    <row r="3226" spans="1:6" x14ac:dyDescent="0.3">
      <c r="A3226" s="30" t="s">
        <v>67</v>
      </c>
      <c r="B3226" s="31" t="s">
        <v>10</v>
      </c>
      <c r="C3226" s="31" t="s">
        <v>33</v>
      </c>
      <c r="D3226" s="31" t="s">
        <v>277</v>
      </c>
      <c r="E3226" s="33">
        <v>339.64</v>
      </c>
      <c r="F3226" s="34">
        <v>452</v>
      </c>
    </row>
    <row r="3227" spans="1:6" x14ac:dyDescent="0.3">
      <c r="A3227" s="35" t="s">
        <v>34</v>
      </c>
      <c r="B3227" s="36" t="s">
        <v>15</v>
      </c>
      <c r="C3227" s="36" t="s">
        <v>73</v>
      </c>
      <c r="D3227" s="36" t="s">
        <v>320</v>
      </c>
      <c r="E3227" s="38">
        <v>8818.17</v>
      </c>
      <c r="F3227" s="39">
        <v>29</v>
      </c>
    </row>
    <row r="3228" spans="1:6" x14ac:dyDescent="0.3">
      <c r="A3228" s="30" t="s">
        <v>41</v>
      </c>
      <c r="B3228" s="31" t="s">
        <v>35</v>
      </c>
      <c r="C3228" s="31" t="s">
        <v>11</v>
      </c>
      <c r="D3228" s="31" t="s">
        <v>274</v>
      </c>
      <c r="E3228" s="33">
        <v>6829.86</v>
      </c>
      <c r="F3228" s="34">
        <v>46</v>
      </c>
    </row>
    <row r="3229" spans="1:6" x14ac:dyDescent="0.3">
      <c r="A3229" s="35" t="s">
        <v>70</v>
      </c>
      <c r="B3229" s="36" t="s">
        <v>15</v>
      </c>
      <c r="C3229" s="36" t="s">
        <v>38</v>
      </c>
      <c r="D3229" s="37">
        <v>45387</v>
      </c>
      <c r="E3229" s="38">
        <v>1370.19</v>
      </c>
      <c r="F3229" s="39">
        <v>58</v>
      </c>
    </row>
    <row r="3230" spans="1:6" x14ac:dyDescent="0.3">
      <c r="A3230" s="30" t="s">
        <v>9</v>
      </c>
      <c r="B3230" s="31" t="s">
        <v>35</v>
      </c>
      <c r="C3230" s="31" t="s">
        <v>100</v>
      </c>
      <c r="D3230" s="32">
        <v>45328</v>
      </c>
      <c r="E3230" s="33">
        <v>7731.47</v>
      </c>
      <c r="F3230" s="34">
        <v>77</v>
      </c>
    </row>
    <row r="3231" spans="1:6" x14ac:dyDescent="0.3">
      <c r="A3231" s="35" t="s">
        <v>58</v>
      </c>
      <c r="B3231" s="36" t="s">
        <v>32</v>
      </c>
      <c r="C3231" s="36" t="s">
        <v>90</v>
      </c>
      <c r="D3231" s="37">
        <v>45603</v>
      </c>
      <c r="E3231" s="38">
        <v>2757.16</v>
      </c>
      <c r="F3231" s="39">
        <v>463</v>
      </c>
    </row>
    <row r="3232" spans="1:6" x14ac:dyDescent="0.3">
      <c r="A3232" s="30" t="s">
        <v>45</v>
      </c>
      <c r="B3232" s="31" t="s">
        <v>25</v>
      </c>
      <c r="C3232" s="31" t="s">
        <v>33</v>
      </c>
      <c r="D3232" s="40">
        <v>45295</v>
      </c>
      <c r="E3232" s="33">
        <v>51.98</v>
      </c>
      <c r="F3232" s="34">
        <v>95</v>
      </c>
    </row>
    <row r="3233" spans="1:6" x14ac:dyDescent="0.3">
      <c r="A3233" s="35" t="s">
        <v>14</v>
      </c>
      <c r="B3233" s="36" t="s">
        <v>7</v>
      </c>
      <c r="C3233" s="36" t="s">
        <v>65</v>
      </c>
      <c r="D3233" s="37">
        <v>45450</v>
      </c>
      <c r="E3233" s="38">
        <v>10817.45</v>
      </c>
      <c r="F3233" s="39">
        <v>151</v>
      </c>
    </row>
    <row r="3234" spans="1:6" x14ac:dyDescent="0.3">
      <c r="A3234" s="30" t="s">
        <v>53</v>
      </c>
      <c r="B3234" s="31" t="s">
        <v>10</v>
      </c>
      <c r="C3234" s="31" t="s">
        <v>73</v>
      </c>
      <c r="D3234" s="31" t="s">
        <v>280</v>
      </c>
      <c r="E3234" s="33">
        <v>11595.41</v>
      </c>
      <c r="F3234" s="34">
        <v>153</v>
      </c>
    </row>
    <row r="3235" spans="1:6" x14ac:dyDescent="0.3">
      <c r="A3235" s="35" t="s">
        <v>79</v>
      </c>
      <c r="B3235" s="36" t="s">
        <v>10</v>
      </c>
      <c r="C3235" s="36" t="s">
        <v>8</v>
      </c>
      <c r="D3235" s="36" t="s">
        <v>298</v>
      </c>
      <c r="E3235" s="38">
        <v>1375.22</v>
      </c>
      <c r="F3235" s="39">
        <v>231</v>
      </c>
    </row>
    <row r="3236" spans="1:6" x14ac:dyDescent="0.3">
      <c r="A3236" s="30" t="s">
        <v>71</v>
      </c>
      <c r="B3236" s="31" t="s">
        <v>10</v>
      </c>
      <c r="C3236" s="31" t="s">
        <v>38</v>
      </c>
      <c r="D3236" s="32">
        <v>45512</v>
      </c>
      <c r="E3236" s="33">
        <v>503.52</v>
      </c>
      <c r="F3236" s="34">
        <v>167</v>
      </c>
    </row>
    <row r="3237" spans="1:6" x14ac:dyDescent="0.3">
      <c r="A3237" s="35" t="s">
        <v>40</v>
      </c>
      <c r="B3237" s="36" t="s">
        <v>7</v>
      </c>
      <c r="C3237" s="36" t="s">
        <v>38</v>
      </c>
      <c r="D3237" s="36" t="s">
        <v>324</v>
      </c>
      <c r="E3237" s="38">
        <v>1135.1600000000001</v>
      </c>
      <c r="F3237" s="39">
        <v>27</v>
      </c>
    </row>
    <row r="3238" spans="1:6" x14ac:dyDescent="0.3">
      <c r="A3238" s="30" t="s">
        <v>45</v>
      </c>
      <c r="B3238" s="31" t="s">
        <v>15</v>
      </c>
      <c r="C3238" s="31" t="s">
        <v>42</v>
      </c>
      <c r="D3238" s="32">
        <v>45389</v>
      </c>
      <c r="E3238" s="33">
        <v>4375.45</v>
      </c>
      <c r="F3238" s="34">
        <v>79</v>
      </c>
    </row>
    <row r="3239" spans="1:6" x14ac:dyDescent="0.3">
      <c r="A3239" s="35" t="s">
        <v>83</v>
      </c>
      <c r="B3239" s="36" t="s">
        <v>10</v>
      </c>
      <c r="C3239" s="36" t="s">
        <v>20</v>
      </c>
      <c r="D3239" s="36" t="s">
        <v>274</v>
      </c>
      <c r="E3239" s="38">
        <v>536.74</v>
      </c>
      <c r="F3239" s="39">
        <v>102</v>
      </c>
    </row>
    <row r="3240" spans="1:6" x14ac:dyDescent="0.3">
      <c r="A3240" s="30" t="s">
        <v>29</v>
      </c>
      <c r="B3240" s="31" t="s">
        <v>35</v>
      </c>
      <c r="C3240" s="31" t="s">
        <v>50</v>
      </c>
      <c r="D3240" s="32">
        <v>45327</v>
      </c>
      <c r="E3240" s="33">
        <v>2702.08</v>
      </c>
      <c r="F3240" s="34">
        <v>164</v>
      </c>
    </row>
    <row r="3241" spans="1:6" x14ac:dyDescent="0.3">
      <c r="A3241" s="35" t="s">
        <v>9</v>
      </c>
      <c r="B3241" s="36" t="s">
        <v>10</v>
      </c>
      <c r="C3241" s="36" t="s">
        <v>36</v>
      </c>
      <c r="D3241" s="36" t="s">
        <v>347</v>
      </c>
      <c r="E3241" s="38">
        <v>11064.27</v>
      </c>
      <c r="F3241" s="39">
        <v>104</v>
      </c>
    </row>
    <row r="3242" spans="1:6" x14ac:dyDescent="0.3">
      <c r="A3242" s="30" t="s">
        <v>22</v>
      </c>
      <c r="B3242" s="31" t="s">
        <v>15</v>
      </c>
      <c r="C3242" s="31" t="s">
        <v>20</v>
      </c>
      <c r="D3242" s="31" t="s">
        <v>304</v>
      </c>
      <c r="E3242" s="33">
        <v>8861.83</v>
      </c>
      <c r="F3242" s="34">
        <v>226</v>
      </c>
    </row>
    <row r="3243" spans="1:6" x14ac:dyDescent="0.3">
      <c r="A3243" s="35" t="s">
        <v>55</v>
      </c>
      <c r="B3243" s="36" t="s">
        <v>32</v>
      </c>
      <c r="C3243" s="36" t="s">
        <v>11</v>
      </c>
      <c r="D3243" s="36" t="s">
        <v>353</v>
      </c>
      <c r="E3243" s="38">
        <v>564.66999999999996</v>
      </c>
      <c r="F3243" s="39">
        <v>256</v>
      </c>
    </row>
    <row r="3244" spans="1:6" x14ac:dyDescent="0.3">
      <c r="A3244" s="30" t="s">
        <v>71</v>
      </c>
      <c r="B3244" s="31" t="s">
        <v>7</v>
      </c>
      <c r="C3244" s="31" t="s">
        <v>13</v>
      </c>
      <c r="D3244" s="31" t="s">
        <v>290</v>
      </c>
      <c r="E3244" s="33">
        <v>5267.69</v>
      </c>
      <c r="F3244" s="34">
        <v>120</v>
      </c>
    </row>
    <row r="3245" spans="1:6" x14ac:dyDescent="0.3">
      <c r="A3245" s="35" t="s">
        <v>77</v>
      </c>
      <c r="B3245" s="36" t="s">
        <v>7</v>
      </c>
      <c r="C3245" s="36" t="s">
        <v>13</v>
      </c>
      <c r="D3245" s="37">
        <v>45634</v>
      </c>
      <c r="E3245" s="38">
        <v>8698.4699999999993</v>
      </c>
      <c r="F3245" s="39">
        <v>89</v>
      </c>
    </row>
    <row r="3246" spans="1:6" x14ac:dyDescent="0.3">
      <c r="A3246" s="30" t="s">
        <v>77</v>
      </c>
      <c r="B3246" s="31" t="s">
        <v>32</v>
      </c>
      <c r="C3246" s="31" t="s">
        <v>75</v>
      </c>
      <c r="D3246" s="32">
        <v>45479</v>
      </c>
      <c r="E3246" s="33">
        <v>6025.6</v>
      </c>
      <c r="F3246" s="34">
        <v>137</v>
      </c>
    </row>
    <row r="3247" spans="1:6" x14ac:dyDescent="0.3">
      <c r="A3247" s="35" t="s">
        <v>40</v>
      </c>
      <c r="B3247" s="36" t="s">
        <v>35</v>
      </c>
      <c r="C3247" s="36" t="s">
        <v>13</v>
      </c>
      <c r="D3247" s="37">
        <v>45507</v>
      </c>
      <c r="E3247" s="38">
        <v>7032.54</v>
      </c>
      <c r="F3247" s="39">
        <v>87</v>
      </c>
    </row>
    <row r="3248" spans="1:6" x14ac:dyDescent="0.3">
      <c r="A3248" s="30" t="s">
        <v>83</v>
      </c>
      <c r="B3248" s="31" t="s">
        <v>15</v>
      </c>
      <c r="C3248" s="31" t="s">
        <v>75</v>
      </c>
      <c r="D3248" s="32">
        <v>45508</v>
      </c>
      <c r="E3248" s="33">
        <v>1572.79</v>
      </c>
      <c r="F3248" s="34">
        <v>176</v>
      </c>
    </row>
    <row r="3249" spans="1:6" x14ac:dyDescent="0.3">
      <c r="A3249" s="35" t="s">
        <v>48</v>
      </c>
      <c r="B3249" s="36" t="s">
        <v>35</v>
      </c>
      <c r="C3249" s="36" t="s">
        <v>36</v>
      </c>
      <c r="D3249" s="37">
        <v>45448</v>
      </c>
      <c r="E3249" s="38">
        <v>857.34</v>
      </c>
      <c r="F3249" s="39">
        <v>197</v>
      </c>
    </row>
    <row r="3250" spans="1:6" x14ac:dyDescent="0.3">
      <c r="A3250" s="30" t="s">
        <v>45</v>
      </c>
      <c r="B3250" s="31" t="s">
        <v>10</v>
      </c>
      <c r="C3250" s="31" t="s">
        <v>38</v>
      </c>
      <c r="D3250" s="31" t="s">
        <v>332</v>
      </c>
      <c r="E3250" s="33">
        <v>4899.47</v>
      </c>
      <c r="F3250" s="34">
        <v>11</v>
      </c>
    </row>
    <row r="3251" spans="1:6" x14ac:dyDescent="0.3">
      <c r="A3251" s="35" t="s">
        <v>9</v>
      </c>
      <c r="B3251" s="36" t="s">
        <v>15</v>
      </c>
      <c r="C3251" s="36" t="s">
        <v>8</v>
      </c>
      <c r="D3251" s="36" t="s">
        <v>270</v>
      </c>
      <c r="E3251" s="38">
        <v>2924.06</v>
      </c>
      <c r="F3251" s="39">
        <v>295</v>
      </c>
    </row>
    <row r="3252" spans="1:6" x14ac:dyDescent="0.3">
      <c r="A3252" s="30" t="s">
        <v>58</v>
      </c>
      <c r="B3252" s="31" t="s">
        <v>32</v>
      </c>
      <c r="C3252" s="31" t="s">
        <v>100</v>
      </c>
      <c r="D3252" s="31" t="s">
        <v>337</v>
      </c>
      <c r="E3252" s="33">
        <v>730.06</v>
      </c>
      <c r="F3252" s="34">
        <v>78</v>
      </c>
    </row>
    <row r="3253" spans="1:6" x14ac:dyDescent="0.3">
      <c r="A3253" s="35" t="s">
        <v>67</v>
      </c>
      <c r="B3253" s="36" t="s">
        <v>35</v>
      </c>
      <c r="C3253" s="36" t="s">
        <v>13</v>
      </c>
      <c r="D3253" s="36" t="s">
        <v>274</v>
      </c>
      <c r="E3253" s="38">
        <v>1348.05</v>
      </c>
      <c r="F3253" s="39">
        <v>332</v>
      </c>
    </row>
    <row r="3254" spans="1:6" x14ac:dyDescent="0.3">
      <c r="A3254" s="30" t="s">
        <v>12</v>
      </c>
      <c r="B3254" s="31" t="s">
        <v>32</v>
      </c>
      <c r="C3254" s="31" t="s">
        <v>100</v>
      </c>
      <c r="D3254" s="31" t="s">
        <v>328</v>
      </c>
      <c r="E3254" s="33">
        <v>8561.59</v>
      </c>
      <c r="F3254" s="34">
        <v>204</v>
      </c>
    </row>
    <row r="3255" spans="1:6" x14ac:dyDescent="0.3">
      <c r="A3255" s="35" t="s">
        <v>29</v>
      </c>
      <c r="B3255" s="36" t="s">
        <v>15</v>
      </c>
      <c r="C3255" s="36" t="s">
        <v>59</v>
      </c>
      <c r="D3255" s="36" t="s">
        <v>354</v>
      </c>
      <c r="E3255" s="38">
        <v>7326.91</v>
      </c>
      <c r="F3255" s="39">
        <v>102</v>
      </c>
    </row>
    <row r="3256" spans="1:6" x14ac:dyDescent="0.3">
      <c r="A3256" s="30" t="s">
        <v>45</v>
      </c>
      <c r="B3256" s="31" t="s">
        <v>35</v>
      </c>
      <c r="C3256" s="31" t="s">
        <v>38</v>
      </c>
      <c r="D3256" s="31" t="s">
        <v>350</v>
      </c>
      <c r="E3256" s="33">
        <v>8196.93</v>
      </c>
      <c r="F3256" s="34">
        <v>340</v>
      </c>
    </row>
    <row r="3257" spans="1:6" x14ac:dyDescent="0.3">
      <c r="A3257" s="35" t="s">
        <v>71</v>
      </c>
      <c r="B3257" s="36" t="s">
        <v>25</v>
      </c>
      <c r="C3257" s="36" t="s">
        <v>11</v>
      </c>
      <c r="D3257" s="37">
        <v>45512</v>
      </c>
      <c r="E3257" s="38">
        <v>17841.919999999998</v>
      </c>
      <c r="F3257" s="39">
        <v>53</v>
      </c>
    </row>
    <row r="3258" spans="1:6" x14ac:dyDescent="0.3">
      <c r="A3258" s="30" t="s">
        <v>77</v>
      </c>
      <c r="B3258" s="31" t="s">
        <v>35</v>
      </c>
      <c r="C3258" s="31" t="s">
        <v>46</v>
      </c>
      <c r="D3258" s="31" t="s">
        <v>357</v>
      </c>
      <c r="E3258" s="33">
        <v>4285.13</v>
      </c>
      <c r="F3258" s="34">
        <v>87</v>
      </c>
    </row>
    <row r="3259" spans="1:6" x14ac:dyDescent="0.3">
      <c r="A3259" s="35" t="s">
        <v>77</v>
      </c>
      <c r="B3259" s="36" t="s">
        <v>15</v>
      </c>
      <c r="C3259" s="36" t="s">
        <v>100</v>
      </c>
      <c r="D3259" s="36" t="s">
        <v>287</v>
      </c>
      <c r="E3259" s="38">
        <v>4196.2299999999996</v>
      </c>
      <c r="F3259" s="39">
        <v>256</v>
      </c>
    </row>
    <row r="3260" spans="1:6" x14ac:dyDescent="0.3">
      <c r="A3260" s="30" t="s">
        <v>19</v>
      </c>
      <c r="B3260" s="31" t="s">
        <v>35</v>
      </c>
      <c r="C3260" s="31" t="s">
        <v>36</v>
      </c>
      <c r="D3260" s="31" t="s">
        <v>286</v>
      </c>
      <c r="E3260" s="33">
        <v>6409.31</v>
      </c>
      <c r="F3260" s="34">
        <v>621</v>
      </c>
    </row>
    <row r="3261" spans="1:6" x14ac:dyDescent="0.3">
      <c r="A3261" s="35" t="s">
        <v>58</v>
      </c>
      <c r="B3261" s="36" t="s">
        <v>35</v>
      </c>
      <c r="C3261" s="36" t="s">
        <v>38</v>
      </c>
      <c r="D3261" s="37">
        <v>45566</v>
      </c>
      <c r="E3261" s="38">
        <v>3010.07</v>
      </c>
      <c r="F3261" s="39">
        <v>24</v>
      </c>
    </row>
    <row r="3262" spans="1:6" x14ac:dyDescent="0.3">
      <c r="A3262" s="30" t="s">
        <v>34</v>
      </c>
      <c r="B3262" s="31" t="s">
        <v>25</v>
      </c>
      <c r="C3262" s="31" t="s">
        <v>23</v>
      </c>
      <c r="D3262" s="32">
        <v>45387</v>
      </c>
      <c r="E3262" s="33">
        <v>567.91</v>
      </c>
      <c r="F3262" s="34">
        <v>225</v>
      </c>
    </row>
    <row r="3263" spans="1:6" x14ac:dyDescent="0.3">
      <c r="A3263" s="35" t="s">
        <v>45</v>
      </c>
      <c r="B3263" s="36" t="s">
        <v>35</v>
      </c>
      <c r="C3263" s="36" t="s">
        <v>59</v>
      </c>
      <c r="D3263" s="37">
        <v>45416</v>
      </c>
      <c r="E3263" s="38">
        <v>6948.79</v>
      </c>
      <c r="F3263" s="39">
        <v>292</v>
      </c>
    </row>
    <row r="3264" spans="1:6" x14ac:dyDescent="0.3">
      <c r="A3264" s="30" t="s">
        <v>67</v>
      </c>
      <c r="B3264" s="31" t="s">
        <v>10</v>
      </c>
      <c r="C3264" s="31" t="s">
        <v>23</v>
      </c>
      <c r="D3264" s="31" t="s">
        <v>358</v>
      </c>
      <c r="E3264" s="33">
        <v>1009.28</v>
      </c>
      <c r="F3264" s="34">
        <v>69</v>
      </c>
    </row>
    <row r="3265" spans="1:6" x14ac:dyDescent="0.3">
      <c r="A3265" s="35" t="s">
        <v>45</v>
      </c>
      <c r="B3265" s="36" t="s">
        <v>10</v>
      </c>
      <c r="C3265" s="36" t="s">
        <v>50</v>
      </c>
      <c r="D3265" s="36" t="s">
        <v>345</v>
      </c>
      <c r="E3265" s="38">
        <v>12049.05</v>
      </c>
      <c r="F3265" s="39">
        <v>180</v>
      </c>
    </row>
    <row r="3266" spans="1:6" x14ac:dyDescent="0.3">
      <c r="A3266" s="30" t="s">
        <v>79</v>
      </c>
      <c r="B3266" s="31" t="s">
        <v>15</v>
      </c>
      <c r="C3266" s="31" t="s">
        <v>59</v>
      </c>
      <c r="D3266" s="32">
        <v>45419</v>
      </c>
      <c r="E3266" s="33">
        <v>6969.38</v>
      </c>
      <c r="F3266" s="34">
        <v>102</v>
      </c>
    </row>
    <row r="3267" spans="1:6" x14ac:dyDescent="0.3">
      <c r="A3267" s="35" t="s">
        <v>19</v>
      </c>
      <c r="B3267" s="36" t="s">
        <v>35</v>
      </c>
      <c r="C3267" s="36" t="s">
        <v>33</v>
      </c>
      <c r="D3267" s="36" t="s">
        <v>265</v>
      </c>
      <c r="E3267" s="38">
        <v>10257.74</v>
      </c>
      <c r="F3267" s="39">
        <v>328</v>
      </c>
    </row>
    <row r="3268" spans="1:6" x14ac:dyDescent="0.3">
      <c r="A3268" s="30" t="s">
        <v>55</v>
      </c>
      <c r="B3268" s="31" t="s">
        <v>35</v>
      </c>
      <c r="C3268" s="31" t="s">
        <v>65</v>
      </c>
      <c r="D3268" s="32">
        <v>45634</v>
      </c>
      <c r="E3268" s="33">
        <v>7220.35</v>
      </c>
      <c r="F3268" s="34">
        <v>71</v>
      </c>
    </row>
    <row r="3269" spans="1:6" x14ac:dyDescent="0.3">
      <c r="A3269" s="35" t="s">
        <v>14</v>
      </c>
      <c r="B3269" s="36" t="s">
        <v>7</v>
      </c>
      <c r="C3269" s="36" t="s">
        <v>87</v>
      </c>
      <c r="D3269" s="37">
        <v>45599</v>
      </c>
      <c r="E3269" s="38">
        <v>783.35</v>
      </c>
      <c r="F3269" s="39">
        <v>273</v>
      </c>
    </row>
    <row r="3270" spans="1:6" x14ac:dyDescent="0.3">
      <c r="A3270" s="30" t="s">
        <v>6</v>
      </c>
      <c r="B3270" s="31" t="s">
        <v>7</v>
      </c>
      <c r="C3270" s="31" t="s">
        <v>57</v>
      </c>
      <c r="D3270" s="31" t="s">
        <v>336</v>
      </c>
      <c r="E3270" s="33">
        <v>9434.44</v>
      </c>
      <c r="F3270" s="34">
        <v>221</v>
      </c>
    </row>
    <row r="3271" spans="1:6" x14ac:dyDescent="0.3">
      <c r="A3271" s="35" t="s">
        <v>58</v>
      </c>
      <c r="B3271" s="36" t="s">
        <v>32</v>
      </c>
      <c r="C3271" s="36" t="s">
        <v>18</v>
      </c>
      <c r="D3271" s="37">
        <v>45631</v>
      </c>
      <c r="E3271" s="38">
        <v>12755.99</v>
      </c>
      <c r="F3271" s="39">
        <v>99</v>
      </c>
    </row>
    <row r="3272" spans="1:6" x14ac:dyDescent="0.3">
      <c r="A3272" s="30" t="s">
        <v>28</v>
      </c>
      <c r="B3272" s="31" t="s">
        <v>32</v>
      </c>
      <c r="C3272" s="31" t="s">
        <v>73</v>
      </c>
      <c r="D3272" s="32">
        <v>45627</v>
      </c>
      <c r="E3272" s="33">
        <v>807.26</v>
      </c>
      <c r="F3272" s="34">
        <v>198</v>
      </c>
    </row>
    <row r="3273" spans="1:6" x14ac:dyDescent="0.3">
      <c r="A3273" s="35" t="s">
        <v>77</v>
      </c>
      <c r="B3273" s="36" t="s">
        <v>25</v>
      </c>
      <c r="C3273" s="36" t="s">
        <v>46</v>
      </c>
      <c r="D3273" s="36" t="s">
        <v>324</v>
      </c>
      <c r="E3273" s="38">
        <v>13541.21</v>
      </c>
      <c r="F3273" s="39">
        <v>434</v>
      </c>
    </row>
    <row r="3274" spans="1:6" x14ac:dyDescent="0.3">
      <c r="A3274" s="30" t="s">
        <v>45</v>
      </c>
      <c r="B3274" s="31" t="s">
        <v>10</v>
      </c>
      <c r="C3274" s="31" t="s">
        <v>26</v>
      </c>
      <c r="D3274" s="31" t="s">
        <v>278</v>
      </c>
      <c r="E3274" s="33">
        <v>9976.2199999999993</v>
      </c>
      <c r="F3274" s="34">
        <v>12</v>
      </c>
    </row>
    <row r="3275" spans="1:6" x14ac:dyDescent="0.3">
      <c r="A3275" s="35" t="s">
        <v>31</v>
      </c>
      <c r="B3275" s="36" t="s">
        <v>25</v>
      </c>
      <c r="C3275" s="36" t="s">
        <v>20</v>
      </c>
      <c r="D3275" s="36" t="s">
        <v>281</v>
      </c>
      <c r="E3275" s="38">
        <v>9152.7199999999993</v>
      </c>
      <c r="F3275" s="39">
        <v>208</v>
      </c>
    </row>
    <row r="3276" spans="1:6" x14ac:dyDescent="0.3">
      <c r="A3276" s="30" t="s">
        <v>58</v>
      </c>
      <c r="B3276" s="31" t="s">
        <v>35</v>
      </c>
      <c r="C3276" s="31" t="s">
        <v>42</v>
      </c>
      <c r="D3276" s="31" t="s">
        <v>313</v>
      </c>
      <c r="E3276" s="33">
        <v>9251.3700000000008</v>
      </c>
      <c r="F3276" s="34">
        <v>79</v>
      </c>
    </row>
    <row r="3277" spans="1:6" x14ac:dyDescent="0.3">
      <c r="A3277" s="35" t="s">
        <v>41</v>
      </c>
      <c r="B3277" s="36" t="s">
        <v>10</v>
      </c>
      <c r="C3277" s="36" t="s">
        <v>65</v>
      </c>
      <c r="D3277" s="36" t="s">
        <v>281</v>
      </c>
      <c r="E3277" s="38">
        <v>3634.26</v>
      </c>
      <c r="F3277" s="39">
        <v>100</v>
      </c>
    </row>
    <row r="3278" spans="1:6" x14ac:dyDescent="0.3">
      <c r="A3278" s="30" t="s">
        <v>28</v>
      </c>
      <c r="B3278" s="31" t="s">
        <v>15</v>
      </c>
      <c r="C3278" s="31" t="s">
        <v>13</v>
      </c>
      <c r="D3278" s="31" t="s">
        <v>343</v>
      </c>
      <c r="E3278" s="33">
        <v>352.51</v>
      </c>
      <c r="F3278" s="34">
        <v>196</v>
      </c>
    </row>
    <row r="3279" spans="1:6" x14ac:dyDescent="0.3">
      <c r="A3279" s="35" t="s">
        <v>37</v>
      </c>
      <c r="B3279" s="36" t="s">
        <v>15</v>
      </c>
      <c r="C3279" s="36" t="s">
        <v>50</v>
      </c>
      <c r="D3279" s="36" t="s">
        <v>350</v>
      </c>
      <c r="E3279" s="38">
        <v>5303.58</v>
      </c>
      <c r="F3279" s="39">
        <v>354</v>
      </c>
    </row>
    <row r="3280" spans="1:6" x14ac:dyDescent="0.3">
      <c r="A3280" s="30" t="s">
        <v>6</v>
      </c>
      <c r="B3280" s="31" t="s">
        <v>32</v>
      </c>
      <c r="C3280" s="31" t="s">
        <v>59</v>
      </c>
      <c r="D3280" s="32">
        <v>45479</v>
      </c>
      <c r="E3280" s="33">
        <v>7339.32</v>
      </c>
      <c r="F3280" s="34">
        <v>121</v>
      </c>
    </row>
    <row r="3281" spans="1:6" x14ac:dyDescent="0.3">
      <c r="A3281" s="35" t="s">
        <v>83</v>
      </c>
      <c r="B3281" s="36" t="s">
        <v>35</v>
      </c>
      <c r="C3281" s="36" t="s">
        <v>42</v>
      </c>
      <c r="D3281" s="36" t="s">
        <v>307</v>
      </c>
      <c r="E3281" s="38">
        <v>616.09</v>
      </c>
      <c r="F3281" s="39">
        <v>238</v>
      </c>
    </row>
    <row r="3282" spans="1:6" x14ac:dyDescent="0.3">
      <c r="A3282" s="30" t="s">
        <v>79</v>
      </c>
      <c r="B3282" s="31" t="s">
        <v>10</v>
      </c>
      <c r="C3282" s="31" t="s">
        <v>36</v>
      </c>
      <c r="D3282" s="31" t="s">
        <v>271</v>
      </c>
      <c r="E3282" s="33">
        <v>2504.62</v>
      </c>
      <c r="F3282" s="34">
        <v>397</v>
      </c>
    </row>
    <row r="3283" spans="1:6" x14ac:dyDescent="0.3">
      <c r="A3283" s="22" t="s">
        <v>37</v>
      </c>
      <c r="B3283" s="23" t="s">
        <v>10</v>
      </c>
      <c r="C3283" s="23" t="s">
        <v>100</v>
      </c>
      <c r="D3283" s="23" t="s">
        <v>342</v>
      </c>
      <c r="E3283" s="42">
        <v>5915.87</v>
      </c>
      <c r="F3283" s="24">
        <v>355</v>
      </c>
    </row>
  </sheetData>
  <phoneticPr fontId="1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283"/>
  <sheetViews>
    <sheetView workbookViewId="0">
      <selection sqref="A1:G3283"/>
    </sheetView>
  </sheetViews>
  <sheetFormatPr defaultRowHeight="14.4" x14ac:dyDescent="0.3"/>
  <cols>
    <col min="1" max="1" width="18.21875" bestFit="1" customWidth="1"/>
    <col min="2" max="2" width="11.5546875" bestFit="1" customWidth="1"/>
    <col min="3" max="3" width="20.21875" bestFit="1" customWidth="1"/>
    <col min="4" max="4" width="10.109375" bestFit="1" customWidth="1"/>
    <col min="5" max="5" width="15.5546875" bestFit="1" customWidth="1"/>
    <col min="6" max="6" width="9.5546875" bestFit="1" customWidth="1"/>
    <col min="7" max="7" width="12.88671875" bestFit="1" customWidth="1"/>
    <col min="8" max="8" width="12.88671875" customWidth="1"/>
    <col min="9" max="9" width="18.21875" bestFit="1" customWidth="1"/>
    <col min="10" max="10" width="20.21875" bestFit="1" customWidth="1"/>
    <col min="11" max="11" width="11.5546875" bestFit="1" customWidth="1"/>
  </cols>
  <sheetData>
    <row r="1" spans="1:11" x14ac:dyDescent="0.3">
      <c r="A1" t="s">
        <v>0</v>
      </c>
      <c r="B1" t="s">
        <v>1</v>
      </c>
      <c r="C1" t="s">
        <v>2</v>
      </c>
      <c r="D1" t="s">
        <v>4</v>
      </c>
      <c r="E1" t="s">
        <v>5</v>
      </c>
      <c r="F1" t="s">
        <v>3</v>
      </c>
      <c r="G1" t="s">
        <v>380</v>
      </c>
      <c r="I1" s="10" t="s">
        <v>0</v>
      </c>
      <c r="J1" s="10" t="s">
        <v>1</v>
      </c>
      <c r="K1" s="14" t="s">
        <v>2</v>
      </c>
    </row>
    <row r="2" spans="1:11" x14ac:dyDescent="0.3">
      <c r="A2" t="s">
        <v>67</v>
      </c>
      <c r="B2" t="s">
        <v>15</v>
      </c>
      <c r="C2" t="s">
        <v>26</v>
      </c>
      <c r="D2">
        <v>4438</v>
      </c>
      <c r="E2">
        <v>227</v>
      </c>
      <c r="F2" s="1">
        <v>44714</v>
      </c>
      <c r="G2" t="str">
        <f>IF(COUNTIFS(Table1_3[Country],Table1_3[[#This Row],[Country]],Table1_3[Product],Table1_3[[#This Row],[Product]],Table1_3[Sales Person],Table1_3[[#This Row],[Sales Person]],Table1_3[Amount],"&lt;=100")&gt;=2,"Contract","Deal")</f>
        <v>Deal</v>
      </c>
      <c r="I2" s="8" t="s">
        <v>6</v>
      </c>
      <c r="J2" s="8" t="s">
        <v>8</v>
      </c>
      <c r="K2" s="8" t="s">
        <v>7</v>
      </c>
    </row>
    <row r="3" spans="1:11" x14ac:dyDescent="0.3">
      <c r="A3" t="s">
        <v>67</v>
      </c>
      <c r="B3" t="s">
        <v>15</v>
      </c>
      <c r="C3" t="s">
        <v>26</v>
      </c>
      <c r="D3">
        <v>5091.78</v>
      </c>
      <c r="E3">
        <v>219</v>
      </c>
      <c r="F3" s="1">
        <v>45079</v>
      </c>
      <c r="G3" t="str">
        <f>IF(COUNTIFS(Table1_3[Country],Table1_3[[#This Row],[Country]],Table1_3[Product],Table1_3[[#This Row],[Product]],Table1_3[Sales Person],Table1_3[[#This Row],[Sales Person]],Table1_3[Amount],"&lt;=100")&gt;=2,"Contract","Deal")</f>
        <v>Deal</v>
      </c>
      <c r="I3" s="8" t="s">
        <v>9</v>
      </c>
      <c r="J3" s="8" t="s">
        <v>11</v>
      </c>
      <c r="K3" s="8" t="s">
        <v>10</v>
      </c>
    </row>
    <row r="4" spans="1:11" x14ac:dyDescent="0.3">
      <c r="A4" t="s">
        <v>67</v>
      </c>
      <c r="B4" t="s">
        <v>15</v>
      </c>
      <c r="C4" t="s">
        <v>26</v>
      </c>
      <c r="D4">
        <v>5220.1899999999996</v>
      </c>
      <c r="E4">
        <v>216</v>
      </c>
      <c r="F4" s="1">
        <v>45445</v>
      </c>
      <c r="G4" t="str">
        <f>IF(COUNTIFS(Table1_3[Country],Table1_3[[#This Row],[Country]],Table1_3[Product],Table1_3[[#This Row],[Product]],Table1_3[Sales Person],Table1_3[[#This Row],[Sales Person]],Table1_3[Amount],"&lt;=100")&gt;=2,"Contract","Deal")</f>
        <v>Deal</v>
      </c>
      <c r="I4" s="8" t="s">
        <v>12</v>
      </c>
      <c r="J4" s="8" t="s">
        <v>13</v>
      </c>
      <c r="K4" s="8" t="s">
        <v>15</v>
      </c>
    </row>
    <row r="5" spans="1:11" x14ac:dyDescent="0.3">
      <c r="A5" t="s">
        <v>67</v>
      </c>
      <c r="B5" t="s">
        <v>15</v>
      </c>
      <c r="C5" t="s">
        <v>11</v>
      </c>
      <c r="D5">
        <v>4186</v>
      </c>
      <c r="E5">
        <v>233</v>
      </c>
      <c r="F5" s="1">
        <v>44796</v>
      </c>
      <c r="G5" t="str">
        <f>IF(COUNTIFS(Table1_3[Country],Table1_3[[#This Row],[Country]],Table1_3[Product],Table1_3[[#This Row],[Product]],Table1_3[Sales Person],Table1_3[[#This Row],[Sales Person]],Table1_3[Amount],"&lt;=100")&gt;=2,"Contract","Deal")</f>
        <v>Deal</v>
      </c>
      <c r="I5" s="8" t="s">
        <v>14</v>
      </c>
      <c r="J5" s="8" t="s">
        <v>18</v>
      </c>
      <c r="K5" s="8" t="s">
        <v>25</v>
      </c>
    </row>
    <row r="6" spans="1:11" x14ac:dyDescent="0.3">
      <c r="A6" t="s">
        <v>67</v>
      </c>
      <c r="B6" t="s">
        <v>15</v>
      </c>
      <c r="C6" t="s">
        <v>11</v>
      </c>
      <c r="D6">
        <v>4496.32</v>
      </c>
      <c r="E6">
        <v>240</v>
      </c>
      <c r="F6" s="1">
        <v>45161</v>
      </c>
      <c r="G6" t="str">
        <f>IF(COUNTIFS(Table1_3[Country],Table1_3[[#This Row],[Country]],Table1_3[Product],Table1_3[[#This Row],[Product]],Table1_3[Sales Person],Table1_3[[#This Row],[Sales Person]],Table1_3[Amount],"&lt;=100")&gt;=2,"Contract","Deal")</f>
        <v>Deal</v>
      </c>
      <c r="I6" s="8" t="s">
        <v>19</v>
      </c>
      <c r="J6" s="8" t="s">
        <v>20</v>
      </c>
      <c r="K6" s="8" t="s">
        <v>32</v>
      </c>
    </row>
    <row r="7" spans="1:11" x14ac:dyDescent="0.3">
      <c r="A7" t="s">
        <v>67</v>
      </c>
      <c r="B7" t="s">
        <v>15</v>
      </c>
      <c r="C7" t="s">
        <v>11</v>
      </c>
      <c r="D7">
        <v>4900.32</v>
      </c>
      <c r="E7">
        <v>254</v>
      </c>
      <c r="F7" s="1">
        <v>45527</v>
      </c>
      <c r="G7" t="str">
        <f>IF(COUNTIFS(Table1_3[Country],Table1_3[[#This Row],[Country]],Table1_3[Product],Table1_3[[#This Row],[Product]],Table1_3[Sales Person],Table1_3[[#This Row],[Sales Person]],Table1_3[Amount],"&lt;=100")&gt;=2,"Contract","Deal")</f>
        <v>Deal</v>
      </c>
      <c r="I7" s="8" t="s">
        <v>22</v>
      </c>
      <c r="J7" s="8" t="s">
        <v>23</v>
      </c>
      <c r="K7" s="8" t="s">
        <v>35</v>
      </c>
    </row>
    <row r="8" spans="1:11" ht="18" x14ac:dyDescent="0.35">
      <c r="A8" t="s">
        <v>67</v>
      </c>
      <c r="B8" t="s">
        <v>15</v>
      </c>
      <c r="C8" t="s">
        <v>65</v>
      </c>
      <c r="D8">
        <v>3192</v>
      </c>
      <c r="E8">
        <v>175</v>
      </c>
      <c r="F8" s="1">
        <v>44676</v>
      </c>
      <c r="G8" t="str">
        <f>IF(COUNTIFS(Table1_3[Country],Table1_3[[#This Row],[Country]],Table1_3[Product],Table1_3[[#This Row],[Product]],Table1_3[Sales Person],Table1_3[[#This Row],[Sales Person]],Table1_3[Amount],"&lt;=100")&gt;=2,"Contract","Deal")</f>
        <v>Deal</v>
      </c>
      <c r="I8" s="8" t="s">
        <v>28</v>
      </c>
      <c r="J8" s="8" t="s">
        <v>26</v>
      </c>
      <c r="K8" s="12">
        <f>COUNTA(K2:K7)</f>
        <v>6</v>
      </c>
    </row>
    <row r="9" spans="1:11" x14ac:dyDescent="0.3">
      <c r="A9" t="s">
        <v>67</v>
      </c>
      <c r="B9" t="s">
        <v>15</v>
      </c>
      <c r="C9" t="s">
        <v>65</v>
      </c>
      <c r="D9">
        <v>3430.58</v>
      </c>
      <c r="E9">
        <v>174</v>
      </c>
      <c r="F9" s="1">
        <v>45041</v>
      </c>
      <c r="G9" t="str">
        <f>IF(COUNTIFS(Table1_3[Country],Table1_3[[#This Row],[Country]],Table1_3[Product],Table1_3[[#This Row],[Product]],Table1_3[Sales Person],Table1_3[[#This Row],[Sales Person]],Table1_3[Amount],"&lt;=100")&gt;=2,"Contract","Deal")</f>
        <v>Deal</v>
      </c>
      <c r="I9" s="8" t="s">
        <v>29</v>
      </c>
      <c r="J9" s="8" t="s">
        <v>33</v>
      </c>
    </row>
    <row r="10" spans="1:11" x14ac:dyDescent="0.3">
      <c r="A10" t="s">
        <v>67</v>
      </c>
      <c r="B10" t="s">
        <v>15</v>
      </c>
      <c r="C10" t="s">
        <v>65</v>
      </c>
      <c r="D10">
        <v>3790.18</v>
      </c>
      <c r="E10">
        <v>168</v>
      </c>
      <c r="F10" s="1">
        <v>45407</v>
      </c>
      <c r="G10" t="str">
        <f>IF(COUNTIFS(Table1_3[Country],Table1_3[[#This Row],[Country]],Table1_3[Product],Table1_3[[#This Row],[Product]],Table1_3[Sales Person],Table1_3[[#This Row],[Sales Person]],Table1_3[Amount],"&lt;=100")&gt;=2,"Contract","Deal")</f>
        <v>Deal</v>
      </c>
      <c r="I10" s="8" t="s">
        <v>31</v>
      </c>
      <c r="J10" s="8" t="s">
        <v>36</v>
      </c>
    </row>
    <row r="11" spans="1:11" x14ac:dyDescent="0.3">
      <c r="A11" t="s">
        <v>67</v>
      </c>
      <c r="B11" t="s">
        <v>15</v>
      </c>
      <c r="C11" t="s">
        <v>87</v>
      </c>
      <c r="D11">
        <v>329</v>
      </c>
      <c r="E11">
        <v>109</v>
      </c>
      <c r="F11" s="1">
        <v>44782</v>
      </c>
      <c r="G11" t="str">
        <f>IF(COUNTIFS(Table1_3[Country],Table1_3[[#This Row],[Country]],Table1_3[Product],Table1_3[[#This Row],[Product]],Table1_3[Sales Person],Table1_3[[#This Row],[Sales Person]],Table1_3[Amount],"&lt;=100")&gt;=2,"Contract","Deal")</f>
        <v>Deal</v>
      </c>
      <c r="I11" s="8" t="s">
        <v>34</v>
      </c>
      <c r="J11" s="8" t="s">
        <v>38</v>
      </c>
    </row>
    <row r="12" spans="1:11" x14ac:dyDescent="0.3">
      <c r="A12" t="s">
        <v>67</v>
      </c>
      <c r="B12" t="s">
        <v>15</v>
      </c>
      <c r="C12" t="s">
        <v>87</v>
      </c>
      <c r="D12">
        <v>344.82</v>
      </c>
      <c r="E12">
        <v>118</v>
      </c>
      <c r="F12" s="1">
        <v>45147</v>
      </c>
      <c r="G12" t="str">
        <f>IF(COUNTIFS(Table1_3[Country],Table1_3[[#This Row],[Country]],Table1_3[Product],Table1_3[[#This Row],[Product]],Table1_3[Sales Person],Table1_3[[#This Row],[Sales Person]],Table1_3[Amount],"&lt;=100")&gt;=2,"Contract","Deal")</f>
        <v>Deal</v>
      </c>
      <c r="I12" s="8" t="s">
        <v>37</v>
      </c>
      <c r="J12" s="8" t="s">
        <v>42</v>
      </c>
    </row>
    <row r="13" spans="1:11" x14ac:dyDescent="0.3">
      <c r="A13" t="s">
        <v>67</v>
      </c>
      <c r="B13" t="s">
        <v>15</v>
      </c>
      <c r="C13" t="s">
        <v>87</v>
      </c>
      <c r="D13">
        <v>350.27</v>
      </c>
      <c r="E13">
        <v>117</v>
      </c>
      <c r="F13" s="1">
        <v>45513</v>
      </c>
      <c r="G13" t="str">
        <f>IF(COUNTIFS(Table1_3[Country],Table1_3[[#This Row],[Country]],Table1_3[Product],Table1_3[[#This Row],[Product]],Table1_3[Sales Person],Table1_3[[#This Row],[Sales Person]],Table1_3[Amount],"&lt;=100")&gt;=2,"Contract","Deal")</f>
        <v>Deal</v>
      </c>
      <c r="I13" s="8" t="s">
        <v>40</v>
      </c>
      <c r="J13" s="8" t="s">
        <v>46</v>
      </c>
    </row>
    <row r="14" spans="1:11" x14ac:dyDescent="0.3">
      <c r="A14" t="s">
        <v>67</v>
      </c>
      <c r="B14" t="s">
        <v>15</v>
      </c>
      <c r="C14" t="s">
        <v>38</v>
      </c>
      <c r="D14">
        <v>1603</v>
      </c>
      <c r="E14">
        <v>48</v>
      </c>
      <c r="F14" s="1">
        <v>44740</v>
      </c>
      <c r="G14" t="str">
        <f>IF(COUNTIFS(Table1_3[Country],Table1_3[[#This Row],[Country]],Table1_3[Product],Table1_3[[#This Row],[Product]],Table1_3[Sales Person],Table1_3[[#This Row],[Sales Person]],Table1_3[Amount],"&lt;=100")&gt;=2,"Contract","Deal")</f>
        <v>Deal</v>
      </c>
      <c r="I14" s="8" t="s">
        <v>41</v>
      </c>
      <c r="J14" s="8" t="s">
        <v>50</v>
      </c>
    </row>
    <row r="15" spans="1:11" x14ac:dyDescent="0.3">
      <c r="A15" t="s">
        <v>67</v>
      </c>
      <c r="B15" t="s">
        <v>15</v>
      </c>
      <c r="C15" t="s">
        <v>38</v>
      </c>
      <c r="D15">
        <v>1657.2</v>
      </c>
      <c r="E15">
        <v>49</v>
      </c>
      <c r="F15" s="1">
        <v>45105</v>
      </c>
      <c r="G15" t="str">
        <f>IF(COUNTIFS(Table1_3[Country],Table1_3[[#This Row],[Country]],Table1_3[Product],Table1_3[[#This Row],[Product]],Table1_3[Sales Person],Table1_3[[#This Row],[Sales Person]],Table1_3[Amount],"&lt;=100")&gt;=2,"Contract","Deal")</f>
        <v>Deal</v>
      </c>
      <c r="I15" s="8" t="s">
        <v>45</v>
      </c>
      <c r="J15" s="8" t="s">
        <v>57</v>
      </c>
    </row>
    <row r="16" spans="1:11" x14ac:dyDescent="0.3">
      <c r="A16" t="s">
        <v>67</v>
      </c>
      <c r="B16" t="s">
        <v>15</v>
      </c>
      <c r="C16" t="s">
        <v>38</v>
      </c>
      <c r="D16">
        <v>1797.26</v>
      </c>
      <c r="E16">
        <v>49</v>
      </c>
      <c r="F16" s="1">
        <v>45471</v>
      </c>
      <c r="G16" t="str">
        <f>IF(COUNTIFS(Table1_3[Country],Table1_3[[#This Row],[Country]],Table1_3[Product],Table1_3[[#This Row],[Product]],Table1_3[Sales Person],Table1_3[[#This Row],[Sales Person]],Table1_3[Amount],"&lt;=100")&gt;=2,"Contract","Deal")</f>
        <v>Deal</v>
      </c>
      <c r="I16" s="8" t="s">
        <v>48</v>
      </c>
      <c r="J16" s="8" t="s">
        <v>59</v>
      </c>
    </row>
    <row r="17" spans="1:10" x14ac:dyDescent="0.3">
      <c r="A17" t="s">
        <v>67</v>
      </c>
      <c r="B17" t="s">
        <v>15</v>
      </c>
      <c r="C17" t="s">
        <v>60</v>
      </c>
      <c r="D17">
        <v>9744</v>
      </c>
      <c r="E17">
        <v>377</v>
      </c>
      <c r="F17" s="1">
        <v>44650</v>
      </c>
      <c r="G17" t="str">
        <f>IF(COUNTIFS(Table1_3[Country],Table1_3[[#This Row],[Country]],Table1_3[Product],Table1_3[[#This Row],[Product]],Table1_3[Sales Person],Table1_3[[#This Row],[Sales Person]],Table1_3[Amount],"&lt;=100")&gt;=2,"Contract","Deal")</f>
        <v>Deal</v>
      </c>
      <c r="I17" s="8" t="s">
        <v>53</v>
      </c>
      <c r="J17" s="8" t="s">
        <v>60</v>
      </c>
    </row>
    <row r="18" spans="1:10" x14ac:dyDescent="0.3">
      <c r="A18" t="s">
        <v>67</v>
      </c>
      <c r="B18" t="s">
        <v>15</v>
      </c>
      <c r="C18" t="s">
        <v>60</v>
      </c>
      <c r="D18">
        <v>10883.13</v>
      </c>
      <c r="E18">
        <v>394</v>
      </c>
      <c r="F18" s="1">
        <v>45015</v>
      </c>
      <c r="G18" t="str">
        <f>IF(COUNTIFS(Table1_3[Country],Table1_3[[#This Row],[Country]],Table1_3[Product],Table1_3[[#This Row],[Product]],Table1_3[Sales Person],Table1_3[[#This Row],[Sales Person]],Table1_3[Amount],"&lt;=100")&gt;=2,"Contract","Deal")</f>
        <v>Deal</v>
      </c>
      <c r="I18" s="11" t="s">
        <v>55</v>
      </c>
      <c r="J18" s="8" t="s">
        <v>65</v>
      </c>
    </row>
    <row r="19" spans="1:10" x14ac:dyDescent="0.3">
      <c r="A19" t="s">
        <v>67</v>
      </c>
      <c r="B19" t="s">
        <v>15</v>
      </c>
      <c r="C19" t="s">
        <v>60</v>
      </c>
      <c r="D19">
        <v>11559.52</v>
      </c>
      <c r="E19">
        <v>413</v>
      </c>
      <c r="F19" s="1">
        <v>45381</v>
      </c>
      <c r="G19" t="str">
        <f>IF(COUNTIFS(Table1_3[Country],Table1_3[[#This Row],[Country]],Table1_3[Product],Table1_3[[#This Row],[Product]],Table1_3[Sales Person],Table1_3[[#This Row],[Sales Person]],Table1_3[Amount],"&lt;=100")&gt;=2,"Contract","Deal")</f>
        <v>Deal</v>
      </c>
      <c r="I19" s="8" t="s">
        <v>58</v>
      </c>
      <c r="J19" s="8" t="s">
        <v>73</v>
      </c>
    </row>
    <row r="20" spans="1:10" x14ac:dyDescent="0.3">
      <c r="A20" t="s">
        <v>67</v>
      </c>
      <c r="B20" t="s">
        <v>15</v>
      </c>
      <c r="C20" t="s">
        <v>13</v>
      </c>
      <c r="D20">
        <v>6678</v>
      </c>
      <c r="E20">
        <v>148</v>
      </c>
      <c r="F20" s="1">
        <v>44671</v>
      </c>
      <c r="G20" t="str">
        <f>IF(COUNTIFS(Table1_3[Country],Table1_3[[#This Row],[Country]],Table1_3[Product],Table1_3[[#This Row],[Product]],Table1_3[Sales Person],Table1_3[[#This Row],[Sales Person]],Table1_3[Amount],"&lt;=100")&gt;=2,"Contract","Deal")</f>
        <v>Deal</v>
      </c>
      <c r="I20" s="8" t="s">
        <v>64</v>
      </c>
      <c r="J20" s="8" t="s">
        <v>75</v>
      </c>
    </row>
    <row r="21" spans="1:10" x14ac:dyDescent="0.3">
      <c r="A21" t="s">
        <v>67</v>
      </c>
      <c r="B21" t="s">
        <v>15</v>
      </c>
      <c r="C21" t="s">
        <v>13</v>
      </c>
      <c r="D21">
        <v>7009.01</v>
      </c>
      <c r="E21">
        <v>150</v>
      </c>
      <c r="F21" s="1">
        <v>45036</v>
      </c>
      <c r="G21" t="str">
        <f>IF(COUNTIFS(Table1_3[Country],Table1_3[[#This Row],[Country]],Table1_3[Product],Table1_3[[#This Row],[Product]],Table1_3[Sales Person],Table1_3[[#This Row],[Sales Person]],Table1_3[Amount],"&lt;=100")&gt;=2,"Contract","Deal")</f>
        <v>Deal</v>
      </c>
      <c r="I21" s="8" t="s">
        <v>67</v>
      </c>
      <c r="J21" s="8" t="s">
        <v>87</v>
      </c>
    </row>
    <row r="22" spans="1:10" x14ac:dyDescent="0.3">
      <c r="A22" t="s">
        <v>67</v>
      </c>
      <c r="B22" t="s">
        <v>15</v>
      </c>
      <c r="C22" t="s">
        <v>13</v>
      </c>
      <c r="D22">
        <v>7661.86</v>
      </c>
      <c r="E22">
        <v>144</v>
      </c>
      <c r="F22" s="1">
        <v>45402</v>
      </c>
      <c r="G22" t="str">
        <f>IF(COUNTIFS(Table1_3[Country],Table1_3[[#This Row],[Country]],Table1_3[Product],Table1_3[[#This Row],[Product]],Table1_3[Sales Person],Table1_3[[#This Row],[Sales Person]],Table1_3[Amount],"&lt;=100")&gt;=2,"Contract","Deal")</f>
        <v>Deal</v>
      </c>
      <c r="I22" s="8" t="s">
        <v>70</v>
      </c>
      <c r="J22" s="8" t="s">
        <v>90</v>
      </c>
    </row>
    <row r="23" spans="1:10" x14ac:dyDescent="0.3">
      <c r="A23" t="s">
        <v>67</v>
      </c>
      <c r="B23" t="s">
        <v>35</v>
      </c>
      <c r="C23" t="s">
        <v>100</v>
      </c>
      <c r="D23">
        <v>10262</v>
      </c>
      <c r="E23">
        <v>15</v>
      </c>
      <c r="F23" s="1">
        <v>44659</v>
      </c>
      <c r="G23" t="str">
        <f>IF(COUNTIFS(Table1_3[Country],Table1_3[[#This Row],[Country]],Table1_3[Product],Table1_3[[#This Row],[Product]],Table1_3[Sales Person],Table1_3[[#This Row],[Sales Person]],Table1_3[Amount],"&lt;=100")&gt;=2,"Contract","Deal")</f>
        <v>Deal</v>
      </c>
      <c r="I23" s="8" t="s">
        <v>71</v>
      </c>
      <c r="J23" s="8" t="s">
        <v>100</v>
      </c>
    </row>
    <row r="24" spans="1:10" ht="18" x14ac:dyDescent="0.35">
      <c r="A24" t="s">
        <v>67</v>
      </c>
      <c r="B24" t="s">
        <v>35</v>
      </c>
      <c r="C24" t="s">
        <v>100</v>
      </c>
      <c r="D24">
        <v>10964.29</v>
      </c>
      <c r="E24">
        <v>16</v>
      </c>
      <c r="F24" s="1">
        <v>45024</v>
      </c>
      <c r="G24" t="str">
        <f>IF(COUNTIFS(Table1_3[Country],Table1_3[[#This Row],[Country]],Table1_3[Product],Table1_3[[#This Row],[Product]],Table1_3[Sales Person],Table1_3[[#This Row],[Sales Person]],Table1_3[Amount],"&lt;=100")&gt;=2,"Contract","Deal")</f>
        <v>Deal</v>
      </c>
      <c r="I24" s="8" t="s">
        <v>77</v>
      </c>
      <c r="J24" s="12">
        <f>COUNTA(J2:J23)</f>
        <v>22</v>
      </c>
    </row>
    <row r="25" spans="1:10" x14ac:dyDescent="0.3">
      <c r="A25" t="s">
        <v>67</v>
      </c>
      <c r="B25" t="s">
        <v>35</v>
      </c>
      <c r="C25" t="s">
        <v>100</v>
      </c>
      <c r="D25">
        <v>12109</v>
      </c>
      <c r="E25">
        <v>16</v>
      </c>
      <c r="F25" s="1">
        <v>45390</v>
      </c>
      <c r="G25" t="str">
        <f>IF(COUNTIFS(Table1_3[Country],Table1_3[[#This Row],[Country]],Table1_3[Product],Table1_3[[#This Row],[Product]],Table1_3[Sales Person],Table1_3[[#This Row],[Sales Person]],Table1_3[Amount],"&lt;=100")&gt;=2,"Contract","Deal")</f>
        <v>Deal</v>
      </c>
      <c r="I25" s="8" t="s">
        <v>83</v>
      </c>
    </row>
    <row r="26" spans="1:10" x14ac:dyDescent="0.3">
      <c r="A26" t="s">
        <v>67</v>
      </c>
      <c r="B26" t="s">
        <v>35</v>
      </c>
      <c r="C26" t="s">
        <v>23</v>
      </c>
      <c r="D26">
        <v>2163</v>
      </c>
      <c r="E26">
        <v>70</v>
      </c>
      <c r="F26" s="1">
        <v>44692</v>
      </c>
      <c r="G26" t="str">
        <f>IF(COUNTIFS(Table1_3[Country],Table1_3[[#This Row],[Country]],Table1_3[Product],Table1_3[[#This Row],[Product]],Table1_3[Sales Person],Table1_3[[#This Row],[Sales Person]],Table1_3[Amount],"&lt;=100")&gt;=2,"Contract","Deal")</f>
        <v>Deal</v>
      </c>
      <c r="I26" s="8" t="s">
        <v>79</v>
      </c>
    </row>
    <row r="27" spans="1:10" ht="18" x14ac:dyDescent="0.35">
      <c r="A27" t="s">
        <v>67</v>
      </c>
      <c r="B27" t="s">
        <v>35</v>
      </c>
      <c r="C27" t="s">
        <v>23</v>
      </c>
      <c r="D27">
        <v>2222.3000000000002</v>
      </c>
      <c r="E27">
        <v>77</v>
      </c>
      <c r="F27" s="1">
        <v>45057</v>
      </c>
      <c r="G27" t="str">
        <f>IF(COUNTIFS(Table1_3[Country],Table1_3[[#This Row],[Country]],Table1_3[Product],Table1_3[[#This Row],[Product]],Table1_3[Sales Person],Table1_3[[#This Row],[Sales Person]],Table1_3[Amount],"&lt;=100")&gt;=2,"Contract","Deal")</f>
        <v>Deal</v>
      </c>
      <c r="I27" s="12">
        <f>COUNTA(I2:I26)</f>
        <v>25</v>
      </c>
    </row>
    <row r="28" spans="1:10" x14ac:dyDescent="0.3">
      <c r="A28" t="s">
        <v>67</v>
      </c>
      <c r="B28" t="s">
        <v>35</v>
      </c>
      <c r="C28" t="s">
        <v>23</v>
      </c>
      <c r="D28">
        <v>2321.9699999999998</v>
      </c>
      <c r="E28">
        <v>71</v>
      </c>
      <c r="F28" s="1">
        <v>45423</v>
      </c>
      <c r="G28" t="str">
        <f>IF(COUNTIFS(Table1_3[Country],Table1_3[[#This Row],[Country]],Table1_3[Product],Table1_3[[#This Row],[Product]],Table1_3[Sales Person],Table1_3[[#This Row],[Sales Person]],Table1_3[Amount],"&lt;=100")&gt;=2,"Contract","Deal")</f>
        <v>Deal</v>
      </c>
    </row>
    <row r="29" spans="1:10" x14ac:dyDescent="0.3">
      <c r="A29" t="s">
        <v>67</v>
      </c>
      <c r="B29" t="s">
        <v>35</v>
      </c>
      <c r="C29" t="s">
        <v>90</v>
      </c>
      <c r="D29">
        <v>7154</v>
      </c>
      <c r="E29">
        <v>348</v>
      </c>
      <c r="F29" s="1">
        <v>44564</v>
      </c>
      <c r="G29" t="str">
        <f>IF(COUNTIFS(Table1_3[Country],Table1_3[[#This Row],[Country]],Table1_3[Product],Table1_3[[#This Row],[Product]],Table1_3[Sales Person],Table1_3[[#This Row],[Sales Person]],Table1_3[Amount],"&lt;=100")&gt;=2,"Contract","Deal")</f>
        <v>Deal</v>
      </c>
    </row>
    <row r="30" spans="1:10" x14ac:dyDescent="0.3">
      <c r="A30" t="s">
        <v>67</v>
      </c>
      <c r="B30" t="s">
        <v>35</v>
      </c>
      <c r="C30" t="s">
        <v>90</v>
      </c>
      <c r="D30">
        <v>7990.91</v>
      </c>
      <c r="E30">
        <v>343</v>
      </c>
      <c r="F30" s="1">
        <v>44929</v>
      </c>
      <c r="G30" t="str">
        <f>IF(COUNTIFS(Table1_3[Country],Table1_3[[#This Row],[Country]],Table1_3[Product],Table1_3[[#This Row],[Product]],Table1_3[Sales Person],Table1_3[[#This Row],[Sales Person]],Table1_3[Amount],"&lt;=100")&gt;=2,"Contract","Deal")</f>
        <v>Deal</v>
      </c>
      <c r="I30" s="13"/>
    </row>
    <row r="31" spans="1:10" x14ac:dyDescent="0.3">
      <c r="A31" t="s">
        <v>67</v>
      </c>
      <c r="B31" t="s">
        <v>35</v>
      </c>
      <c r="C31" t="s">
        <v>90</v>
      </c>
      <c r="D31">
        <v>7560.62</v>
      </c>
      <c r="E31">
        <v>336</v>
      </c>
      <c r="F31" s="1">
        <v>45294</v>
      </c>
      <c r="G31" t="str">
        <f>IF(COUNTIFS(Table1_3[Country],Table1_3[[#This Row],[Country]],Table1_3[Product],Table1_3[[#This Row],[Product]],Table1_3[Sales Person],Table1_3[[#This Row],[Sales Person]],Table1_3[Amount],"&lt;=100")&gt;=2,"Contract","Deal")</f>
        <v>Deal</v>
      </c>
      <c r="I31" s="13"/>
    </row>
    <row r="32" spans="1:10" x14ac:dyDescent="0.3">
      <c r="A32" t="s">
        <v>67</v>
      </c>
      <c r="B32" t="s">
        <v>35</v>
      </c>
      <c r="C32" t="s">
        <v>36</v>
      </c>
      <c r="D32">
        <v>308</v>
      </c>
      <c r="E32">
        <v>125</v>
      </c>
      <c r="F32" s="1">
        <v>44784</v>
      </c>
      <c r="G32" t="str">
        <f>IF(COUNTIFS(Table1_3[Country],Table1_3[[#This Row],[Country]],Table1_3[Product],Table1_3[[#This Row],[Product]],Table1_3[Sales Person],Table1_3[[#This Row],[Sales Person]],Table1_3[Amount],"&lt;=100")&gt;=2,"Contract","Deal")</f>
        <v>Deal</v>
      </c>
    </row>
    <row r="33" spans="1:9" x14ac:dyDescent="0.3">
      <c r="A33" t="s">
        <v>67</v>
      </c>
      <c r="B33" t="s">
        <v>35</v>
      </c>
      <c r="C33" t="s">
        <v>36</v>
      </c>
      <c r="D33">
        <v>339.99</v>
      </c>
      <c r="E33">
        <v>124</v>
      </c>
      <c r="F33" s="1">
        <v>45149</v>
      </c>
      <c r="G33" t="str">
        <f>IF(COUNTIFS(Table1_3[Country],Table1_3[[#This Row],[Country]],Table1_3[Product],Table1_3[[#This Row],[Product]],Table1_3[Sales Person],Table1_3[[#This Row],[Sales Person]],Table1_3[Amount],"&lt;=100")&gt;=2,"Contract","Deal")</f>
        <v>Deal</v>
      </c>
    </row>
    <row r="34" spans="1:9" x14ac:dyDescent="0.3">
      <c r="A34" t="s">
        <v>67</v>
      </c>
      <c r="B34" t="s">
        <v>35</v>
      </c>
      <c r="C34" t="s">
        <v>36</v>
      </c>
      <c r="D34">
        <v>337.37</v>
      </c>
      <c r="E34">
        <v>120</v>
      </c>
      <c r="F34" s="1">
        <v>45515</v>
      </c>
      <c r="G34" t="str">
        <f>IF(COUNTIFS(Table1_3[Country],Table1_3[[#This Row],[Country]],Table1_3[Product],Table1_3[[#This Row],[Product]],Table1_3[Sales Person],Table1_3[[#This Row],[Sales Person]],Table1_3[Amount],"&lt;=100")&gt;=2,"Contract","Deal")</f>
        <v>Deal</v>
      </c>
    </row>
    <row r="35" spans="1:9" x14ac:dyDescent="0.3">
      <c r="A35" t="s">
        <v>67</v>
      </c>
      <c r="B35" t="s">
        <v>35</v>
      </c>
      <c r="C35" t="s">
        <v>60</v>
      </c>
      <c r="D35">
        <v>4858</v>
      </c>
      <c r="E35">
        <v>488</v>
      </c>
      <c r="F35" s="1">
        <v>44763</v>
      </c>
      <c r="G35" t="str">
        <f>IF(COUNTIFS(Table1_3[Country],Table1_3[[#This Row],[Country]],Table1_3[Product],Table1_3[[#This Row],[Product]],Table1_3[Sales Person],Table1_3[[#This Row],[Sales Person]],Table1_3[Amount],"&lt;=100")&gt;=2,"Contract","Deal")</f>
        <v>Deal</v>
      </c>
      <c r="I35" s="13"/>
    </row>
    <row r="36" spans="1:9" x14ac:dyDescent="0.3">
      <c r="A36" t="s">
        <v>67</v>
      </c>
      <c r="B36" t="s">
        <v>35</v>
      </c>
      <c r="C36" t="s">
        <v>60</v>
      </c>
      <c r="D36">
        <v>5031.9399999999996</v>
      </c>
      <c r="E36">
        <v>495</v>
      </c>
      <c r="F36" s="1">
        <v>45128</v>
      </c>
      <c r="G36" t="str">
        <f>IF(COUNTIFS(Table1_3[Country],Table1_3[[#This Row],[Country]],Table1_3[Product],Table1_3[[#This Row],[Product]],Table1_3[Sales Person],Table1_3[[#This Row],[Sales Person]],Table1_3[Amount],"&lt;=100")&gt;=2,"Contract","Deal")</f>
        <v>Deal</v>
      </c>
    </row>
    <row r="37" spans="1:9" x14ac:dyDescent="0.3">
      <c r="A37" t="s">
        <v>67</v>
      </c>
      <c r="B37" t="s">
        <v>35</v>
      </c>
      <c r="C37" t="s">
        <v>60</v>
      </c>
      <c r="D37">
        <v>5538.85</v>
      </c>
      <c r="E37">
        <v>492</v>
      </c>
      <c r="F37" s="1">
        <v>45494</v>
      </c>
      <c r="G37" t="str">
        <f>IF(COUNTIFS(Table1_3[Country],Table1_3[[#This Row],[Country]],Table1_3[Product],Table1_3[[#This Row],[Product]],Table1_3[Sales Person],Table1_3[[#This Row],[Sales Person]],Table1_3[Amount],"&lt;=100")&gt;=2,"Contract","Deal")</f>
        <v>Deal</v>
      </c>
    </row>
    <row r="38" spans="1:9" x14ac:dyDescent="0.3">
      <c r="A38" t="s">
        <v>67</v>
      </c>
      <c r="B38" t="s">
        <v>35</v>
      </c>
      <c r="C38" t="s">
        <v>42</v>
      </c>
      <c r="D38">
        <v>8204</v>
      </c>
      <c r="E38">
        <v>204</v>
      </c>
      <c r="F38" s="1">
        <v>44565</v>
      </c>
      <c r="G38" t="str">
        <f>IF(COUNTIFS(Table1_3[Country],Table1_3[[#This Row],[Country]],Table1_3[Product],Table1_3[[#This Row],[Product]],Table1_3[Sales Person],Table1_3[[#This Row],[Sales Person]],Table1_3[Amount],"&lt;=100")&gt;=2,"Contract","Deal")</f>
        <v>Deal</v>
      </c>
    </row>
    <row r="39" spans="1:9" x14ac:dyDescent="0.3">
      <c r="A39" t="s">
        <v>67</v>
      </c>
      <c r="B39" t="s">
        <v>35</v>
      </c>
      <c r="C39" t="s">
        <v>42</v>
      </c>
      <c r="D39">
        <v>8804.98</v>
      </c>
      <c r="E39">
        <v>214</v>
      </c>
      <c r="F39" s="1">
        <v>44930</v>
      </c>
      <c r="G39" t="str">
        <f>IF(COUNTIFS(Table1_3[Country],Table1_3[[#This Row],[Country]],Table1_3[Product],Table1_3[[#This Row],[Product]],Table1_3[Sales Person],Table1_3[[#This Row],[Sales Person]],Table1_3[Amount],"&lt;=100")&gt;=2,"Contract","Deal")</f>
        <v>Deal</v>
      </c>
    </row>
    <row r="40" spans="1:9" x14ac:dyDescent="0.3">
      <c r="A40" t="s">
        <v>67</v>
      </c>
      <c r="B40" t="s">
        <v>35</v>
      </c>
      <c r="C40" t="s">
        <v>42</v>
      </c>
      <c r="D40">
        <v>9479.6299999999992</v>
      </c>
      <c r="E40">
        <v>217</v>
      </c>
      <c r="F40" s="1">
        <v>45295</v>
      </c>
      <c r="G40" t="str">
        <f>IF(COUNTIFS(Table1_3[Country],Table1_3[[#This Row],[Country]],Table1_3[Product],Table1_3[[#This Row],[Product]],Table1_3[Sales Person],Table1_3[[#This Row],[Sales Person]],Table1_3[Amount],"&lt;=100")&gt;=2,"Contract","Deal")</f>
        <v>Deal</v>
      </c>
    </row>
    <row r="41" spans="1:9" x14ac:dyDescent="0.3">
      <c r="A41" t="s">
        <v>67</v>
      </c>
      <c r="B41" t="s">
        <v>35</v>
      </c>
      <c r="C41" t="s">
        <v>13</v>
      </c>
      <c r="D41">
        <v>1127</v>
      </c>
      <c r="E41">
        <v>319</v>
      </c>
      <c r="F41" s="1">
        <v>44608</v>
      </c>
      <c r="G41" t="str">
        <f>IF(COUNTIFS(Table1_3[Country],Table1_3[[#This Row],[Country]],Table1_3[Product],Table1_3[[#This Row],[Product]],Table1_3[Sales Person],Table1_3[[#This Row],[Sales Person]],Table1_3[Amount],"&lt;=100")&gt;=2,"Contract","Deal")</f>
        <v>Deal</v>
      </c>
    </row>
    <row r="42" spans="1:9" x14ac:dyDescent="0.3">
      <c r="A42" t="s">
        <v>67</v>
      </c>
      <c r="B42" t="s">
        <v>35</v>
      </c>
      <c r="C42" t="s">
        <v>13</v>
      </c>
      <c r="D42">
        <v>1160.54</v>
      </c>
      <c r="E42">
        <v>311</v>
      </c>
      <c r="F42" s="1">
        <v>44973</v>
      </c>
      <c r="G42" t="str">
        <f>IF(COUNTIFS(Table1_3[Country],Table1_3[[#This Row],[Country]],Table1_3[Product],Table1_3[[#This Row],[Product]],Table1_3[Sales Person],Table1_3[[#This Row],[Sales Person]],Table1_3[Amount],"&lt;=100")&gt;=2,"Contract","Deal")</f>
        <v>Deal</v>
      </c>
    </row>
    <row r="43" spans="1:9" x14ac:dyDescent="0.3">
      <c r="A43" t="s">
        <v>67</v>
      </c>
      <c r="B43" t="s">
        <v>35</v>
      </c>
      <c r="C43" t="s">
        <v>13</v>
      </c>
      <c r="D43">
        <v>1348.05</v>
      </c>
      <c r="E43">
        <v>332</v>
      </c>
      <c r="F43" s="1">
        <v>45338</v>
      </c>
      <c r="G43" t="str">
        <f>IF(COUNTIFS(Table1_3[Country],Table1_3[[#This Row],[Country]],Table1_3[Product],Table1_3[[#This Row],[Product]],Table1_3[Sales Person],Table1_3[[#This Row],[Sales Person]],Table1_3[Amount],"&lt;=100")&gt;=2,"Contract","Deal")</f>
        <v>Deal</v>
      </c>
      <c r="I43" s="13"/>
    </row>
    <row r="44" spans="1:9" x14ac:dyDescent="0.3">
      <c r="A44" t="s">
        <v>67</v>
      </c>
      <c r="B44" t="s">
        <v>35</v>
      </c>
      <c r="C44" t="s">
        <v>18</v>
      </c>
      <c r="D44">
        <v>1155</v>
      </c>
      <c r="E44">
        <v>79</v>
      </c>
      <c r="F44" s="1">
        <v>44750</v>
      </c>
      <c r="G44" t="str">
        <f>IF(COUNTIFS(Table1_3[Country],Table1_3[[#This Row],[Country]],Table1_3[Product],Table1_3[[#This Row],[Product]],Table1_3[Sales Person],Table1_3[[#This Row],[Sales Person]],Table1_3[Amount],"&lt;=100")&gt;=2,"Contract","Deal")</f>
        <v>Deal</v>
      </c>
      <c r="I44" s="13"/>
    </row>
    <row r="45" spans="1:9" x14ac:dyDescent="0.3">
      <c r="A45" t="s">
        <v>67</v>
      </c>
      <c r="B45" t="s">
        <v>35</v>
      </c>
      <c r="C45" t="s">
        <v>18</v>
      </c>
      <c r="D45">
        <v>1187.71</v>
      </c>
      <c r="E45">
        <v>75</v>
      </c>
      <c r="F45" s="1">
        <v>45115</v>
      </c>
      <c r="G45" t="str">
        <f>IF(COUNTIFS(Table1_3[Country],Table1_3[[#This Row],[Country]],Table1_3[Product],Table1_3[[#This Row],[Product]],Table1_3[Sales Person],Table1_3[[#This Row],[Sales Person]],Table1_3[Amount],"&lt;=100")&gt;=2,"Contract","Deal")</f>
        <v>Deal</v>
      </c>
    </row>
    <row r="46" spans="1:9" x14ac:dyDescent="0.3">
      <c r="A46" t="s">
        <v>67</v>
      </c>
      <c r="B46" t="s">
        <v>35</v>
      </c>
      <c r="C46" t="s">
        <v>18</v>
      </c>
      <c r="D46">
        <v>1223.79</v>
      </c>
      <c r="E46">
        <v>81</v>
      </c>
      <c r="F46" s="1">
        <v>45481</v>
      </c>
      <c r="G46" t="str">
        <f>IF(COUNTIFS(Table1_3[Country],Table1_3[[#This Row],[Country]],Table1_3[Product],Table1_3[[#This Row],[Product]],Table1_3[Sales Person],Table1_3[[#This Row],[Sales Person]],Table1_3[Amount],"&lt;=100")&gt;=2,"Contract","Deal")</f>
        <v>Deal</v>
      </c>
    </row>
    <row r="47" spans="1:9" x14ac:dyDescent="0.3">
      <c r="A47" t="s">
        <v>67</v>
      </c>
      <c r="B47" t="s">
        <v>35</v>
      </c>
      <c r="C47" t="s">
        <v>59</v>
      </c>
      <c r="D47">
        <v>4067</v>
      </c>
      <c r="E47">
        <v>29</v>
      </c>
      <c r="F47" s="1">
        <v>44606</v>
      </c>
      <c r="G47" t="str">
        <f>IF(COUNTIFS(Table1_3[Country],Table1_3[[#This Row],[Country]],Table1_3[Product],Table1_3[[#This Row],[Product]],Table1_3[Sales Person],Table1_3[[#This Row],[Sales Person]],Table1_3[Amount],"&lt;=100")&gt;=2,"Contract","Deal")</f>
        <v>Deal</v>
      </c>
    </row>
    <row r="48" spans="1:9" x14ac:dyDescent="0.3">
      <c r="A48" t="s">
        <v>67</v>
      </c>
      <c r="B48" t="s">
        <v>35</v>
      </c>
      <c r="C48" t="s">
        <v>59</v>
      </c>
      <c r="D48">
        <v>4435.95</v>
      </c>
      <c r="E48">
        <v>31</v>
      </c>
      <c r="F48" s="1">
        <v>44971</v>
      </c>
      <c r="G48" t="str">
        <f>IF(COUNTIFS(Table1_3[Country],Table1_3[[#This Row],[Country]],Table1_3[Product],Table1_3[[#This Row],[Product]],Table1_3[Sales Person],Table1_3[[#This Row],[Sales Person]],Table1_3[Amount],"&lt;=100")&gt;=2,"Contract","Deal")</f>
        <v>Deal</v>
      </c>
    </row>
    <row r="49" spans="1:11" x14ac:dyDescent="0.3">
      <c r="A49" t="s">
        <v>67</v>
      </c>
      <c r="B49" t="s">
        <v>35</v>
      </c>
      <c r="C49" t="s">
        <v>59</v>
      </c>
      <c r="D49">
        <v>4368.01</v>
      </c>
      <c r="E49">
        <v>29</v>
      </c>
      <c r="F49" s="1">
        <v>45336</v>
      </c>
      <c r="G49" t="str">
        <f>IF(COUNTIFS(Table1_3[Country],Table1_3[[#This Row],[Country]],Table1_3[Product],Table1_3[[#This Row],[Product]],Table1_3[Sales Person],Table1_3[[#This Row],[Sales Person]],Table1_3[Amount],"&lt;=100")&gt;=2,"Contract","Deal")</f>
        <v>Deal</v>
      </c>
    </row>
    <row r="50" spans="1:11" x14ac:dyDescent="0.3">
      <c r="A50" t="s">
        <v>67</v>
      </c>
      <c r="B50" t="s">
        <v>10</v>
      </c>
      <c r="C50" t="s">
        <v>26</v>
      </c>
      <c r="D50">
        <v>13482</v>
      </c>
      <c r="E50">
        <v>15</v>
      </c>
      <c r="F50" s="1">
        <v>44592</v>
      </c>
      <c r="G50" t="str">
        <f>IF(COUNTIFS(Table1_3[Country],Table1_3[[#This Row],[Country]],Table1_3[Product],Table1_3[[#This Row],[Product]],Table1_3[Sales Person],Table1_3[[#This Row],[Sales Person]],Table1_3[Amount],"&lt;=100")&gt;=2,"Contract","Deal")</f>
        <v>Deal</v>
      </c>
    </row>
    <row r="51" spans="1:11" x14ac:dyDescent="0.3">
      <c r="A51" t="s">
        <v>67</v>
      </c>
      <c r="B51" t="s">
        <v>10</v>
      </c>
      <c r="C51" t="s">
        <v>26</v>
      </c>
      <c r="D51">
        <v>13661.89</v>
      </c>
      <c r="E51">
        <v>15</v>
      </c>
      <c r="F51" s="1">
        <v>44957</v>
      </c>
      <c r="G51" t="str">
        <f>IF(COUNTIFS(Table1_3[Country],Table1_3[[#This Row],[Country]],Table1_3[Product],Table1_3[[#This Row],[Product]],Table1_3[Sales Person],Table1_3[[#This Row],[Sales Person]],Table1_3[Amount],"&lt;=100")&gt;=2,"Contract","Deal")</f>
        <v>Deal</v>
      </c>
    </row>
    <row r="52" spans="1:11" x14ac:dyDescent="0.3">
      <c r="A52" t="s">
        <v>67</v>
      </c>
      <c r="B52" t="s">
        <v>10</v>
      </c>
      <c r="C52" t="s">
        <v>26</v>
      </c>
      <c r="D52">
        <v>15789.48</v>
      </c>
      <c r="E52">
        <v>16</v>
      </c>
      <c r="F52" s="1">
        <v>45322</v>
      </c>
      <c r="G52" t="str">
        <f>IF(COUNTIFS(Table1_3[Country],Table1_3[[#This Row],[Country]],Table1_3[Product],Table1_3[[#This Row],[Product]],Table1_3[Sales Person],Table1_3[[#This Row],[Sales Person]],Table1_3[Amount],"&lt;=100")&gt;=2,"Contract","Deal")</f>
        <v>Deal</v>
      </c>
    </row>
    <row r="53" spans="1:11" x14ac:dyDescent="0.3">
      <c r="A53" t="s">
        <v>67</v>
      </c>
      <c r="B53" t="s">
        <v>10</v>
      </c>
      <c r="C53" t="s">
        <v>23</v>
      </c>
      <c r="D53">
        <v>952</v>
      </c>
      <c r="E53">
        <v>68</v>
      </c>
      <c r="F53" s="1">
        <v>44578</v>
      </c>
      <c r="G53" t="str">
        <f>IF(COUNTIFS(Table1_3[Country],Table1_3[[#This Row],[Country]],Table1_3[Product],Table1_3[[#This Row],[Product]],Table1_3[Sales Person],Table1_3[[#This Row],[Sales Person]],Table1_3[Amount],"&lt;=100")&gt;=2,"Contract","Deal")</f>
        <v>Deal</v>
      </c>
    </row>
    <row r="54" spans="1:11" x14ac:dyDescent="0.3">
      <c r="A54" t="s">
        <v>67</v>
      </c>
      <c r="B54" t="s">
        <v>10</v>
      </c>
      <c r="C54" t="s">
        <v>23</v>
      </c>
      <c r="D54">
        <v>960.68</v>
      </c>
      <c r="E54">
        <v>71</v>
      </c>
      <c r="F54" s="1">
        <v>44943</v>
      </c>
      <c r="G54" t="str">
        <f>IF(COUNTIFS(Table1_3[Country],Table1_3[[#This Row],[Country]],Table1_3[Product],Table1_3[[#This Row],[Product]],Table1_3[Sales Person],Table1_3[[#This Row],[Sales Person]],Table1_3[Amount],"&lt;=100")&gt;=2,"Contract","Deal")</f>
        <v>Deal</v>
      </c>
    </row>
    <row r="55" spans="1:11" x14ac:dyDescent="0.3">
      <c r="A55" t="s">
        <v>67</v>
      </c>
      <c r="B55" t="s">
        <v>10</v>
      </c>
      <c r="C55" t="s">
        <v>23</v>
      </c>
      <c r="D55">
        <v>1009.28</v>
      </c>
      <c r="E55">
        <v>69</v>
      </c>
      <c r="F55" s="1">
        <v>45308</v>
      </c>
      <c r="G55" t="str">
        <f>IF(COUNTIFS(Table1_3[Country],Table1_3[[#This Row],[Country]],Table1_3[Product],Table1_3[[#This Row],[Product]],Table1_3[Sales Person],Table1_3[[#This Row],[Sales Person]],Table1_3[Amount],"&lt;=100")&gt;=2,"Contract","Deal")</f>
        <v>Deal</v>
      </c>
    </row>
    <row r="56" spans="1:11" x14ac:dyDescent="0.3">
      <c r="A56" t="s">
        <v>67</v>
      </c>
      <c r="B56" t="s">
        <v>10</v>
      </c>
      <c r="C56" t="s">
        <v>36</v>
      </c>
      <c r="D56">
        <v>2149</v>
      </c>
      <c r="E56">
        <v>84</v>
      </c>
      <c r="F56" s="1">
        <v>44697</v>
      </c>
      <c r="G56" t="str">
        <f>IF(COUNTIFS(Table1_3[Country],Table1_3[[#This Row],[Country]],Table1_3[Product],Table1_3[[#This Row],[Product]],Table1_3[Sales Person],Table1_3[[#This Row],[Sales Person]],Table1_3[Amount],"&lt;=100")&gt;=2,"Contract","Deal")</f>
        <v>Deal</v>
      </c>
    </row>
    <row r="57" spans="1:11" x14ac:dyDescent="0.3">
      <c r="A57" t="s">
        <v>67</v>
      </c>
      <c r="B57" t="s">
        <v>10</v>
      </c>
      <c r="C57" t="s">
        <v>36</v>
      </c>
      <c r="D57">
        <v>2455.09</v>
      </c>
      <c r="E57">
        <v>83</v>
      </c>
      <c r="F57" s="1">
        <v>45062</v>
      </c>
      <c r="G57" t="str">
        <f>IF(COUNTIFS(Table1_3[Country],Table1_3[[#This Row],[Country]],Table1_3[Product],Table1_3[[#This Row],[Product]],Table1_3[Sales Person],Table1_3[[#This Row],[Sales Person]],Table1_3[Amount],"&lt;=100")&gt;=2,"Contract","Deal")</f>
        <v>Deal</v>
      </c>
    </row>
    <row r="58" spans="1:11" x14ac:dyDescent="0.3">
      <c r="A58" t="s">
        <v>67</v>
      </c>
      <c r="B58" t="s">
        <v>10</v>
      </c>
      <c r="C58" t="s">
        <v>36</v>
      </c>
      <c r="D58">
        <v>2413.0500000000002</v>
      </c>
      <c r="E58">
        <v>82</v>
      </c>
      <c r="F58" s="1">
        <v>45428</v>
      </c>
      <c r="G58" t="str">
        <f>IF(COUNTIFS(Table1_3[Country],Table1_3[[#This Row],[Country]],Table1_3[Product],Table1_3[[#This Row],[Product]],Table1_3[Sales Person],Table1_3[[#This Row],[Sales Person]],Table1_3[Amount],"&lt;=100")&gt;=2,"Contract","Deal")</f>
        <v>Deal</v>
      </c>
      <c r="I58">
        <f>COUNTA(_xlfn.UNIQUE(A58:A3281))</f>
        <v>25</v>
      </c>
      <c r="J58">
        <f>COUNTA(_xlfn.UNIQUE(B58:B3281))</f>
        <v>6</v>
      </c>
      <c r="K58">
        <f>COUNTA(_xlfn.UNIQUE(C58:C3281))</f>
        <v>22</v>
      </c>
    </row>
    <row r="59" spans="1:11" x14ac:dyDescent="0.3">
      <c r="A59" t="s">
        <v>67</v>
      </c>
      <c r="B59" t="s">
        <v>10</v>
      </c>
      <c r="C59" t="s">
        <v>33</v>
      </c>
      <c r="D59">
        <v>301</v>
      </c>
      <c r="E59">
        <v>421</v>
      </c>
      <c r="F59" s="1">
        <v>44711</v>
      </c>
      <c r="G59" t="str">
        <f>IF(COUNTIFS(Table1_3[Country],Table1_3[[#This Row],[Country]],Table1_3[Product],Table1_3[[#This Row],[Product]],Table1_3[Sales Person],Table1_3[[#This Row],[Sales Person]],Table1_3[Amount],"&lt;=100")&gt;=2,"Contract","Deal")</f>
        <v>Deal</v>
      </c>
    </row>
    <row r="60" spans="1:11" x14ac:dyDescent="0.3">
      <c r="A60" t="s">
        <v>67</v>
      </c>
      <c r="B60" t="s">
        <v>10</v>
      </c>
      <c r="C60" t="s">
        <v>33</v>
      </c>
      <c r="D60">
        <v>318.19</v>
      </c>
      <c r="E60">
        <v>417</v>
      </c>
      <c r="F60" s="1">
        <v>45076</v>
      </c>
      <c r="G60" t="str">
        <f>IF(COUNTIFS(Table1_3[Country],Table1_3[[#This Row],[Country]],Table1_3[Product],Table1_3[[#This Row],[Product]],Table1_3[Sales Person],Table1_3[[#This Row],[Sales Person]],Table1_3[Amount],"&lt;=100")&gt;=2,"Contract","Deal")</f>
        <v>Deal</v>
      </c>
    </row>
    <row r="61" spans="1:11" x14ac:dyDescent="0.3">
      <c r="A61" t="s">
        <v>67</v>
      </c>
      <c r="B61" t="s">
        <v>10</v>
      </c>
      <c r="C61" t="s">
        <v>33</v>
      </c>
      <c r="D61">
        <v>339.64</v>
      </c>
      <c r="E61">
        <v>452</v>
      </c>
      <c r="F61" s="1">
        <v>45442</v>
      </c>
      <c r="G61" t="str">
        <f>IF(COUNTIFS(Table1_3[Country],Table1_3[[#This Row],[Country]],Table1_3[Product],Table1_3[[#This Row],[Product]],Table1_3[Sales Person],Table1_3[[#This Row],[Sales Person]],Table1_3[Amount],"&lt;=100")&gt;=2,"Contract","Deal")</f>
        <v>Deal</v>
      </c>
    </row>
    <row r="62" spans="1:11" x14ac:dyDescent="0.3">
      <c r="A62" t="s">
        <v>67</v>
      </c>
      <c r="B62" t="s">
        <v>10</v>
      </c>
      <c r="C62" t="s">
        <v>42</v>
      </c>
      <c r="D62">
        <v>3955</v>
      </c>
      <c r="E62">
        <v>134</v>
      </c>
      <c r="F62" s="1">
        <v>44579</v>
      </c>
      <c r="G62" t="str">
        <f>IF(COUNTIFS(Table1_3[Country],Table1_3[[#This Row],[Country]],Table1_3[Product],Table1_3[[#This Row],[Product]],Table1_3[Sales Person],Table1_3[[#This Row],[Sales Person]],Table1_3[Amount],"&lt;=100")&gt;=2,"Contract","Deal")</f>
        <v>Deal</v>
      </c>
    </row>
    <row r="63" spans="1:11" x14ac:dyDescent="0.3">
      <c r="A63" t="s">
        <v>67</v>
      </c>
      <c r="B63" t="s">
        <v>10</v>
      </c>
      <c r="C63" t="s">
        <v>42</v>
      </c>
      <c r="D63">
        <v>3971.78</v>
      </c>
      <c r="E63">
        <v>131</v>
      </c>
      <c r="F63" s="1">
        <v>44944</v>
      </c>
      <c r="G63" t="str">
        <f>IF(COUNTIFS(Table1_3[Country],Table1_3[[#This Row],[Country]],Table1_3[Product],Table1_3[[#This Row],[Product]],Table1_3[Sales Person],Table1_3[[#This Row],[Sales Person]],Table1_3[Amount],"&lt;=100")&gt;=2,"Contract","Deal")</f>
        <v>Deal</v>
      </c>
    </row>
    <row r="64" spans="1:11" x14ac:dyDescent="0.3">
      <c r="A64" t="s">
        <v>67</v>
      </c>
      <c r="B64" t="s">
        <v>10</v>
      </c>
      <c r="C64" t="s">
        <v>42</v>
      </c>
      <c r="D64">
        <v>4552.3</v>
      </c>
      <c r="E64">
        <v>132</v>
      </c>
      <c r="F64" s="1">
        <v>45309</v>
      </c>
      <c r="G64" t="str">
        <f>IF(COUNTIFS(Table1_3[Country],Table1_3[[#This Row],[Country]],Table1_3[Product],Table1_3[[#This Row],[Product]],Table1_3[Sales Person],Table1_3[[#This Row],[Sales Person]],Table1_3[Amount],"&lt;=100")&gt;=2,"Contract","Deal")</f>
        <v>Deal</v>
      </c>
      <c r="I64" s="13"/>
    </row>
    <row r="65" spans="1:9" x14ac:dyDescent="0.3">
      <c r="A65" t="s">
        <v>67</v>
      </c>
      <c r="B65" t="s">
        <v>10</v>
      </c>
      <c r="C65" t="s">
        <v>50</v>
      </c>
      <c r="D65">
        <v>6307</v>
      </c>
      <c r="E65">
        <v>142</v>
      </c>
      <c r="F65" s="1">
        <v>44615</v>
      </c>
      <c r="G65" t="str">
        <f>IF(COUNTIFS(Table1_3[Country],Table1_3[[#This Row],[Country]],Table1_3[Product],Table1_3[[#This Row],[Product]],Table1_3[Sales Person],Table1_3[[#This Row],[Sales Person]],Table1_3[Amount],"&lt;=100")&gt;=2,"Contract","Deal")</f>
        <v>Deal</v>
      </c>
    </row>
    <row r="66" spans="1:9" x14ac:dyDescent="0.3">
      <c r="A66" t="s">
        <v>67</v>
      </c>
      <c r="B66" t="s">
        <v>10</v>
      </c>
      <c r="C66" t="s">
        <v>50</v>
      </c>
      <c r="D66">
        <v>6559.44</v>
      </c>
      <c r="E66">
        <v>154</v>
      </c>
      <c r="F66" s="1">
        <v>44980</v>
      </c>
      <c r="G66" t="str">
        <f>IF(COUNTIFS(Table1_3[Country],Table1_3[[#This Row],[Country]],Table1_3[Product],Table1_3[[#This Row],[Product]],Table1_3[Sales Person],Table1_3[[#This Row],[Sales Person]],Table1_3[Amount],"&lt;=100")&gt;=2,"Contract","Deal")</f>
        <v>Deal</v>
      </c>
    </row>
    <row r="67" spans="1:9" x14ac:dyDescent="0.3">
      <c r="A67" t="s">
        <v>67</v>
      </c>
      <c r="B67" t="s">
        <v>10</v>
      </c>
      <c r="C67" t="s">
        <v>50</v>
      </c>
      <c r="D67">
        <v>6682.34</v>
      </c>
      <c r="E67">
        <v>139</v>
      </c>
      <c r="F67" s="1">
        <v>45345</v>
      </c>
      <c r="G67" t="str">
        <f>IF(COUNTIFS(Table1_3[Country],Table1_3[[#This Row],[Country]],Table1_3[Product],Table1_3[[#This Row],[Product]],Table1_3[Sales Person],Table1_3[[#This Row],[Sales Person]],Table1_3[Amount],"&lt;=100")&gt;=2,"Contract","Deal")</f>
        <v>Deal</v>
      </c>
      <c r="I67" s="13"/>
    </row>
    <row r="68" spans="1:9" x14ac:dyDescent="0.3">
      <c r="A68" t="s">
        <v>67</v>
      </c>
      <c r="B68" t="s">
        <v>25</v>
      </c>
      <c r="C68" t="s">
        <v>26</v>
      </c>
      <c r="D68">
        <v>3374</v>
      </c>
      <c r="E68">
        <v>202</v>
      </c>
      <c r="F68" s="1">
        <v>44622</v>
      </c>
      <c r="G68" t="str">
        <f>IF(COUNTIFS(Table1_3[Country],Table1_3[[#This Row],[Country]],Table1_3[Product],Table1_3[[#This Row],[Product]],Table1_3[Sales Person],Table1_3[[#This Row],[Sales Person]],Table1_3[Amount],"&lt;=100")&gt;=2,"Contract","Deal")</f>
        <v>Deal</v>
      </c>
    </row>
    <row r="69" spans="1:9" x14ac:dyDescent="0.3">
      <c r="A69" t="s">
        <v>67</v>
      </c>
      <c r="B69" t="s">
        <v>25</v>
      </c>
      <c r="C69" t="s">
        <v>26</v>
      </c>
      <c r="D69">
        <v>3750.88</v>
      </c>
      <c r="E69">
        <v>208</v>
      </c>
      <c r="F69" s="1">
        <v>44987</v>
      </c>
      <c r="G69" t="str">
        <f>IF(COUNTIFS(Table1_3[Country],Table1_3[[#This Row],[Country]],Table1_3[Product],Table1_3[[#This Row],[Product]],Table1_3[Sales Person],Table1_3[[#This Row],[Sales Person]],Table1_3[Amount],"&lt;=100")&gt;=2,"Contract","Deal")</f>
        <v>Deal</v>
      </c>
    </row>
    <row r="70" spans="1:9" x14ac:dyDescent="0.3">
      <c r="A70" t="s">
        <v>67</v>
      </c>
      <c r="B70" t="s">
        <v>25</v>
      </c>
      <c r="C70" t="s">
        <v>26</v>
      </c>
      <c r="D70">
        <v>3741.19</v>
      </c>
      <c r="E70">
        <v>222</v>
      </c>
      <c r="F70" s="1">
        <v>45353</v>
      </c>
      <c r="G70" t="str">
        <f>IF(COUNTIFS(Table1_3[Country],Table1_3[[#This Row],[Country]],Table1_3[Product],Table1_3[[#This Row],[Product]],Table1_3[Sales Person],Table1_3[[#This Row],[Sales Person]],Table1_3[Amount],"&lt;=100")&gt;=2,"Contract","Deal")</f>
        <v>Deal</v>
      </c>
    </row>
    <row r="71" spans="1:9" x14ac:dyDescent="0.3">
      <c r="A71" t="s">
        <v>67</v>
      </c>
      <c r="B71" t="s">
        <v>25</v>
      </c>
      <c r="C71" t="s">
        <v>65</v>
      </c>
      <c r="D71">
        <v>6559</v>
      </c>
      <c r="E71">
        <v>158</v>
      </c>
      <c r="F71" s="1">
        <v>44656</v>
      </c>
      <c r="G71" t="str">
        <f>IF(COUNTIFS(Table1_3[Country],Table1_3[[#This Row],[Country]],Table1_3[Product],Table1_3[[#This Row],[Product]],Table1_3[Sales Person],Table1_3[[#This Row],[Sales Person]],Table1_3[Amount],"&lt;=100")&gt;=2,"Contract","Deal")</f>
        <v>Deal</v>
      </c>
    </row>
    <row r="72" spans="1:9" x14ac:dyDescent="0.3">
      <c r="A72" t="s">
        <v>67</v>
      </c>
      <c r="B72" t="s">
        <v>25</v>
      </c>
      <c r="C72" t="s">
        <v>65</v>
      </c>
      <c r="D72">
        <v>7190.49</v>
      </c>
      <c r="E72">
        <v>165</v>
      </c>
      <c r="F72" s="1">
        <v>45021</v>
      </c>
      <c r="G72" t="str">
        <f>IF(COUNTIFS(Table1_3[Country],Table1_3[[#This Row],[Country]],Table1_3[Product],Table1_3[[#This Row],[Product]],Table1_3[Sales Person],Table1_3[[#This Row],[Sales Person]],Table1_3[Amount],"&lt;=100")&gt;=2,"Contract","Deal")</f>
        <v>Deal</v>
      </c>
    </row>
    <row r="73" spans="1:9" x14ac:dyDescent="0.3">
      <c r="A73" t="s">
        <v>67</v>
      </c>
      <c r="B73" t="s">
        <v>25</v>
      </c>
      <c r="C73" t="s">
        <v>65</v>
      </c>
      <c r="D73">
        <v>7037.21</v>
      </c>
      <c r="E73">
        <v>172</v>
      </c>
      <c r="F73" s="1">
        <v>45387</v>
      </c>
      <c r="G73" t="str">
        <f>IF(COUNTIFS(Table1_3[Country],Table1_3[[#This Row],[Country]],Table1_3[Product],Table1_3[[#This Row],[Product]],Table1_3[Sales Person],Table1_3[[#This Row],[Sales Person]],Table1_3[Amount],"&lt;=100")&gt;=2,"Contract","Deal")</f>
        <v>Deal</v>
      </c>
    </row>
    <row r="74" spans="1:9" x14ac:dyDescent="0.3">
      <c r="A74" t="s">
        <v>67</v>
      </c>
      <c r="B74" t="s">
        <v>25</v>
      </c>
      <c r="C74" t="s">
        <v>8</v>
      </c>
      <c r="D74">
        <v>8848</v>
      </c>
      <c r="E74">
        <v>211</v>
      </c>
      <c r="F74" s="1">
        <v>44607</v>
      </c>
      <c r="G74" t="str">
        <f>IF(COUNTIFS(Table1_3[Country],Table1_3[[#This Row],[Country]],Table1_3[Product],Table1_3[[#This Row],[Product]],Table1_3[Sales Person],Table1_3[[#This Row],[Sales Person]],Table1_3[Amount],"&lt;=100")&gt;=2,"Contract","Deal")</f>
        <v>Deal</v>
      </c>
    </row>
    <row r="75" spans="1:9" x14ac:dyDescent="0.3">
      <c r="A75" t="s">
        <v>67</v>
      </c>
      <c r="B75" t="s">
        <v>25</v>
      </c>
      <c r="C75" t="s">
        <v>8</v>
      </c>
      <c r="D75">
        <v>9738.74</v>
      </c>
      <c r="E75">
        <v>209</v>
      </c>
      <c r="F75" s="1">
        <v>44972</v>
      </c>
      <c r="G75" t="str">
        <f>IF(COUNTIFS(Table1_3[Country],Table1_3[[#This Row],[Country]],Table1_3[Product],Table1_3[[#This Row],[Product]],Table1_3[Sales Person],Table1_3[[#This Row],[Sales Person]],Table1_3[Amount],"&lt;=100")&gt;=2,"Contract","Deal")</f>
        <v>Deal</v>
      </c>
    </row>
    <row r="76" spans="1:9" x14ac:dyDescent="0.3">
      <c r="A76" t="s">
        <v>67</v>
      </c>
      <c r="B76" t="s">
        <v>25</v>
      </c>
      <c r="C76" t="s">
        <v>8</v>
      </c>
      <c r="D76">
        <v>10696.21</v>
      </c>
      <c r="E76">
        <v>201</v>
      </c>
      <c r="F76" s="1">
        <v>45337</v>
      </c>
      <c r="G76" t="str">
        <f>IF(COUNTIFS(Table1_3[Country],Table1_3[[#This Row],[Country]],Table1_3[Product],Table1_3[[#This Row],[Product]],Table1_3[Sales Person],Table1_3[[#This Row],[Sales Person]],Table1_3[Amount],"&lt;=100")&gt;=2,"Contract","Deal")</f>
        <v>Deal</v>
      </c>
    </row>
    <row r="77" spans="1:9" x14ac:dyDescent="0.3">
      <c r="A77" t="s">
        <v>67</v>
      </c>
      <c r="B77" t="s">
        <v>25</v>
      </c>
      <c r="C77" t="s">
        <v>33</v>
      </c>
      <c r="D77">
        <v>8169</v>
      </c>
      <c r="E77">
        <v>88</v>
      </c>
      <c r="F77" s="1">
        <v>44726</v>
      </c>
      <c r="G77" t="str">
        <f>IF(COUNTIFS(Table1_3[Country],Table1_3[[#This Row],[Country]],Table1_3[Product],Table1_3[[#This Row],[Product]],Table1_3[Sales Person],Table1_3[[#This Row],[Sales Person]],Table1_3[Amount],"&lt;=100")&gt;=2,"Contract","Deal")</f>
        <v>Deal</v>
      </c>
    </row>
    <row r="78" spans="1:9" x14ac:dyDescent="0.3">
      <c r="A78" t="s">
        <v>67</v>
      </c>
      <c r="B78" t="s">
        <v>25</v>
      </c>
      <c r="C78" t="s">
        <v>33</v>
      </c>
      <c r="D78">
        <v>9295.83</v>
      </c>
      <c r="E78">
        <v>93</v>
      </c>
      <c r="F78" s="1">
        <v>45091</v>
      </c>
      <c r="G78" t="str">
        <f>IF(COUNTIFS(Table1_3[Country],Table1_3[[#This Row],[Country]],Table1_3[Product],Table1_3[[#This Row],[Product]],Table1_3[Sales Person],Table1_3[[#This Row],[Sales Person]],Table1_3[Amount],"&lt;=100")&gt;=2,"Contract","Deal")</f>
        <v>Deal</v>
      </c>
    </row>
    <row r="79" spans="1:9" x14ac:dyDescent="0.3">
      <c r="A79" t="s">
        <v>67</v>
      </c>
      <c r="B79" t="s">
        <v>25</v>
      </c>
      <c r="C79" t="s">
        <v>33</v>
      </c>
      <c r="D79">
        <v>9420.2199999999993</v>
      </c>
      <c r="E79">
        <v>94</v>
      </c>
      <c r="F79" s="1">
        <v>45457</v>
      </c>
      <c r="G79" t="str">
        <f>IF(COUNTIFS(Table1_3[Country],Table1_3[[#This Row],[Country]],Table1_3[Product],Table1_3[[#This Row],[Product]],Table1_3[Sales Person],Table1_3[[#This Row],[Sales Person]],Table1_3[Amount],"&lt;=100")&gt;=2,"Contract","Deal")</f>
        <v>Deal</v>
      </c>
    </row>
    <row r="80" spans="1:9" x14ac:dyDescent="0.3">
      <c r="A80" t="s">
        <v>67</v>
      </c>
      <c r="B80" t="s">
        <v>25</v>
      </c>
      <c r="C80" t="s">
        <v>42</v>
      </c>
      <c r="D80">
        <v>4935</v>
      </c>
      <c r="E80">
        <v>39</v>
      </c>
      <c r="F80" s="1">
        <v>44624</v>
      </c>
      <c r="G80" t="str">
        <f>IF(COUNTIFS(Table1_3[Country],Table1_3[[#This Row],[Country]],Table1_3[Product],Table1_3[[#This Row],[Product]],Table1_3[Sales Person],Table1_3[[#This Row],[Sales Person]],Table1_3[Amount],"&lt;=100")&gt;=2,"Contract","Deal")</f>
        <v>Deal</v>
      </c>
    </row>
    <row r="81" spans="1:9" x14ac:dyDescent="0.3">
      <c r="A81" t="s">
        <v>67</v>
      </c>
      <c r="B81" t="s">
        <v>25</v>
      </c>
      <c r="C81" t="s">
        <v>42</v>
      </c>
      <c r="D81">
        <v>4948.1499999999996</v>
      </c>
      <c r="E81">
        <v>39</v>
      </c>
      <c r="F81" s="1">
        <v>44989</v>
      </c>
      <c r="G81" t="str">
        <f>IF(COUNTIFS(Table1_3[Country],Table1_3[[#This Row],[Country]],Table1_3[Product],Table1_3[[#This Row],[Product]],Table1_3[Sales Person],Table1_3[[#This Row],[Sales Person]],Table1_3[Amount],"&lt;=100")&gt;=2,"Contract","Deal")</f>
        <v>Deal</v>
      </c>
    </row>
    <row r="82" spans="1:9" x14ac:dyDescent="0.3">
      <c r="A82" t="s">
        <v>67</v>
      </c>
      <c r="B82" t="s">
        <v>25</v>
      </c>
      <c r="C82" t="s">
        <v>42</v>
      </c>
      <c r="D82">
        <v>5616.01</v>
      </c>
      <c r="E82">
        <v>43</v>
      </c>
      <c r="F82" s="1">
        <v>45355</v>
      </c>
      <c r="G82" t="str">
        <f>IF(COUNTIFS(Table1_3[Country],Table1_3[[#This Row],[Country]],Table1_3[Product],Table1_3[[#This Row],[Product]],Table1_3[Sales Person],Table1_3[[#This Row],[Sales Person]],Table1_3[Amount],"&lt;=100")&gt;=2,"Contract","Deal")</f>
        <v>Deal</v>
      </c>
    </row>
    <row r="83" spans="1:9" x14ac:dyDescent="0.3">
      <c r="A83" t="s">
        <v>67</v>
      </c>
      <c r="B83" t="s">
        <v>25</v>
      </c>
      <c r="C83" t="s">
        <v>13</v>
      </c>
      <c r="D83">
        <v>959</v>
      </c>
      <c r="E83">
        <v>265</v>
      </c>
      <c r="F83" s="1">
        <v>44732</v>
      </c>
      <c r="G83" t="str">
        <f>IF(COUNTIFS(Table1_3[Country],Table1_3[[#This Row],[Country]],Table1_3[Product],Table1_3[[#This Row],[Product]],Table1_3[Sales Person],Table1_3[[#This Row],[Sales Person]],Table1_3[Amount],"&lt;=100")&gt;=2,"Contract","Deal")</f>
        <v>Deal</v>
      </c>
    </row>
    <row r="84" spans="1:9" x14ac:dyDescent="0.3">
      <c r="A84" t="s">
        <v>67</v>
      </c>
      <c r="B84" t="s">
        <v>25</v>
      </c>
      <c r="C84" t="s">
        <v>13</v>
      </c>
      <c r="D84">
        <v>970.96</v>
      </c>
      <c r="E84">
        <v>291</v>
      </c>
      <c r="F84" s="1">
        <v>45097</v>
      </c>
      <c r="G84" t="str">
        <f>IF(COUNTIFS(Table1_3[Country],Table1_3[[#This Row],[Country]],Table1_3[Product],Table1_3[[#This Row],[Product]],Table1_3[Sales Person],Table1_3[[#This Row],[Sales Person]],Table1_3[Amount],"&lt;=100")&gt;=2,"Contract","Deal")</f>
        <v>Deal</v>
      </c>
    </row>
    <row r="85" spans="1:9" x14ac:dyDescent="0.3">
      <c r="A85" t="s">
        <v>67</v>
      </c>
      <c r="B85" t="s">
        <v>25</v>
      </c>
      <c r="C85" t="s">
        <v>13</v>
      </c>
      <c r="D85">
        <v>1119.94</v>
      </c>
      <c r="E85">
        <v>283</v>
      </c>
      <c r="F85" s="1">
        <v>45463</v>
      </c>
      <c r="G85" t="str">
        <f>IF(COUNTIFS(Table1_3[Country],Table1_3[[#This Row],[Country]],Table1_3[Product],Table1_3[[#This Row],[Product]],Table1_3[Sales Person],Table1_3[[#This Row],[Sales Person]],Table1_3[Amount],"&lt;=100")&gt;=2,"Contract","Deal")</f>
        <v>Deal</v>
      </c>
    </row>
    <row r="86" spans="1:9" x14ac:dyDescent="0.3">
      <c r="A86" t="s">
        <v>67</v>
      </c>
      <c r="B86" t="s">
        <v>7</v>
      </c>
      <c r="C86" t="s">
        <v>26</v>
      </c>
      <c r="D86">
        <v>2653</v>
      </c>
      <c r="E86">
        <v>314</v>
      </c>
      <c r="F86" s="1">
        <v>44797</v>
      </c>
      <c r="G86" t="str">
        <f>IF(COUNTIFS(Table1_3[Country],Table1_3[[#This Row],[Country]],Table1_3[Product],Table1_3[[#This Row],[Product]],Table1_3[Sales Person],Table1_3[[#This Row],[Sales Person]],Table1_3[Amount],"&lt;=100")&gt;=2,"Contract","Deal")</f>
        <v>Deal</v>
      </c>
    </row>
    <row r="87" spans="1:9" x14ac:dyDescent="0.3">
      <c r="A87" t="s">
        <v>67</v>
      </c>
      <c r="B87" t="s">
        <v>7</v>
      </c>
      <c r="C87" t="s">
        <v>26</v>
      </c>
      <c r="D87">
        <v>2854.85</v>
      </c>
      <c r="E87">
        <v>337</v>
      </c>
      <c r="F87" s="1">
        <v>45162</v>
      </c>
      <c r="G87" t="str">
        <f>IF(COUNTIFS(Table1_3[Country],Table1_3[[#This Row],[Country]],Table1_3[Product],Table1_3[[#This Row],[Product]],Table1_3[Sales Person],Table1_3[[#This Row],[Sales Person]],Table1_3[Amount],"&lt;=100")&gt;=2,"Contract","Deal")</f>
        <v>Deal</v>
      </c>
      <c r="I87" s="13"/>
    </row>
    <row r="88" spans="1:9" x14ac:dyDescent="0.3">
      <c r="A88" t="s">
        <v>67</v>
      </c>
      <c r="B88" t="s">
        <v>7</v>
      </c>
      <c r="C88" t="s">
        <v>26</v>
      </c>
      <c r="D88">
        <v>2930.4</v>
      </c>
      <c r="E88">
        <v>344</v>
      </c>
      <c r="F88" s="1">
        <v>45528</v>
      </c>
      <c r="G88" t="str">
        <f>IF(COUNTIFS(Table1_3[Country],Table1_3[[#This Row],[Country]],Table1_3[Product],Table1_3[[#This Row],[Product]],Table1_3[Sales Person],Table1_3[[#This Row],[Sales Person]],Table1_3[Amount],"&lt;=100")&gt;=2,"Contract","Deal")</f>
        <v>Deal</v>
      </c>
    </row>
    <row r="89" spans="1:9" x14ac:dyDescent="0.3">
      <c r="A89" t="s">
        <v>67</v>
      </c>
      <c r="B89" t="s">
        <v>7</v>
      </c>
      <c r="C89" t="s">
        <v>20</v>
      </c>
      <c r="D89">
        <v>1155</v>
      </c>
      <c r="E89">
        <v>66</v>
      </c>
      <c r="F89" s="1">
        <v>44767</v>
      </c>
      <c r="G89" t="str">
        <f>IF(COUNTIFS(Table1_3[Country],Table1_3[[#This Row],[Country]],Table1_3[Product],Table1_3[[#This Row],[Product]],Table1_3[Sales Person],Table1_3[[#This Row],[Sales Person]],Table1_3[Amount],"&lt;=100")&gt;=2,"Contract","Deal")</f>
        <v>Deal</v>
      </c>
    </row>
    <row r="90" spans="1:9" x14ac:dyDescent="0.3">
      <c r="A90" t="s">
        <v>67</v>
      </c>
      <c r="B90" t="s">
        <v>7</v>
      </c>
      <c r="C90" t="s">
        <v>20</v>
      </c>
      <c r="D90">
        <v>1288.0999999999999</v>
      </c>
      <c r="E90">
        <v>67</v>
      </c>
      <c r="F90" s="1">
        <v>45132</v>
      </c>
      <c r="G90" t="str">
        <f>IF(COUNTIFS(Table1_3[Country],Table1_3[[#This Row],[Country]],Table1_3[Product],Table1_3[[#This Row],[Product]],Table1_3[Sales Person],Table1_3[[#This Row],[Sales Person]],Table1_3[Amount],"&lt;=100")&gt;=2,"Contract","Deal")</f>
        <v>Deal</v>
      </c>
    </row>
    <row r="91" spans="1:9" x14ac:dyDescent="0.3">
      <c r="A91" t="s">
        <v>67</v>
      </c>
      <c r="B91" t="s">
        <v>7</v>
      </c>
      <c r="C91" t="s">
        <v>20</v>
      </c>
      <c r="D91">
        <v>1258.54</v>
      </c>
      <c r="E91">
        <v>72</v>
      </c>
      <c r="F91" s="1">
        <v>45498</v>
      </c>
      <c r="G91" t="str">
        <f>IF(COUNTIFS(Table1_3[Country],Table1_3[[#This Row],[Country]],Table1_3[Product],Table1_3[[#This Row],[Product]],Table1_3[Sales Person],Table1_3[[#This Row],[Sales Person]],Table1_3[Amount],"&lt;=100")&gt;=2,"Contract","Deal")</f>
        <v>Deal</v>
      </c>
    </row>
    <row r="92" spans="1:9" x14ac:dyDescent="0.3">
      <c r="A92" t="s">
        <v>67</v>
      </c>
      <c r="B92" t="s">
        <v>7</v>
      </c>
      <c r="C92" t="s">
        <v>90</v>
      </c>
      <c r="D92">
        <v>7924</v>
      </c>
      <c r="E92">
        <v>275</v>
      </c>
      <c r="F92" s="1">
        <v>44719</v>
      </c>
      <c r="G92" t="str">
        <f>IF(COUNTIFS(Table1_3[Country],Table1_3[[#This Row],[Country]],Table1_3[Product],Table1_3[[#This Row],[Product]],Table1_3[Sales Person],Table1_3[[#This Row],[Sales Person]],Table1_3[Amount],"&lt;=100")&gt;=2,"Contract","Deal")</f>
        <v>Deal</v>
      </c>
    </row>
    <row r="93" spans="1:9" x14ac:dyDescent="0.3">
      <c r="A93" t="s">
        <v>67</v>
      </c>
      <c r="B93" t="s">
        <v>7</v>
      </c>
      <c r="C93" t="s">
        <v>90</v>
      </c>
      <c r="D93">
        <v>8234.5</v>
      </c>
      <c r="E93">
        <v>294</v>
      </c>
      <c r="F93" s="1">
        <v>45084</v>
      </c>
      <c r="G93" t="str">
        <f>IF(COUNTIFS(Table1_3[Country],Table1_3[[#This Row],[Country]],Table1_3[Product],Table1_3[[#This Row],[Product]],Table1_3[Sales Person],Table1_3[[#This Row],[Sales Person]],Table1_3[Amount],"&lt;=100")&gt;=2,"Contract","Deal")</f>
        <v>Deal</v>
      </c>
    </row>
    <row r="94" spans="1:9" x14ac:dyDescent="0.3">
      <c r="A94" t="s">
        <v>67</v>
      </c>
      <c r="B94" t="s">
        <v>7</v>
      </c>
      <c r="C94" t="s">
        <v>90</v>
      </c>
      <c r="D94">
        <v>8959.3799999999992</v>
      </c>
      <c r="E94">
        <v>271</v>
      </c>
      <c r="F94" s="1">
        <v>45450</v>
      </c>
      <c r="G94" t="str">
        <f>IF(COUNTIFS(Table1_3[Country],Table1_3[[#This Row],[Country]],Table1_3[Product],Table1_3[[#This Row],[Product]],Table1_3[Sales Person],Table1_3[[#This Row],[Sales Person]],Table1_3[Amount],"&lt;=100")&gt;=2,"Contract","Deal")</f>
        <v>Deal</v>
      </c>
    </row>
    <row r="95" spans="1:9" x14ac:dyDescent="0.3">
      <c r="A95" t="s">
        <v>67</v>
      </c>
      <c r="B95" t="s">
        <v>7</v>
      </c>
      <c r="C95" t="s">
        <v>38</v>
      </c>
      <c r="D95">
        <v>1554</v>
      </c>
      <c r="E95">
        <v>65</v>
      </c>
      <c r="F95" s="1">
        <v>44704</v>
      </c>
      <c r="G95" t="str">
        <f>IF(COUNTIFS(Table1_3[Country],Table1_3[[#This Row],[Country]],Table1_3[Product],Table1_3[[#This Row],[Product]],Table1_3[Sales Person],Table1_3[[#This Row],[Sales Person]],Table1_3[Amount],"&lt;=100")&gt;=2,"Contract","Deal")</f>
        <v>Deal</v>
      </c>
    </row>
    <row r="96" spans="1:9" x14ac:dyDescent="0.3">
      <c r="A96" t="s">
        <v>67</v>
      </c>
      <c r="B96" t="s">
        <v>7</v>
      </c>
      <c r="C96" t="s">
        <v>38</v>
      </c>
      <c r="D96">
        <v>1600.11</v>
      </c>
      <c r="E96">
        <v>70</v>
      </c>
      <c r="F96" s="1">
        <v>45069</v>
      </c>
      <c r="G96" t="str">
        <f>IF(COUNTIFS(Table1_3[Country],Table1_3[[#This Row],[Country]],Table1_3[Product],Table1_3[[#This Row],[Product]],Table1_3[Sales Person],Table1_3[[#This Row],[Sales Person]],Table1_3[Amount],"&lt;=100")&gt;=2,"Contract","Deal")</f>
        <v>Deal</v>
      </c>
    </row>
    <row r="97" spans="1:7" x14ac:dyDescent="0.3">
      <c r="A97" t="s">
        <v>67</v>
      </c>
      <c r="B97" t="s">
        <v>7</v>
      </c>
      <c r="C97" t="s">
        <v>38</v>
      </c>
      <c r="D97">
        <v>1827.45</v>
      </c>
      <c r="E97">
        <v>66</v>
      </c>
      <c r="F97" s="1">
        <v>45435</v>
      </c>
      <c r="G97" t="str">
        <f>IF(COUNTIFS(Table1_3[Country],Table1_3[[#This Row],[Country]],Table1_3[Product],Table1_3[[#This Row],[Product]],Table1_3[Sales Person],Table1_3[[#This Row],[Sales Person]],Table1_3[Amount],"&lt;=100")&gt;=2,"Contract","Deal")</f>
        <v>Deal</v>
      </c>
    </row>
    <row r="98" spans="1:7" x14ac:dyDescent="0.3">
      <c r="A98" t="s">
        <v>67</v>
      </c>
      <c r="B98" t="s">
        <v>7</v>
      </c>
      <c r="C98" t="s">
        <v>46</v>
      </c>
      <c r="D98">
        <v>14336</v>
      </c>
      <c r="E98">
        <v>293</v>
      </c>
      <c r="F98" s="1">
        <v>44603</v>
      </c>
      <c r="G98" t="str">
        <f>IF(COUNTIFS(Table1_3[Country],Table1_3[[#This Row],[Country]],Table1_3[Product],Table1_3[[#This Row],[Product]],Table1_3[Sales Person],Table1_3[[#This Row],[Sales Person]],Table1_3[Amount],"&lt;=100")&gt;=2,"Contract","Deal")</f>
        <v>Deal</v>
      </c>
    </row>
    <row r="99" spans="1:7" x14ac:dyDescent="0.3">
      <c r="A99" t="s">
        <v>67</v>
      </c>
      <c r="B99" t="s">
        <v>7</v>
      </c>
      <c r="C99" t="s">
        <v>46</v>
      </c>
      <c r="D99">
        <v>16486.650000000001</v>
      </c>
      <c r="E99">
        <v>314</v>
      </c>
      <c r="F99" s="1">
        <v>44968</v>
      </c>
      <c r="G99" t="str">
        <f>IF(COUNTIFS(Table1_3[Country],Table1_3[[#This Row],[Country]],Table1_3[Product],Table1_3[[#This Row],[Product]],Table1_3[Sales Person],Table1_3[[#This Row],[Sales Person]],Table1_3[Amount],"&lt;=100")&gt;=2,"Contract","Deal")</f>
        <v>Deal</v>
      </c>
    </row>
    <row r="100" spans="1:7" x14ac:dyDescent="0.3">
      <c r="A100" t="s">
        <v>67</v>
      </c>
      <c r="B100" t="s">
        <v>7</v>
      </c>
      <c r="C100" t="s">
        <v>46</v>
      </c>
      <c r="D100">
        <v>17101.669999999998</v>
      </c>
      <c r="E100">
        <v>307</v>
      </c>
      <c r="F100" s="1">
        <v>45333</v>
      </c>
      <c r="G100" t="str">
        <f>IF(COUNTIFS(Table1_3[Country],Table1_3[[#This Row],[Country]],Table1_3[Product],Table1_3[[#This Row],[Product]],Table1_3[Sales Person],Table1_3[[#This Row],[Sales Person]],Table1_3[Amount],"&lt;=100")&gt;=2,"Contract","Deal")</f>
        <v>Deal</v>
      </c>
    </row>
    <row r="101" spans="1:7" x14ac:dyDescent="0.3">
      <c r="A101" t="s">
        <v>67</v>
      </c>
      <c r="B101" t="s">
        <v>7</v>
      </c>
      <c r="C101" t="s">
        <v>59</v>
      </c>
      <c r="D101">
        <v>9037</v>
      </c>
      <c r="E101">
        <v>101</v>
      </c>
      <c r="F101" s="1">
        <v>44693</v>
      </c>
      <c r="G101" t="str">
        <f>IF(COUNTIFS(Table1_3[Country],Table1_3[[#This Row],[Country]],Table1_3[Product],Table1_3[[#This Row],[Product]],Table1_3[Sales Person],Table1_3[[#This Row],[Sales Person]],Table1_3[Amount],"&lt;=100")&gt;=2,"Contract","Deal")</f>
        <v>Deal</v>
      </c>
    </row>
    <row r="102" spans="1:7" x14ac:dyDescent="0.3">
      <c r="A102" t="s">
        <v>67</v>
      </c>
      <c r="B102" t="s">
        <v>7</v>
      </c>
      <c r="C102" t="s">
        <v>59</v>
      </c>
      <c r="D102">
        <v>9793.16</v>
      </c>
      <c r="E102">
        <v>110</v>
      </c>
      <c r="F102" s="1">
        <v>45058</v>
      </c>
      <c r="G102" t="str">
        <f>IF(COUNTIFS(Table1_3[Country],Table1_3[[#This Row],[Country]],Table1_3[Product],Table1_3[[#This Row],[Product]],Table1_3[Sales Person],Table1_3[[#This Row],[Sales Person]],Table1_3[Amount],"&lt;=100")&gt;=2,"Contract","Deal")</f>
        <v>Deal</v>
      </c>
    </row>
    <row r="103" spans="1:7" x14ac:dyDescent="0.3">
      <c r="A103" t="s">
        <v>67</v>
      </c>
      <c r="B103" t="s">
        <v>7</v>
      </c>
      <c r="C103" t="s">
        <v>59</v>
      </c>
      <c r="D103">
        <v>10203.469999999999</v>
      </c>
      <c r="E103">
        <v>109</v>
      </c>
      <c r="F103" s="1">
        <v>45424</v>
      </c>
      <c r="G103" t="str">
        <f>IF(COUNTIFS(Table1_3[Country],Table1_3[[#This Row],[Country]],Table1_3[Product],Table1_3[[#This Row],[Product]],Table1_3[Sales Person],Table1_3[[#This Row],[Sales Person]],Table1_3[Amount],"&lt;=100")&gt;=2,"Contract","Deal")</f>
        <v>Deal</v>
      </c>
    </row>
    <row r="104" spans="1:7" x14ac:dyDescent="0.3">
      <c r="A104" t="s">
        <v>67</v>
      </c>
      <c r="B104" t="s">
        <v>32</v>
      </c>
      <c r="C104" t="s">
        <v>11</v>
      </c>
      <c r="D104">
        <v>8911</v>
      </c>
      <c r="E104">
        <v>82</v>
      </c>
      <c r="F104" s="1">
        <v>44656</v>
      </c>
      <c r="G104" t="str">
        <f>IF(COUNTIFS(Table1_3[Country],Table1_3[[#This Row],[Country]],Table1_3[Product],Table1_3[[#This Row],[Product]],Table1_3[Sales Person],Table1_3[[#This Row],[Sales Person]],Table1_3[Amount],"&lt;=100")&gt;=2,"Contract","Deal")</f>
        <v>Deal</v>
      </c>
    </row>
    <row r="105" spans="1:7" x14ac:dyDescent="0.3">
      <c r="A105" t="s">
        <v>67</v>
      </c>
      <c r="B105" t="s">
        <v>32</v>
      </c>
      <c r="C105" t="s">
        <v>11</v>
      </c>
      <c r="D105">
        <v>9458.0300000000007</v>
      </c>
      <c r="E105">
        <v>87</v>
      </c>
      <c r="F105" s="1">
        <v>45021</v>
      </c>
      <c r="G105" t="str">
        <f>IF(COUNTIFS(Table1_3[Country],Table1_3[[#This Row],[Country]],Table1_3[Product],Table1_3[[#This Row],[Product]],Table1_3[Sales Person],Table1_3[[#This Row],[Sales Person]],Table1_3[Amount],"&lt;=100")&gt;=2,"Contract","Deal")</f>
        <v>Deal</v>
      </c>
    </row>
    <row r="106" spans="1:7" x14ac:dyDescent="0.3">
      <c r="A106" t="s">
        <v>67</v>
      </c>
      <c r="B106" t="s">
        <v>32</v>
      </c>
      <c r="C106" t="s">
        <v>11</v>
      </c>
      <c r="D106">
        <v>10527.23</v>
      </c>
      <c r="E106">
        <v>82</v>
      </c>
      <c r="F106" s="1">
        <v>45387</v>
      </c>
      <c r="G106" t="str">
        <f>IF(COUNTIFS(Table1_3[Country],Table1_3[[#This Row],[Country]],Table1_3[Product],Table1_3[[#This Row],[Product]],Table1_3[Sales Person],Table1_3[[#This Row],[Sales Person]],Table1_3[Amount],"&lt;=100")&gt;=2,"Contract","Deal")</f>
        <v>Deal</v>
      </c>
    </row>
    <row r="107" spans="1:7" x14ac:dyDescent="0.3">
      <c r="A107" t="s">
        <v>67</v>
      </c>
      <c r="B107" t="s">
        <v>32</v>
      </c>
      <c r="C107" t="s">
        <v>90</v>
      </c>
      <c r="D107">
        <v>8393</v>
      </c>
      <c r="E107">
        <v>46</v>
      </c>
      <c r="F107" s="1">
        <v>44683</v>
      </c>
      <c r="G107" t="str">
        <f>IF(COUNTIFS(Table1_3[Country],Table1_3[[#This Row],[Country]],Table1_3[Product],Table1_3[[#This Row],[Product]],Table1_3[Sales Person],Table1_3[[#This Row],[Sales Person]],Table1_3[Amount],"&lt;=100")&gt;=2,"Contract","Deal")</f>
        <v>Deal</v>
      </c>
    </row>
    <row r="108" spans="1:7" x14ac:dyDescent="0.3">
      <c r="A108" t="s">
        <v>67</v>
      </c>
      <c r="B108" t="s">
        <v>32</v>
      </c>
      <c r="C108" t="s">
        <v>90</v>
      </c>
      <c r="D108">
        <v>8836.9</v>
      </c>
      <c r="E108">
        <v>48</v>
      </c>
      <c r="F108" s="1">
        <v>45048</v>
      </c>
      <c r="G108" t="str">
        <f>IF(COUNTIFS(Table1_3[Country],Table1_3[[#This Row],[Country]],Table1_3[Product],Table1_3[[#This Row],[Product]],Table1_3[Sales Person],Table1_3[[#This Row],[Sales Person]],Table1_3[Amount],"&lt;=100")&gt;=2,"Contract","Deal")</f>
        <v>Deal</v>
      </c>
    </row>
    <row r="109" spans="1:7" x14ac:dyDescent="0.3">
      <c r="A109" t="s">
        <v>67</v>
      </c>
      <c r="B109" t="s">
        <v>32</v>
      </c>
      <c r="C109" t="s">
        <v>90</v>
      </c>
      <c r="D109">
        <v>8878.27</v>
      </c>
      <c r="E109">
        <v>47</v>
      </c>
      <c r="F109" s="1">
        <v>45414</v>
      </c>
      <c r="G109" t="str">
        <f>IF(COUNTIFS(Table1_3[Country],Table1_3[[#This Row],[Country]],Table1_3[Product],Table1_3[[#This Row],[Product]],Table1_3[Sales Person],Table1_3[[#This Row],[Sales Person]],Table1_3[Amount],"&lt;=100")&gt;=2,"Contract","Deal")</f>
        <v>Deal</v>
      </c>
    </row>
    <row r="110" spans="1:7" x14ac:dyDescent="0.3">
      <c r="A110" t="s">
        <v>67</v>
      </c>
      <c r="B110" t="s">
        <v>32</v>
      </c>
      <c r="C110" t="s">
        <v>57</v>
      </c>
      <c r="D110">
        <v>1456</v>
      </c>
      <c r="E110">
        <v>359</v>
      </c>
      <c r="F110" s="1">
        <v>44757</v>
      </c>
      <c r="G110" t="str">
        <f>IF(COUNTIFS(Table1_3[Country],Table1_3[[#This Row],[Country]],Table1_3[Product],Table1_3[[#This Row],[Product]],Table1_3[Sales Person],Table1_3[[#This Row],[Sales Person]],Table1_3[Amount],"&lt;=100")&gt;=2,"Contract","Deal")</f>
        <v>Deal</v>
      </c>
    </row>
    <row r="111" spans="1:7" x14ac:dyDescent="0.3">
      <c r="A111" t="s">
        <v>67</v>
      </c>
      <c r="B111" t="s">
        <v>32</v>
      </c>
      <c r="C111" t="s">
        <v>57</v>
      </c>
      <c r="D111">
        <v>1588.28</v>
      </c>
      <c r="E111">
        <v>352</v>
      </c>
      <c r="F111" s="1">
        <v>45122</v>
      </c>
      <c r="G111" t="str">
        <f>IF(COUNTIFS(Table1_3[Country],Table1_3[[#This Row],[Country]],Table1_3[Product],Table1_3[[#This Row],[Product]],Table1_3[Sales Person],Table1_3[[#This Row],[Sales Person]],Table1_3[Amount],"&lt;=100")&gt;=2,"Contract","Deal")</f>
        <v>Deal</v>
      </c>
    </row>
    <row r="112" spans="1:7" x14ac:dyDescent="0.3">
      <c r="A112" t="s">
        <v>67</v>
      </c>
      <c r="B112" t="s">
        <v>32</v>
      </c>
      <c r="C112" t="s">
        <v>57</v>
      </c>
      <c r="D112">
        <v>1536.82</v>
      </c>
      <c r="E112">
        <v>386</v>
      </c>
      <c r="F112" s="1">
        <v>45488</v>
      </c>
      <c r="G112" t="str">
        <f>IF(COUNTIFS(Table1_3[Country],Table1_3[[#This Row],[Country]],Table1_3[Product],Table1_3[[#This Row],[Product]],Table1_3[Sales Person],Table1_3[[#This Row],[Sales Person]],Table1_3[Amount],"&lt;=100")&gt;=2,"Contract","Deal")</f>
        <v>Deal</v>
      </c>
    </row>
    <row r="113" spans="1:7" x14ac:dyDescent="0.3">
      <c r="A113" t="s">
        <v>67</v>
      </c>
      <c r="B113" t="s">
        <v>32</v>
      </c>
      <c r="C113" t="s">
        <v>73</v>
      </c>
      <c r="D113">
        <v>14504</v>
      </c>
      <c r="E113">
        <v>21</v>
      </c>
      <c r="F113" s="1">
        <v>44742</v>
      </c>
      <c r="G113" t="str">
        <f>IF(COUNTIFS(Table1_3[Country],Table1_3[[#This Row],[Country]],Table1_3[Product],Table1_3[[#This Row],[Product]],Table1_3[Sales Person],Table1_3[[#This Row],[Sales Person]],Table1_3[Amount],"&lt;=100")&gt;=2,"Contract","Deal")</f>
        <v>Deal</v>
      </c>
    </row>
    <row r="114" spans="1:7" x14ac:dyDescent="0.3">
      <c r="A114" t="s">
        <v>67</v>
      </c>
      <c r="B114" t="s">
        <v>32</v>
      </c>
      <c r="C114" t="s">
        <v>73</v>
      </c>
      <c r="D114">
        <v>15565.91</v>
      </c>
      <c r="E114">
        <v>21</v>
      </c>
      <c r="F114" s="1">
        <v>45107</v>
      </c>
      <c r="G114" t="str">
        <f>IF(COUNTIFS(Table1_3[Country],Table1_3[[#This Row],[Country]],Table1_3[Product],Table1_3[[#This Row],[Product]],Table1_3[Sales Person],Table1_3[[#This Row],[Sales Person]],Table1_3[Amount],"&lt;=100")&gt;=2,"Contract","Deal")</f>
        <v>Deal</v>
      </c>
    </row>
    <row r="115" spans="1:7" x14ac:dyDescent="0.3">
      <c r="A115" t="s">
        <v>67</v>
      </c>
      <c r="B115" t="s">
        <v>32</v>
      </c>
      <c r="C115" t="s">
        <v>73</v>
      </c>
      <c r="D115">
        <v>15531.78</v>
      </c>
      <c r="E115">
        <v>22</v>
      </c>
      <c r="F115" s="1">
        <v>45473</v>
      </c>
      <c r="G115" t="str">
        <f>IF(COUNTIFS(Table1_3[Country],Table1_3[[#This Row],[Country]],Table1_3[Product],Table1_3[[#This Row],[Product]],Table1_3[Sales Person],Table1_3[[#This Row],[Sales Person]],Table1_3[Amount],"&lt;=100")&gt;=2,"Contract","Deal")</f>
        <v>Deal</v>
      </c>
    </row>
    <row r="116" spans="1:7" x14ac:dyDescent="0.3">
      <c r="A116" t="s">
        <v>67</v>
      </c>
      <c r="B116" t="s">
        <v>32</v>
      </c>
      <c r="C116" t="s">
        <v>50</v>
      </c>
      <c r="D116">
        <v>2366</v>
      </c>
      <c r="E116">
        <v>5</v>
      </c>
      <c r="F116" s="1">
        <v>44704</v>
      </c>
      <c r="G116" t="str">
        <f>IF(COUNTIFS(Table1_3[Country],Table1_3[[#This Row],[Country]],Table1_3[Product],Table1_3[[#This Row],[Product]],Table1_3[Sales Person],Table1_3[[#This Row],[Sales Person]],Table1_3[Amount],"&lt;=100")&gt;=2,"Contract","Deal")</f>
        <v>Deal</v>
      </c>
    </row>
    <row r="117" spans="1:7" x14ac:dyDescent="0.3">
      <c r="A117" t="s">
        <v>67</v>
      </c>
      <c r="B117" t="s">
        <v>32</v>
      </c>
      <c r="C117" t="s">
        <v>50</v>
      </c>
      <c r="D117">
        <v>2553.46</v>
      </c>
      <c r="E117">
        <v>5</v>
      </c>
      <c r="F117" s="1">
        <v>45069</v>
      </c>
      <c r="G117" t="str">
        <f>IF(COUNTIFS(Table1_3[Country],Table1_3[[#This Row],[Country]],Table1_3[Product],Table1_3[[#This Row],[Product]],Table1_3[Sales Person],Table1_3[[#This Row],[Sales Person]],Table1_3[Amount],"&lt;=100")&gt;=2,"Contract","Deal")</f>
        <v>Deal</v>
      </c>
    </row>
    <row r="118" spans="1:7" x14ac:dyDescent="0.3">
      <c r="A118" t="s">
        <v>67</v>
      </c>
      <c r="B118" t="s">
        <v>32</v>
      </c>
      <c r="C118" t="s">
        <v>50</v>
      </c>
      <c r="D118">
        <v>2595.52</v>
      </c>
      <c r="E118">
        <v>5</v>
      </c>
      <c r="F118" s="1">
        <v>45435</v>
      </c>
      <c r="G118" t="str">
        <f>IF(COUNTIFS(Table1_3[Country],Table1_3[[#This Row],[Country]],Table1_3[Product],Table1_3[[#This Row],[Product]],Table1_3[Sales Person],Table1_3[[#This Row],[Sales Person]],Table1_3[Amount],"&lt;=100")&gt;=2,"Contract","Deal")</f>
        <v>Deal</v>
      </c>
    </row>
    <row r="119" spans="1:7" x14ac:dyDescent="0.3">
      <c r="A119" t="s">
        <v>31</v>
      </c>
      <c r="B119" t="s">
        <v>15</v>
      </c>
      <c r="C119" t="s">
        <v>11</v>
      </c>
      <c r="D119">
        <v>8498</v>
      </c>
      <c r="E119">
        <v>44</v>
      </c>
      <c r="F119" s="1">
        <v>44602</v>
      </c>
      <c r="G119" t="str">
        <f>IF(COUNTIFS(Table1_3[Country],Table1_3[[#This Row],[Country]],Table1_3[Product],Table1_3[[#This Row],[Product]],Table1_3[Sales Person],Table1_3[[#This Row],[Sales Person]],Table1_3[Amount],"&lt;=100")&gt;=2,"Contract","Deal")</f>
        <v>Deal</v>
      </c>
    </row>
    <row r="120" spans="1:7" x14ac:dyDescent="0.3">
      <c r="A120" t="s">
        <v>31</v>
      </c>
      <c r="B120" t="s">
        <v>15</v>
      </c>
      <c r="C120" t="s">
        <v>11</v>
      </c>
      <c r="D120">
        <v>8651.2000000000007</v>
      </c>
      <c r="E120">
        <v>43</v>
      </c>
      <c r="F120" s="1">
        <v>44967</v>
      </c>
      <c r="G120" t="str">
        <f>IF(COUNTIFS(Table1_3[Country],Table1_3[[#This Row],[Country]],Table1_3[Product],Table1_3[[#This Row],[Product]],Table1_3[Sales Person],Table1_3[[#This Row],[Sales Person]],Table1_3[Amount],"&lt;=100")&gt;=2,"Contract","Deal")</f>
        <v>Deal</v>
      </c>
    </row>
    <row r="121" spans="1:7" x14ac:dyDescent="0.3">
      <c r="A121" t="s">
        <v>31</v>
      </c>
      <c r="B121" t="s">
        <v>15</v>
      </c>
      <c r="C121" t="s">
        <v>11</v>
      </c>
      <c r="D121">
        <v>9452.18</v>
      </c>
      <c r="E121">
        <v>42</v>
      </c>
      <c r="F121" s="1">
        <v>45332</v>
      </c>
      <c r="G121" t="str">
        <f>IF(COUNTIFS(Table1_3[Country],Table1_3[[#This Row],[Country]],Table1_3[Product],Table1_3[[#This Row],[Product]],Table1_3[Sales Person],Table1_3[[#This Row],[Sales Person]],Table1_3[Amount],"&lt;=100")&gt;=2,"Contract","Deal")</f>
        <v>Deal</v>
      </c>
    </row>
    <row r="122" spans="1:7" x14ac:dyDescent="0.3">
      <c r="A122" t="s">
        <v>31</v>
      </c>
      <c r="B122" t="s">
        <v>15</v>
      </c>
      <c r="C122" t="s">
        <v>90</v>
      </c>
      <c r="D122">
        <v>2933</v>
      </c>
      <c r="E122">
        <v>55</v>
      </c>
      <c r="F122" s="1">
        <v>44771</v>
      </c>
      <c r="G122" t="str">
        <f>IF(COUNTIFS(Table1_3[Country],Table1_3[[#This Row],[Country]],Table1_3[Product],Table1_3[[#This Row],[Product]],Table1_3[Sales Person],Table1_3[[#This Row],[Sales Person]],Table1_3[Amount],"&lt;=100")&gt;=2,"Contract","Deal")</f>
        <v>Deal</v>
      </c>
    </row>
    <row r="123" spans="1:7" x14ac:dyDescent="0.3">
      <c r="A123" t="s">
        <v>31</v>
      </c>
      <c r="B123" t="s">
        <v>15</v>
      </c>
      <c r="C123" t="s">
        <v>90</v>
      </c>
      <c r="D123">
        <v>2931.1</v>
      </c>
      <c r="E123">
        <v>60</v>
      </c>
      <c r="F123" s="1">
        <v>45136</v>
      </c>
      <c r="G123" t="str">
        <f>IF(COUNTIFS(Table1_3[Country],Table1_3[[#This Row],[Country]],Table1_3[Product],Table1_3[[#This Row],[Product]],Table1_3[Sales Person],Table1_3[[#This Row],[Sales Person]],Table1_3[Amount],"&lt;=100")&gt;=2,"Contract","Deal")</f>
        <v>Deal</v>
      </c>
    </row>
    <row r="124" spans="1:7" x14ac:dyDescent="0.3">
      <c r="A124" t="s">
        <v>31</v>
      </c>
      <c r="B124" t="s">
        <v>15</v>
      </c>
      <c r="C124" t="s">
        <v>90</v>
      </c>
      <c r="D124">
        <v>3192.06</v>
      </c>
      <c r="E124">
        <v>54</v>
      </c>
      <c r="F124" s="1">
        <v>45502</v>
      </c>
      <c r="G124" t="str">
        <f>IF(COUNTIFS(Table1_3[Country],Table1_3[[#This Row],[Country]],Table1_3[Product],Table1_3[[#This Row],[Product]],Table1_3[Sales Person],Table1_3[[#This Row],[Sales Person]],Table1_3[Amount],"&lt;=100")&gt;=2,"Contract","Deal")</f>
        <v>Deal</v>
      </c>
    </row>
    <row r="125" spans="1:7" x14ac:dyDescent="0.3">
      <c r="A125" t="s">
        <v>31</v>
      </c>
      <c r="B125" t="s">
        <v>15</v>
      </c>
      <c r="C125" t="s">
        <v>57</v>
      </c>
      <c r="D125">
        <v>15421</v>
      </c>
      <c r="E125">
        <v>55</v>
      </c>
      <c r="F125" s="1">
        <v>44742</v>
      </c>
      <c r="G125" t="str">
        <f>IF(COUNTIFS(Table1_3[Country],Table1_3[[#This Row],[Country]],Table1_3[Product],Table1_3[[#This Row],[Product]],Table1_3[Sales Person],Table1_3[[#This Row],[Sales Person]],Table1_3[Amount],"&lt;=100")&gt;=2,"Contract","Deal")</f>
        <v>Deal</v>
      </c>
    </row>
    <row r="126" spans="1:7" x14ac:dyDescent="0.3">
      <c r="A126" t="s">
        <v>31</v>
      </c>
      <c r="B126" t="s">
        <v>15</v>
      </c>
      <c r="C126" t="s">
        <v>57</v>
      </c>
      <c r="D126">
        <v>17280.98</v>
      </c>
      <c r="E126">
        <v>58</v>
      </c>
      <c r="F126" s="1">
        <v>45107</v>
      </c>
      <c r="G126" t="str">
        <f>IF(COUNTIFS(Table1_3[Country],Table1_3[[#This Row],[Country]],Table1_3[Product],Table1_3[[#This Row],[Product]],Table1_3[Sales Person],Table1_3[[#This Row],[Sales Person]],Table1_3[Amount],"&lt;=100")&gt;=2,"Contract","Deal")</f>
        <v>Deal</v>
      </c>
    </row>
    <row r="127" spans="1:7" x14ac:dyDescent="0.3">
      <c r="A127" t="s">
        <v>31</v>
      </c>
      <c r="B127" t="s">
        <v>15</v>
      </c>
      <c r="C127" t="s">
        <v>57</v>
      </c>
      <c r="D127">
        <v>16572.07</v>
      </c>
      <c r="E127">
        <v>57</v>
      </c>
      <c r="F127" s="1">
        <v>45473</v>
      </c>
      <c r="G127" t="str">
        <f>IF(COUNTIFS(Table1_3[Country],Table1_3[[#This Row],[Country]],Table1_3[Product],Table1_3[[#This Row],[Product]],Table1_3[Sales Person],Table1_3[[#This Row],[Sales Person]],Table1_3[Amount],"&lt;=100")&gt;=2,"Contract","Deal")</f>
        <v>Deal</v>
      </c>
    </row>
    <row r="128" spans="1:7" x14ac:dyDescent="0.3">
      <c r="A128" t="s">
        <v>31</v>
      </c>
      <c r="B128" t="s">
        <v>15</v>
      </c>
      <c r="C128" t="s">
        <v>42</v>
      </c>
      <c r="D128">
        <v>2303</v>
      </c>
      <c r="E128">
        <v>33</v>
      </c>
      <c r="F128" s="1">
        <v>44568</v>
      </c>
      <c r="G128" t="str">
        <f>IF(COUNTIFS(Table1_3[Country],Table1_3[[#This Row],[Country]],Table1_3[Product],Table1_3[[#This Row],[Product]],Table1_3[Sales Person],Table1_3[[#This Row],[Sales Person]],Table1_3[Amount],"&lt;=100")&gt;=2,"Contract","Deal")</f>
        <v>Deal</v>
      </c>
    </row>
    <row r="129" spans="1:7" x14ac:dyDescent="0.3">
      <c r="A129" t="s">
        <v>31</v>
      </c>
      <c r="B129" t="s">
        <v>15</v>
      </c>
      <c r="C129" t="s">
        <v>42</v>
      </c>
      <c r="D129">
        <v>2478.33</v>
      </c>
      <c r="E129">
        <v>33</v>
      </c>
      <c r="F129" s="1">
        <v>44933</v>
      </c>
      <c r="G129" t="str">
        <f>IF(COUNTIFS(Table1_3[Country],Table1_3[[#This Row],[Country]],Table1_3[Product],Table1_3[[#This Row],[Product]],Table1_3[Sales Person],Table1_3[[#This Row],[Sales Person]],Table1_3[Amount],"&lt;=100")&gt;=2,"Contract","Deal")</f>
        <v>Deal</v>
      </c>
    </row>
    <row r="130" spans="1:7" x14ac:dyDescent="0.3">
      <c r="A130" t="s">
        <v>31</v>
      </c>
      <c r="B130" t="s">
        <v>15</v>
      </c>
      <c r="C130" t="s">
        <v>42</v>
      </c>
      <c r="D130">
        <v>2620.66</v>
      </c>
      <c r="E130">
        <v>34</v>
      </c>
      <c r="F130" s="1">
        <v>45298</v>
      </c>
      <c r="G130" t="str">
        <f>IF(COUNTIFS(Table1_3[Country],Table1_3[[#This Row],[Country]],Table1_3[Product],Table1_3[[#This Row],[Product]],Table1_3[Sales Person],Table1_3[[#This Row],[Sales Person]],Table1_3[Amount],"&lt;=100")&gt;=2,"Contract","Deal")</f>
        <v>Deal</v>
      </c>
    </row>
    <row r="131" spans="1:7" x14ac:dyDescent="0.3">
      <c r="A131" t="s">
        <v>31</v>
      </c>
      <c r="B131" t="s">
        <v>15</v>
      </c>
      <c r="C131" t="s">
        <v>73</v>
      </c>
      <c r="D131">
        <v>9268</v>
      </c>
      <c r="E131">
        <v>100</v>
      </c>
      <c r="F131" s="1">
        <v>44708</v>
      </c>
      <c r="G131" t="str">
        <f>IF(COUNTIFS(Table1_3[Country],Table1_3[[#This Row],[Country]],Table1_3[Product],Table1_3[[#This Row],[Product]],Table1_3[Sales Person],Table1_3[[#This Row],[Sales Person]],Table1_3[Amount],"&lt;=100")&gt;=2,"Contract","Deal")</f>
        <v>Deal</v>
      </c>
    </row>
    <row r="132" spans="1:7" x14ac:dyDescent="0.3">
      <c r="A132" t="s">
        <v>31</v>
      </c>
      <c r="B132" t="s">
        <v>15</v>
      </c>
      <c r="C132" t="s">
        <v>73</v>
      </c>
      <c r="D132">
        <v>9810.9500000000007</v>
      </c>
      <c r="E132">
        <v>105</v>
      </c>
      <c r="F132" s="1">
        <v>45073</v>
      </c>
      <c r="G132" t="str">
        <f>IF(COUNTIFS(Table1_3[Country],Table1_3[[#This Row],[Country]],Table1_3[Product],Table1_3[[#This Row],[Product]],Table1_3[Sales Person],Table1_3[[#This Row],[Sales Person]],Table1_3[Amount],"&lt;=100")&gt;=2,"Contract","Deal")</f>
        <v>Deal</v>
      </c>
    </row>
    <row r="133" spans="1:7" x14ac:dyDescent="0.3">
      <c r="A133" t="s">
        <v>31</v>
      </c>
      <c r="B133" t="s">
        <v>15</v>
      </c>
      <c r="C133" t="s">
        <v>73</v>
      </c>
      <c r="D133">
        <v>10744.23</v>
      </c>
      <c r="E133">
        <v>105</v>
      </c>
      <c r="F133" s="1">
        <v>45439</v>
      </c>
      <c r="G133" t="str">
        <f>IF(COUNTIFS(Table1_3[Country],Table1_3[[#This Row],[Country]],Table1_3[Product],Table1_3[[#This Row],[Product]],Table1_3[Sales Person],Table1_3[[#This Row],[Sales Person]],Table1_3[Amount],"&lt;=100")&gt;=2,"Contract","Deal")</f>
        <v>Deal</v>
      </c>
    </row>
    <row r="134" spans="1:7" x14ac:dyDescent="0.3">
      <c r="A134" t="s">
        <v>31</v>
      </c>
      <c r="B134" t="s">
        <v>15</v>
      </c>
      <c r="C134" t="s">
        <v>59</v>
      </c>
      <c r="D134">
        <v>8113</v>
      </c>
      <c r="E134">
        <v>370</v>
      </c>
      <c r="F134" s="1">
        <v>44746</v>
      </c>
      <c r="G134" t="str">
        <f>IF(COUNTIFS(Table1_3[Country],Table1_3[[#This Row],[Country]],Table1_3[Product],Table1_3[[#This Row],[Product]],Table1_3[Sales Person],Table1_3[[#This Row],[Sales Person]],Table1_3[Amount],"&lt;=100")&gt;=2,"Contract","Deal")</f>
        <v>Deal</v>
      </c>
    </row>
    <row r="135" spans="1:7" x14ac:dyDescent="0.3">
      <c r="A135" t="s">
        <v>31</v>
      </c>
      <c r="B135" t="s">
        <v>15</v>
      </c>
      <c r="C135" t="s">
        <v>59</v>
      </c>
      <c r="D135">
        <v>8927.6299999999992</v>
      </c>
      <c r="E135">
        <v>386</v>
      </c>
      <c r="F135" s="1">
        <v>45111</v>
      </c>
      <c r="G135" t="str">
        <f>IF(COUNTIFS(Table1_3[Country],Table1_3[[#This Row],[Country]],Table1_3[Product],Table1_3[[#This Row],[Product]],Table1_3[Sales Person],Table1_3[[#This Row],[Sales Person]],Table1_3[Amount],"&lt;=100")&gt;=2,"Contract","Deal")</f>
        <v>Deal</v>
      </c>
    </row>
    <row r="136" spans="1:7" x14ac:dyDescent="0.3">
      <c r="A136" t="s">
        <v>31</v>
      </c>
      <c r="B136" t="s">
        <v>15</v>
      </c>
      <c r="C136" t="s">
        <v>59</v>
      </c>
      <c r="D136">
        <v>9402.26</v>
      </c>
      <c r="E136">
        <v>401</v>
      </c>
      <c r="F136" s="1">
        <v>45477</v>
      </c>
      <c r="G136" t="str">
        <f>IF(COUNTIFS(Table1_3[Country],Table1_3[[#This Row],[Country]],Table1_3[Product],Table1_3[[#This Row],[Product]],Table1_3[Sales Person],Table1_3[[#This Row],[Sales Person]],Table1_3[Amount],"&lt;=100")&gt;=2,"Contract","Deal")</f>
        <v>Deal</v>
      </c>
    </row>
    <row r="137" spans="1:7" x14ac:dyDescent="0.3">
      <c r="A137" t="s">
        <v>31</v>
      </c>
      <c r="B137" t="s">
        <v>35</v>
      </c>
      <c r="C137" t="s">
        <v>26</v>
      </c>
      <c r="D137">
        <v>10185</v>
      </c>
      <c r="E137">
        <v>303</v>
      </c>
      <c r="F137" s="1">
        <v>44761</v>
      </c>
      <c r="G137" t="str">
        <f>IF(COUNTIFS(Table1_3[Country],Table1_3[[#This Row],[Country]],Table1_3[Product],Table1_3[[#This Row],[Product]],Table1_3[Sales Person],Table1_3[[#This Row],[Sales Person]],Table1_3[Amount],"&lt;=100")&gt;=2,"Contract","Deal")</f>
        <v>Deal</v>
      </c>
    </row>
    <row r="138" spans="1:7" x14ac:dyDescent="0.3">
      <c r="A138" t="s">
        <v>31</v>
      </c>
      <c r="B138" t="s">
        <v>35</v>
      </c>
      <c r="C138" t="s">
        <v>26</v>
      </c>
      <c r="D138">
        <v>10275.549999999999</v>
      </c>
      <c r="E138">
        <v>301</v>
      </c>
      <c r="F138" s="1">
        <v>45126</v>
      </c>
      <c r="G138" t="str">
        <f>IF(COUNTIFS(Table1_3[Country],Table1_3[[#This Row],[Country]],Table1_3[Product],Table1_3[[#This Row],[Product]],Table1_3[Sales Person],Table1_3[[#This Row],[Sales Person]],Table1_3[Amount],"&lt;=100")&gt;=2,"Contract","Deal")</f>
        <v>Deal</v>
      </c>
    </row>
    <row r="139" spans="1:7" x14ac:dyDescent="0.3">
      <c r="A139" t="s">
        <v>31</v>
      </c>
      <c r="B139" t="s">
        <v>35</v>
      </c>
      <c r="C139" t="s">
        <v>26</v>
      </c>
      <c r="D139">
        <v>10917.59</v>
      </c>
      <c r="E139">
        <v>302</v>
      </c>
      <c r="F139" s="1">
        <v>45492</v>
      </c>
      <c r="G139" t="str">
        <f>IF(COUNTIFS(Table1_3[Country],Table1_3[[#This Row],[Country]],Table1_3[Product],Table1_3[[#This Row],[Product]],Table1_3[Sales Person],Table1_3[[#This Row],[Sales Person]],Table1_3[Amount],"&lt;=100")&gt;=2,"Contract","Deal")</f>
        <v>Deal</v>
      </c>
    </row>
    <row r="140" spans="1:7" x14ac:dyDescent="0.3">
      <c r="A140" t="s">
        <v>31</v>
      </c>
      <c r="B140" t="s">
        <v>35</v>
      </c>
      <c r="C140" t="s">
        <v>87</v>
      </c>
      <c r="D140">
        <v>10969</v>
      </c>
      <c r="E140">
        <v>170</v>
      </c>
      <c r="F140" s="1">
        <v>44595</v>
      </c>
      <c r="G140" t="str">
        <f>IF(COUNTIFS(Table1_3[Country],Table1_3[[#This Row],[Country]],Table1_3[Product],Table1_3[[#This Row],[Product]],Table1_3[Sales Person],Table1_3[[#This Row],[Sales Person]],Table1_3[Amount],"&lt;=100")&gt;=2,"Contract","Deal")</f>
        <v>Deal</v>
      </c>
    </row>
    <row r="141" spans="1:7" x14ac:dyDescent="0.3">
      <c r="A141" t="s">
        <v>31</v>
      </c>
      <c r="B141" t="s">
        <v>35</v>
      </c>
      <c r="C141" t="s">
        <v>87</v>
      </c>
      <c r="D141">
        <v>10967.31</v>
      </c>
      <c r="E141">
        <v>172</v>
      </c>
      <c r="F141" s="1">
        <v>44960</v>
      </c>
      <c r="G141" t="str">
        <f>IF(COUNTIFS(Table1_3[Country],Table1_3[[#This Row],[Country]],Table1_3[Product],Table1_3[[#This Row],[Product]],Table1_3[Sales Person],Table1_3[[#This Row],[Sales Person]],Table1_3[Amount],"&lt;=100")&gt;=2,"Contract","Deal")</f>
        <v>Deal</v>
      </c>
    </row>
    <row r="142" spans="1:7" x14ac:dyDescent="0.3">
      <c r="A142" t="s">
        <v>31</v>
      </c>
      <c r="B142" t="s">
        <v>35</v>
      </c>
      <c r="C142" t="s">
        <v>87</v>
      </c>
      <c r="D142">
        <v>12279.35</v>
      </c>
      <c r="E142">
        <v>162</v>
      </c>
      <c r="F142" s="1">
        <v>45325</v>
      </c>
      <c r="G142" t="str">
        <f>IF(COUNTIFS(Table1_3[Country],Table1_3[[#This Row],[Country]],Table1_3[Product],Table1_3[[#This Row],[Product]],Table1_3[Sales Person],Table1_3[[#This Row],[Sales Person]],Table1_3[Amount],"&lt;=100")&gt;=2,"Contract","Deal")</f>
        <v>Deal</v>
      </c>
    </row>
    <row r="143" spans="1:7" x14ac:dyDescent="0.3">
      <c r="A143" t="s">
        <v>31</v>
      </c>
      <c r="B143" t="s">
        <v>35</v>
      </c>
      <c r="C143" t="s">
        <v>38</v>
      </c>
      <c r="D143">
        <v>6237</v>
      </c>
      <c r="E143">
        <v>247</v>
      </c>
      <c r="F143" s="1">
        <v>44669</v>
      </c>
      <c r="G143" t="str">
        <f>IF(COUNTIFS(Table1_3[Country],Table1_3[[#This Row],[Country]],Table1_3[Product],Table1_3[[#This Row],[Product]],Table1_3[Sales Person],Table1_3[[#This Row],[Sales Person]],Table1_3[Amount],"&lt;=100")&gt;=2,"Contract","Deal")</f>
        <v>Deal</v>
      </c>
    </row>
    <row r="144" spans="1:7" x14ac:dyDescent="0.3">
      <c r="A144" t="s">
        <v>31</v>
      </c>
      <c r="B144" t="s">
        <v>35</v>
      </c>
      <c r="C144" t="s">
        <v>38</v>
      </c>
      <c r="D144">
        <v>6523.34</v>
      </c>
      <c r="E144">
        <v>245</v>
      </c>
      <c r="F144" s="1">
        <v>45034</v>
      </c>
      <c r="G144" t="str">
        <f>IF(COUNTIFS(Table1_3[Country],Table1_3[[#This Row],[Country]],Table1_3[Product],Table1_3[[#This Row],[Product]],Table1_3[Sales Person],Table1_3[[#This Row],[Sales Person]],Table1_3[Amount],"&lt;=100")&gt;=2,"Contract","Deal")</f>
        <v>Deal</v>
      </c>
    </row>
    <row r="145" spans="1:7" x14ac:dyDescent="0.3">
      <c r="A145" t="s">
        <v>31</v>
      </c>
      <c r="B145" t="s">
        <v>35</v>
      </c>
      <c r="C145" t="s">
        <v>38</v>
      </c>
      <c r="D145">
        <v>7496.03</v>
      </c>
      <c r="E145">
        <v>259</v>
      </c>
      <c r="F145" s="1">
        <v>45400</v>
      </c>
      <c r="G145" t="str">
        <f>IF(COUNTIFS(Table1_3[Country],Table1_3[[#This Row],[Country]],Table1_3[Product],Table1_3[[#This Row],[Product]],Table1_3[Sales Person],Table1_3[[#This Row],[Sales Person]],Table1_3[Amount],"&lt;=100")&gt;=2,"Contract","Deal")</f>
        <v>Deal</v>
      </c>
    </row>
    <row r="146" spans="1:7" x14ac:dyDescent="0.3">
      <c r="A146" t="s">
        <v>31</v>
      </c>
      <c r="B146" t="s">
        <v>35</v>
      </c>
      <c r="C146" t="s">
        <v>60</v>
      </c>
      <c r="D146">
        <v>3402</v>
      </c>
      <c r="E146">
        <v>249</v>
      </c>
      <c r="F146" s="1">
        <v>44798</v>
      </c>
      <c r="G146" t="str">
        <f>IF(COUNTIFS(Table1_3[Country],Table1_3[[#This Row],[Country]],Table1_3[Product],Table1_3[[#This Row],[Product]],Table1_3[Sales Person],Table1_3[[#This Row],[Sales Person]],Table1_3[Amount],"&lt;=100")&gt;=2,"Contract","Deal")</f>
        <v>Deal</v>
      </c>
    </row>
    <row r="147" spans="1:7" x14ac:dyDescent="0.3">
      <c r="A147" t="s">
        <v>31</v>
      </c>
      <c r="B147" t="s">
        <v>35</v>
      </c>
      <c r="C147" t="s">
        <v>60</v>
      </c>
      <c r="D147">
        <v>3613.32</v>
      </c>
      <c r="E147">
        <v>251</v>
      </c>
      <c r="F147" s="1">
        <v>45163</v>
      </c>
      <c r="G147" t="str">
        <f>IF(COUNTIFS(Table1_3[Country],Table1_3[[#This Row],[Country]],Table1_3[Product],Table1_3[[#This Row],[Product]],Table1_3[Sales Person],Table1_3[[#This Row],[Sales Person]],Table1_3[Amount],"&lt;=100")&gt;=2,"Contract","Deal")</f>
        <v>Deal</v>
      </c>
    </row>
    <row r="148" spans="1:7" x14ac:dyDescent="0.3">
      <c r="A148" t="s">
        <v>31</v>
      </c>
      <c r="B148" t="s">
        <v>35</v>
      </c>
      <c r="C148" t="s">
        <v>60</v>
      </c>
      <c r="D148">
        <v>4115.57</v>
      </c>
      <c r="E148">
        <v>274</v>
      </c>
      <c r="F148" s="1">
        <v>45529</v>
      </c>
      <c r="G148" t="str">
        <f>IF(COUNTIFS(Table1_3[Country],Table1_3[[#This Row],[Country]],Table1_3[Product],Table1_3[[#This Row],[Product]],Table1_3[Sales Person],Table1_3[[#This Row],[Sales Person]],Table1_3[Amount],"&lt;=100")&gt;=2,"Contract","Deal")</f>
        <v>Deal</v>
      </c>
    </row>
    <row r="149" spans="1:7" x14ac:dyDescent="0.3">
      <c r="A149" t="s">
        <v>31</v>
      </c>
      <c r="B149" t="s">
        <v>35</v>
      </c>
      <c r="C149" t="s">
        <v>33</v>
      </c>
      <c r="D149">
        <v>7602</v>
      </c>
      <c r="E149">
        <v>18</v>
      </c>
      <c r="F149" s="1">
        <v>44742</v>
      </c>
      <c r="G149" t="str">
        <f>IF(COUNTIFS(Table1_3[Country],Table1_3[[#This Row],[Country]],Table1_3[Product],Table1_3[[#This Row],[Product]],Table1_3[Sales Person],Table1_3[[#This Row],[Sales Person]],Table1_3[Amount],"&lt;=100")&gt;=2,"Contract","Deal")</f>
        <v>Deal</v>
      </c>
    </row>
    <row r="150" spans="1:7" x14ac:dyDescent="0.3">
      <c r="A150" t="s">
        <v>31</v>
      </c>
      <c r="B150" t="s">
        <v>35</v>
      </c>
      <c r="C150" t="s">
        <v>33</v>
      </c>
      <c r="D150">
        <v>8650.42</v>
      </c>
      <c r="E150">
        <v>19</v>
      </c>
      <c r="F150" s="1">
        <v>45107</v>
      </c>
      <c r="G150" t="str">
        <f>IF(COUNTIFS(Table1_3[Country],Table1_3[[#This Row],[Country]],Table1_3[Product],Table1_3[[#This Row],[Product]],Table1_3[Sales Person],Table1_3[[#This Row],[Sales Person]],Table1_3[Amount],"&lt;=100")&gt;=2,"Contract","Deal")</f>
        <v>Deal</v>
      </c>
    </row>
    <row r="151" spans="1:7" x14ac:dyDescent="0.3">
      <c r="A151" t="s">
        <v>31</v>
      </c>
      <c r="B151" t="s">
        <v>35</v>
      </c>
      <c r="C151" t="s">
        <v>33</v>
      </c>
      <c r="D151">
        <v>8285.3799999999992</v>
      </c>
      <c r="E151">
        <v>18</v>
      </c>
      <c r="F151" s="1">
        <v>45473</v>
      </c>
      <c r="G151" t="str">
        <f>IF(COUNTIFS(Table1_3[Country],Table1_3[[#This Row],[Country]],Table1_3[Product],Table1_3[[#This Row],[Product]],Table1_3[Sales Person],Table1_3[[#This Row],[Sales Person]],Table1_3[Amount],"&lt;=100")&gt;=2,"Contract","Deal")</f>
        <v>Deal</v>
      </c>
    </row>
    <row r="152" spans="1:7" x14ac:dyDescent="0.3">
      <c r="A152" t="s">
        <v>31</v>
      </c>
      <c r="B152" t="s">
        <v>35</v>
      </c>
      <c r="C152" t="s">
        <v>42</v>
      </c>
      <c r="D152">
        <v>1141</v>
      </c>
      <c r="E152">
        <v>205</v>
      </c>
      <c r="F152" s="1">
        <v>44630</v>
      </c>
      <c r="G152" t="str">
        <f>IF(COUNTIFS(Table1_3[Country],Table1_3[[#This Row],[Country]],Table1_3[Product],Table1_3[[#This Row],[Product]],Table1_3[Sales Person],Table1_3[[#This Row],[Sales Person]],Table1_3[Amount],"&lt;=100")&gt;=2,"Contract","Deal")</f>
        <v>Deal</v>
      </c>
    </row>
    <row r="153" spans="1:7" x14ac:dyDescent="0.3">
      <c r="A153" t="s">
        <v>31</v>
      </c>
      <c r="B153" t="s">
        <v>35</v>
      </c>
      <c r="C153" t="s">
        <v>42</v>
      </c>
      <c r="D153">
        <v>1229.96</v>
      </c>
      <c r="E153">
        <v>219</v>
      </c>
      <c r="F153" s="1">
        <v>44995</v>
      </c>
      <c r="G153" t="str">
        <f>IF(COUNTIFS(Table1_3[Country],Table1_3[[#This Row],[Country]],Table1_3[Product],Table1_3[[#This Row],[Product]],Table1_3[Sales Person],Table1_3[[#This Row],[Sales Person]],Table1_3[Amount],"&lt;=100")&gt;=2,"Contract","Deal")</f>
        <v>Deal</v>
      </c>
    </row>
    <row r="154" spans="1:7" x14ac:dyDescent="0.3">
      <c r="A154" t="s">
        <v>31</v>
      </c>
      <c r="B154" t="s">
        <v>35</v>
      </c>
      <c r="C154" t="s">
        <v>42</v>
      </c>
      <c r="D154">
        <v>1312.35</v>
      </c>
      <c r="E154">
        <v>200</v>
      </c>
      <c r="F154" s="1">
        <v>45361</v>
      </c>
      <c r="G154" t="str">
        <f>IF(COUNTIFS(Table1_3[Country],Table1_3[[#This Row],[Country]],Table1_3[Product],Table1_3[[#This Row],[Product]],Table1_3[Sales Person],Table1_3[[#This Row],[Sales Person]],Table1_3[Amount],"&lt;=100")&gt;=2,"Contract","Deal")</f>
        <v>Deal</v>
      </c>
    </row>
    <row r="155" spans="1:7" x14ac:dyDescent="0.3">
      <c r="A155" t="s">
        <v>31</v>
      </c>
      <c r="B155" t="s">
        <v>35</v>
      </c>
      <c r="C155" t="s">
        <v>13</v>
      </c>
      <c r="D155">
        <v>2100</v>
      </c>
      <c r="E155">
        <v>78</v>
      </c>
      <c r="F155" s="1">
        <v>44719</v>
      </c>
      <c r="G155" t="str">
        <f>IF(COUNTIFS(Table1_3[Country],Table1_3[[#This Row],[Country]],Table1_3[Product],Table1_3[[#This Row],[Product]],Table1_3[Sales Person],Table1_3[[#This Row],[Sales Person]],Table1_3[Amount],"&lt;=100")&gt;=2,"Contract","Deal")</f>
        <v>Deal</v>
      </c>
    </row>
    <row r="156" spans="1:7" x14ac:dyDescent="0.3">
      <c r="A156" t="s">
        <v>31</v>
      </c>
      <c r="B156" t="s">
        <v>35</v>
      </c>
      <c r="C156" t="s">
        <v>13</v>
      </c>
      <c r="D156">
        <v>2167.19</v>
      </c>
      <c r="E156">
        <v>85</v>
      </c>
      <c r="F156" s="1">
        <v>45084</v>
      </c>
      <c r="G156" t="str">
        <f>IF(COUNTIFS(Table1_3[Country],Table1_3[[#This Row],[Country]],Table1_3[Product],Table1_3[[#This Row],[Product]],Table1_3[Sales Person],Table1_3[[#This Row],[Sales Person]],Table1_3[Amount],"&lt;=100")&gt;=2,"Contract","Deal")</f>
        <v>Deal</v>
      </c>
    </row>
    <row r="157" spans="1:7" x14ac:dyDescent="0.3">
      <c r="A157" t="s">
        <v>31</v>
      </c>
      <c r="B157" t="s">
        <v>35</v>
      </c>
      <c r="C157" t="s">
        <v>13</v>
      </c>
      <c r="D157">
        <v>2206.2800000000002</v>
      </c>
      <c r="E157">
        <v>79</v>
      </c>
      <c r="F157" s="1">
        <v>45450</v>
      </c>
      <c r="G157" t="str">
        <f>IF(COUNTIFS(Table1_3[Country],Table1_3[[#This Row],[Country]],Table1_3[Product],Table1_3[[#This Row],[Product]],Table1_3[Sales Person],Table1_3[[#This Row],[Sales Person]],Table1_3[Amount],"&lt;=100")&gt;=2,"Contract","Deal")</f>
        <v>Deal</v>
      </c>
    </row>
    <row r="158" spans="1:7" x14ac:dyDescent="0.3">
      <c r="A158" t="s">
        <v>31</v>
      </c>
      <c r="B158" t="s">
        <v>35</v>
      </c>
      <c r="C158" t="s">
        <v>59</v>
      </c>
      <c r="D158">
        <v>4291</v>
      </c>
      <c r="E158">
        <v>1</v>
      </c>
      <c r="F158" s="1">
        <v>44649</v>
      </c>
      <c r="G158" t="str">
        <f>IF(COUNTIFS(Table1_3[Country],Table1_3[[#This Row],[Country]],Table1_3[Product],Table1_3[[#This Row],[Product]],Table1_3[Sales Person],Table1_3[[#This Row],[Sales Person]],Table1_3[Amount],"&lt;=100")&gt;=2,"Contract","Deal")</f>
        <v>Deal</v>
      </c>
    </row>
    <row r="159" spans="1:7" x14ac:dyDescent="0.3">
      <c r="A159" t="s">
        <v>31</v>
      </c>
      <c r="B159" t="s">
        <v>35</v>
      </c>
      <c r="C159" t="s">
        <v>59</v>
      </c>
      <c r="D159">
        <v>4692.3599999999997</v>
      </c>
      <c r="E159">
        <v>1</v>
      </c>
      <c r="F159" s="1">
        <v>45014</v>
      </c>
      <c r="G159" t="str">
        <f>IF(COUNTIFS(Table1_3[Country],Table1_3[[#This Row],[Country]],Table1_3[Product],Table1_3[[#This Row],[Product]],Table1_3[Sales Person],Table1_3[[#This Row],[Sales Person]],Table1_3[Amount],"&lt;=100")&gt;=2,"Contract","Deal")</f>
        <v>Deal</v>
      </c>
    </row>
    <row r="160" spans="1:7" x14ac:dyDescent="0.3">
      <c r="A160" t="s">
        <v>31</v>
      </c>
      <c r="B160" t="s">
        <v>35</v>
      </c>
      <c r="C160" t="s">
        <v>59</v>
      </c>
      <c r="D160">
        <v>4590.46</v>
      </c>
      <c r="E160">
        <v>1</v>
      </c>
      <c r="F160" s="1">
        <v>45380</v>
      </c>
      <c r="G160" t="str">
        <f>IF(COUNTIFS(Table1_3[Country],Table1_3[[#This Row],[Country]],Table1_3[Product],Table1_3[[#This Row],[Product]],Table1_3[Sales Person],Table1_3[[#This Row],[Sales Person]],Table1_3[Amount],"&lt;=100")&gt;=2,"Contract","Deal")</f>
        <v>Deal</v>
      </c>
    </row>
    <row r="161" spans="1:7" x14ac:dyDescent="0.3">
      <c r="A161" t="s">
        <v>31</v>
      </c>
      <c r="B161" t="s">
        <v>10</v>
      </c>
      <c r="C161" t="s">
        <v>23</v>
      </c>
      <c r="D161">
        <v>8190</v>
      </c>
      <c r="E161">
        <v>109</v>
      </c>
      <c r="F161" s="1">
        <v>44771</v>
      </c>
      <c r="G161" t="str">
        <f>IF(COUNTIFS(Table1_3[Country],Table1_3[[#This Row],[Country]],Table1_3[Product],Table1_3[[#This Row],[Product]],Table1_3[Sales Person],Table1_3[[#This Row],[Sales Person]],Table1_3[Amount],"&lt;=100")&gt;=2,"Contract","Deal")</f>
        <v>Deal</v>
      </c>
    </row>
    <row r="162" spans="1:7" x14ac:dyDescent="0.3">
      <c r="A162" t="s">
        <v>31</v>
      </c>
      <c r="B162" t="s">
        <v>10</v>
      </c>
      <c r="C162" t="s">
        <v>23</v>
      </c>
      <c r="D162">
        <v>9021.65</v>
      </c>
      <c r="E162">
        <v>104</v>
      </c>
      <c r="F162" s="1">
        <v>45136</v>
      </c>
      <c r="G162" t="str">
        <f>IF(COUNTIFS(Table1_3[Country],Table1_3[[#This Row],[Country]],Table1_3[Product],Table1_3[[#This Row],[Product]],Table1_3[Sales Person],Table1_3[[#This Row],[Sales Person]],Table1_3[Amount],"&lt;=100")&gt;=2,"Contract","Deal")</f>
        <v>Deal</v>
      </c>
    </row>
    <row r="163" spans="1:7" x14ac:dyDescent="0.3">
      <c r="A163" t="s">
        <v>31</v>
      </c>
      <c r="B163" t="s">
        <v>10</v>
      </c>
      <c r="C163" t="s">
        <v>23</v>
      </c>
      <c r="D163">
        <v>9558.06</v>
      </c>
      <c r="E163">
        <v>117</v>
      </c>
      <c r="F163" s="1">
        <v>45502</v>
      </c>
      <c r="G163" t="str">
        <f>IF(COUNTIFS(Table1_3[Country],Table1_3[[#This Row],[Country]],Table1_3[Product],Table1_3[[#This Row],[Product]],Table1_3[Sales Person],Table1_3[[#This Row],[Sales Person]],Table1_3[Amount],"&lt;=100")&gt;=2,"Contract","Deal")</f>
        <v>Deal</v>
      </c>
    </row>
    <row r="164" spans="1:7" x14ac:dyDescent="0.3">
      <c r="A164" t="s">
        <v>31</v>
      </c>
      <c r="B164" t="s">
        <v>10</v>
      </c>
      <c r="C164" t="s">
        <v>87</v>
      </c>
      <c r="D164">
        <v>6454</v>
      </c>
      <c r="E164">
        <v>141</v>
      </c>
      <c r="F164" s="1">
        <v>44791</v>
      </c>
      <c r="G164" t="str">
        <f>IF(COUNTIFS(Table1_3[Country],Table1_3[[#This Row],[Country]],Table1_3[Product],Table1_3[[#This Row],[Product]],Table1_3[Sales Person],Table1_3[[#This Row],[Sales Person]],Table1_3[Amount],"&lt;=100")&gt;=2,"Contract","Deal")</f>
        <v>Deal</v>
      </c>
    </row>
    <row r="165" spans="1:7" x14ac:dyDescent="0.3">
      <c r="A165" t="s">
        <v>31</v>
      </c>
      <c r="B165" t="s">
        <v>10</v>
      </c>
      <c r="C165" t="s">
        <v>87</v>
      </c>
      <c r="D165">
        <v>7454.25</v>
      </c>
      <c r="E165">
        <v>148</v>
      </c>
      <c r="F165" s="1">
        <v>45156</v>
      </c>
      <c r="G165" t="str">
        <f>IF(COUNTIFS(Table1_3[Country],Table1_3[[#This Row],[Country]],Table1_3[Product],Table1_3[[#This Row],[Product]],Table1_3[Sales Person],Table1_3[[#This Row],[Sales Person]],Table1_3[Amount],"&lt;=100")&gt;=2,"Contract","Deal")</f>
        <v>Deal</v>
      </c>
    </row>
    <row r="166" spans="1:7" x14ac:dyDescent="0.3">
      <c r="A166" t="s">
        <v>31</v>
      </c>
      <c r="B166" t="s">
        <v>10</v>
      </c>
      <c r="C166" t="s">
        <v>87</v>
      </c>
      <c r="D166">
        <v>7548.62</v>
      </c>
      <c r="E166">
        <v>153</v>
      </c>
      <c r="F166" s="1">
        <v>45522</v>
      </c>
      <c r="G166" t="str">
        <f>IF(COUNTIFS(Table1_3[Country],Table1_3[[#This Row],[Country]],Table1_3[Product],Table1_3[[#This Row],[Product]],Table1_3[Sales Person],Table1_3[[#This Row],[Sales Person]],Table1_3[Amount],"&lt;=100")&gt;=2,"Contract","Deal")</f>
        <v>Deal</v>
      </c>
    </row>
    <row r="167" spans="1:7" x14ac:dyDescent="0.3">
      <c r="A167" t="s">
        <v>31</v>
      </c>
      <c r="B167" t="s">
        <v>10</v>
      </c>
      <c r="C167" t="s">
        <v>90</v>
      </c>
      <c r="D167">
        <v>6566</v>
      </c>
      <c r="E167">
        <v>99</v>
      </c>
      <c r="F167" s="1">
        <v>44565</v>
      </c>
      <c r="G167" t="str">
        <f>IF(COUNTIFS(Table1_3[Country],Table1_3[[#This Row],[Country]],Table1_3[Product],Table1_3[[#This Row],[Product]],Table1_3[Sales Person],Table1_3[[#This Row],[Sales Person]],Table1_3[Amount],"&lt;=100")&gt;=2,"Contract","Deal")</f>
        <v>Deal</v>
      </c>
    </row>
    <row r="168" spans="1:7" x14ac:dyDescent="0.3">
      <c r="A168" t="s">
        <v>31</v>
      </c>
      <c r="B168" t="s">
        <v>10</v>
      </c>
      <c r="C168" t="s">
        <v>90</v>
      </c>
      <c r="D168">
        <v>7042.98</v>
      </c>
      <c r="E168">
        <v>107</v>
      </c>
      <c r="F168" s="1">
        <v>44930</v>
      </c>
      <c r="G168" t="str">
        <f>IF(COUNTIFS(Table1_3[Country],Table1_3[[#This Row],[Country]],Table1_3[Product],Table1_3[[#This Row],[Product]],Table1_3[Sales Person],Table1_3[[#This Row],[Sales Person]],Table1_3[Amount],"&lt;=100")&gt;=2,"Contract","Deal")</f>
        <v>Deal</v>
      </c>
    </row>
    <row r="169" spans="1:7" x14ac:dyDescent="0.3">
      <c r="A169" t="s">
        <v>31</v>
      </c>
      <c r="B169" t="s">
        <v>10</v>
      </c>
      <c r="C169" t="s">
        <v>90</v>
      </c>
      <c r="D169">
        <v>7912.62</v>
      </c>
      <c r="E169">
        <v>106</v>
      </c>
      <c r="F169" s="1">
        <v>45295</v>
      </c>
      <c r="G169" t="str">
        <f>IF(COUNTIFS(Table1_3[Country],Table1_3[[#This Row],[Country]],Table1_3[Product],Table1_3[[#This Row],[Product]],Table1_3[Sales Person],Table1_3[[#This Row],[Sales Person]],Table1_3[Amount],"&lt;=100")&gt;=2,"Contract","Deal")</f>
        <v>Deal</v>
      </c>
    </row>
    <row r="170" spans="1:7" x14ac:dyDescent="0.3">
      <c r="A170" t="s">
        <v>31</v>
      </c>
      <c r="B170" t="s">
        <v>10</v>
      </c>
      <c r="C170" t="s">
        <v>38</v>
      </c>
      <c r="D170">
        <v>2219</v>
      </c>
      <c r="E170">
        <v>142</v>
      </c>
      <c r="F170" s="1">
        <v>44589</v>
      </c>
      <c r="G170" t="str">
        <f>IF(COUNTIFS(Table1_3[Country],Table1_3[[#This Row],[Country]],Table1_3[Product],Table1_3[[#This Row],[Product]],Table1_3[Sales Person],Table1_3[[#This Row],[Sales Person]],Table1_3[Amount],"&lt;=100")&gt;=2,"Contract","Deal")</f>
        <v>Deal</v>
      </c>
    </row>
    <row r="171" spans="1:7" x14ac:dyDescent="0.3">
      <c r="A171" t="s">
        <v>31</v>
      </c>
      <c r="B171" t="s">
        <v>10</v>
      </c>
      <c r="C171" t="s">
        <v>38</v>
      </c>
      <c r="D171">
        <v>2431.5300000000002</v>
      </c>
      <c r="E171">
        <v>148</v>
      </c>
      <c r="F171" s="1">
        <v>44954</v>
      </c>
      <c r="G171" t="str">
        <f>IF(COUNTIFS(Table1_3[Country],Table1_3[[#This Row],[Country]],Table1_3[Product],Table1_3[[#This Row],[Product]],Table1_3[Sales Person],Table1_3[[#This Row],[Sales Person]],Table1_3[Amount],"&lt;=100")&gt;=2,"Contract","Deal")</f>
        <v>Deal</v>
      </c>
    </row>
    <row r="172" spans="1:7" x14ac:dyDescent="0.3">
      <c r="A172" t="s">
        <v>31</v>
      </c>
      <c r="B172" t="s">
        <v>10</v>
      </c>
      <c r="C172" t="s">
        <v>38</v>
      </c>
      <c r="D172">
        <v>2411.52</v>
      </c>
      <c r="E172">
        <v>144</v>
      </c>
      <c r="F172" s="1">
        <v>45319</v>
      </c>
      <c r="G172" t="str">
        <f>IF(COUNTIFS(Table1_3[Country],Table1_3[[#This Row],[Country]],Table1_3[Product],Table1_3[[#This Row],[Product]],Table1_3[Sales Person],Table1_3[[#This Row],[Sales Person]],Table1_3[Amount],"&lt;=100")&gt;=2,"Contract","Deal")</f>
        <v>Deal</v>
      </c>
    </row>
    <row r="173" spans="1:7" x14ac:dyDescent="0.3">
      <c r="A173" t="s">
        <v>31</v>
      </c>
      <c r="B173" t="s">
        <v>10</v>
      </c>
      <c r="C173" t="s">
        <v>8</v>
      </c>
      <c r="D173">
        <v>7413</v>
      </c>
      <c r="E173">
        <v>465</v>
      </c>
      <c r="F173" s="1">
        <v>44573</v>
      </c>
      <c r="G173" t="str">
        <f>IF(COUNTIFS(Table1_3[Country],Table1_3[[#This Row],[Country]],Table1_3[Product],Table1_3[[#This Row],[Product]],Table1_3[Sales Person],Table1_3[[#This Row],[Sales Person]],Table1_3[Amount],"&lt;=100")&gt;=2,"Contract","Deal")</f>
        <v>Deal</v>
      </c>
    </row>
    <row r="174" spans="1:7" x14ac:dyDescent="0.3">
      <c r="A174" t="s">
        <v>31</v>
      </c>
      <c r="B174" t="s">
        <v>10</v>
      </c>
      <c r="C174" t="s">
        <v>8</v>
      </c>
      <c r="D174">
        <v>8313.09</v>
      </c>
      <c r="E174">
        <v>493</v>
      </c>
      <c r="F174" s="1">
        <v>44938</v>
      </c>
      <c r="G174" t="str">
        <f>IF(COUNTIFS(Table1_3[Country],Table1_3[[#This Row],[Country]],Table1_3[Product],Table1_3[[#This Row],[Product]],Table1_3[Sales Person],Table1_3[[#This Row],[Sales Person]],Table1_3[Amount],"&lt;=100")&gt;=2,"Contract","Deal")</f>
        <v>Deal</v>
      </c>
    </row>
    <row r="175" spans="1:7" x14ac:dyDescent="0.3">
      <c r="A175" t="s">
        <v>31</v>
      </c>
      <c r="B175" t="s">
        <v>10</v>
      </c>
      <c r="C175" t="s">
        <v>8</v>
      </c>
      <c r="D175">
        <v>7899.01</v>
      </c>
      <c r="E175">
        <v>461</v>
      </c>
      <c r="F175" s="1">
        <v>45303</v>
      </c>
      <c r="G175" t="str">
        <f>IF(COUNTIFS(Table1_3[Country],Table1_3[[#This Row],[Country]],Table1_3[Product],Table1_3[[#This Row],[Product]],Table1_3[Sales Person],Table1_3[[#This Row],[Sales Person]],Table1_3[Amount],"&lt;=100")&gt;=2,"Contract","Deal")</f>
        <v>Deal</v>
      </c>
    </row>
    <row r="176" spans="1:7" x14ac:dyDescent="0.3">
      <c r="A176" t="s">
        <v>31</v>
      </c>
      <c r="B176" t="s">
        <v>25</v>
      </c>
      <c r="C176" t="s">
        <v>26</v>
      </c>
      <c r="D176">
        <v>4557</v>
      </c>
      <c r="E176">
        <v>308</v>
      </c>
      <c r="F176" s="1">
        <v>44735</v>
      </c>
      <c r="G176" t="str">
        <f>IF(COUNTIFS(Table1_3[Country],Table1_3[[#This Row],[Country]],Table1_3[Product],Table1_3[[#This Row],[Product]],Table1_3[Sales Person],Table1_3[[#This Row],[Sales Person]],Table1_3[Amount],"&lt;=100")&gt;=2,"Contract","Deal")</f>
        <v>Deal</v>
      </c>
    </row>
    <row r="177" spans="1:7" x14ac:dyDescent="0.3">
      <c r="A177" t="s">
        <v>31</v>
      </c>
      <c r="B177" t="s">
        <v>25</v>
      </c>
      <c r="C177" t="s">
        <v>26</v>
      </c>
      <c r="D177">
        <v>4909.8599999999997</v>
      </c>
      <c r="E177">
        <v>304</v>
      </c>
      <c r="F177" s="1">
        <v>45100</v>
      </c>
      <c r="G177" t="str">
        <f>IF(COUNTIFS(Table1_3[Country],Table1_3[[#This Row],[Country]],Table1_3[Product],Table1_3[[#This Row],[Product]],Table1_3[Sales Person],Table1_3[[#This Row],[Sales Person]],Table1_3[Amount],"&lt;=100")&gt;=2,"Contract","Deal")</f>
        <v>Deal</v>
      </c>
    </row>
    <row r="178" spans="1:7" x14ac:dyDescent="0.3">
      <c r="A178" t="s">
        <v>31</v>
      </c>
      <c r="B178" t="s">
        <v>25</v>
      </c>
      <c r="C178" t="s">
        <v>26</v>
      </c>
      <c r="D178">
        <v>5185.3599999999997</v>
      </c>
      <c r="E178">
        <v>321</v>
      </c>
      <c r="F178" s="1">
        <v>45466</v>
      </c>
      <c r="G178" t="str">
        <f>IF(COUNTIFS(Table1_3[Country],Table1_3[[#This Row],[Country]],Table1_3[Product],Table1_3[[#This Row],[Product]],Table1_3[Sales Person],Table1_3[[#This Row],[Sales Person]],Table1_3[Amount],"&lt;=100")&gt;=2,"Contract","Deal")</f>
        <v>Deal</v>
      </c>
    </row>
    <row r="179" spans="1:7" x14ac:dyDescent="0.3">
      <c r="A179" t="s">
        <v>31</v>
      </c>
      <c r="B179" t="s">
        <v>25</v>
      </c>
      <c r="C179" t="s">
        <v>11</v>
      </c>
      <c r="D179">
        <v>2100</v>
      </c>
      <c r="E179">
        <v>157</v>
      </c>
      <c r="F179" s="1">
        <v>44704</v>
      </c>
      <c r="G179" t="str">
        <f>IF(COUNTIFS(Table1_3[Country],Table1_3[[#This Row],[Country]],Table1_3[Product],Table1_3[[#This Row],[Product]],Table1_3[Sales Person],Table1_3[[#This Row],[Sales Person]],Table1_3[Amount],"&lt;=100")&gt;=2,"Contract","Deal")</f>
        <v>Deal</v>
      </c>
    </row>
    <row r="180" spans="1:7" x14ac:dyDescent="0.3">
      <c r="A180" t="s">
        <v>31</v>
      </c>
      <c r="B180" t="s">
        <v>25</v>
      </c>
      <c r="C180" t="s">
        <v>11</v>
      </c>
      <c r="D180">
        <v>2151.04</v>
      </c>
      <c r="E180">
        <v>170</v>
      </c>
      <c r="F180" s="1">
        <v>45069</v>
      </c>
      <c r="G180" t="str">
        <f>IF(COUNTIFS(Table1_3[Country],Table1_3[[#This Row],[Country]],Table1_3[Product],Table1_3[[#This Row],[Product]],Table1_3[Sales Person],Table1_3[[#This Row],[Sales Person]],Table1_3[Amount],"&lt;=100")&gt;=2,"Contract","Deal")</f>
        <v>Deal</v>
      </c>
    </row>
    <row r="181" spans="1:7" x14ac:dyDescent="0.3">
      <c r="A181" t="s">
        <v>31</v>
      </c>
      <c r="B181" t="s">
        <v>25</v>
      </c>
      <c r="C181" t="s">
        <v>11</v>
      </c>
      <c r="D181">
        <v>2214.91</v>
      </c>
      <c r="E181">
        <v>161</v>
      </c>
      <c r="F181" s="1">
        <v>45435</v>
      </c>
      <c r="G181" t="str">
        <f>IF(COUNTIFS(Table1_3[Country],Table1_3[[#This Row],[Country]],Table1_3[Product],Table1_3[[#This Row],[Product]],Table1_3[Sales Person],Table1_3[[#This Row],[Sales Person]],Table1_3[Amount],"&lt;=100")&gt;=2,"Contract","Deal")</f>
        <v>Deal</v>
      </c>
    </row>
    <row r="182" spans="1:7" x14ac:dyDescent="0.3">
      <c r="A182" t="s">
        <v>31</v>
      </c>
      <c r="B182" t="s">
        <v>25</v>
      </c>
      <c r="C182" t="s">
        <v>20</v>
      </c>
      <c r="D182">
        <v>8134</v>
      </c>
      <c r="E182">
        <v>195</v>
      </c>
      <c r="F182" s="1">
        <v>44705</v>
      </c>
      <c r="G182" t="str">
        <f>IF(COUNTIFS(Table1_3[Country],Table1_3[[#This Row],[Country]],Table1_3[Product],Table1_3[[#This Row],[Product]],Table1_3[Sales Person],Table1_3[[#This Row],[Sales Person]],Table1_3[Amount],"&lt;=100")&gt;=2,"Contract","Deal")</f>
        <v>Deal</v>
      </c>
    </row>
    <row r="183" spans="1:7" x14ac:dyDescent="0.3">
      <c r="A183" t="s">
        <v>31</v>
      </c>
      <c r="B183" t="s">
        <v>25</v>
      </c>
      <c r="C183" t="s">
        <v>20</v>
      </c>
      <c r="D183">
        <v>9294.14</v>
      </c>
      <c r="E183">
        <v>201</v>
      </c>
      <c r="F183" s="1">
        <v>45070</v>
      </c>
      <c r="G183" t="str">
        <f>IF(COUNTIFS(Table1_3[Country],Table1_3[[#This Row],[Country]],Table1_3[Product],Table1_3[[#This Row],[Product]],Table1_3[Sales Person],Table1_3[[#This Row],[Sales Person]],Table1_3[Amount],"&lt;=100")&gt;=2,"Contract","Deal")</f>
        <v>Deal</v>
      </c>
    </row>
    <row r="184" spans="1:7" x14ac:dyDescent="0.3">
      <c r="A184" t="s">
        <v>31</v>
      </c>
      <c r="B184" t="s">
        <v>25</v>
      </c>
      <c r="C184" t="s">
        <v>20</v>
      </c>
      <c r="D184">
        <v>9152.7199999999993</v>
      </c>
      <c r="E184">
        <v>208</v>
      </c>
      <c r="F184" s="1">
        <v>45436</v>
      </c>
      <c r="G184" t="str">
        <f>IF(COUNTIFS(Table1_3[Country],Table1_3[[#This Row],[Country]],Table1_3[Product],Table1_3[[#This Row],[Product]],Table1_3[Sales Person],Table1_3[[#This Row],[Sales Person]],Table1_3[Amount],"&lt;=100")&gt;=2,"Contract","Deal")</f>
        <v>Deal</v>
      </c>
    </row>
    <row r="185" spans="1:7" x14ac:dyDescent="0.3">
      <c r="A185" t="s">
        <v>31</v>
      </c>
      <c r="B185" t="s">
        <v>25</v>
      </c>
      <c r="C185" t="s">
        <v>23</v>
      </c>
      <c r="D185">
        <v>10024</v>
      </c>
      <c r="E185">
        <v>84</v>
      </c>
      <c r="F185" s="1">
        <v>44670</v>
      </c>
      <c r="G185" t="str">
        <f>IF(COUNTIFS(Table1_3[Country],Table1_3[[#This Row],[Country]],Table1_3[Product],Table1_3[[#This Row],[Product]],Table1_3[Sales Person],Table1_3[[#This Row],[Sales Person]],Table1_3[Amount],"&lt;=100")&gt;=2,"Contract","Deal")</f>
        <v>Deal</v>
      </c>
    </row>
    <row r="186" spans="1:7" x14ac:dyDescent="0.3">
      <c r="A186" t="s">
        <v>31</v>
      </c>
      <c r="B186" t="s">
        <v>25</v>
      </c>
      <c r="C186" t="s">
        <v>23</v>
      </c>
      <c r="D186">
        <v>11460.08</v>
      </c>
      <c r="E186">
        <v>81</v>
      </c>
      <c r="F186" s="1">
        <v>45035</v>
      </c>
      <c r="G186" t="str">
        <f>IF(COUNTIFS(Table1_3[Country],Table1_3[[#This Row],[Country]],Table1_3[Product],Table1_3[[#This Row],[Product]],Table1_3[Sales Person],Table1_3[[#This Row],[Sales Person]],Table1_3[Amount],"&lt;=100")&gt;=2,"Contract","Deal")</f>
        <v>Deal</v>
      </c>
    </row>
    <row r="187" spans="1:7" x14ac:dyDescent="0.3">
      <c r="A187" t="s">
        <v>31</v>
      </c>
      <c r="B187" t="s">
        <v>25</v>
      </c>
      <c r="C187" t="s">
        <v>23</v>
      </c>
      <c r="D187">
        <v>11250.69</v>
      </c>
      <c r="E187">
        <v>91</v>
      </c>
      <c r="F187" s="1">
        <v>45401</v>
      </c>
      <c r="G187" t="str">
        <f>IF(COUNTIFS(Table1_3[Country],Table1_3[[#This Row],[Country]],Table1_3[Product],Table1_3[[#This Row],[Product]],Table1_3[Sales Person],Table1_3[[#This Row],[Sales Person]],Table1_3[Amount],"&lt;=100")&gt;=2,"Contract","Deal")</f>
        <v>Deal</v>
      </c>
    </row>
    <row r="188" spans="1:7" x14ac:dyDescent="0.3">
      <c r="A188" t="s">
        <v>31</v>
      </c>
      <c r="B188" t="s">
        <v>25</v>
      </c>
      <c r="C188" t="s">
        <v>65</v>
      </c>
      <c r="D188">
        <v>5558</v>
      </c>
      <c r="E188">
        <v>127</v>
      </c>
      <c r="F188" s="1">
        <v>44574</v>
      </c>
      <c r="G188" t="str">
        <f>IF(COUNTIFS(Table1_3[Country],Table1_3[[#This Row],[Country]],Table1_3[Product],Table1_3[[#This Row],[Product]],Table1_3[Sales Person],Table1_3[[#This Row],[Sales Person]],Table1_3[Amount],"&lt;=100")&gt;=2,"Contract","Deal")</f>
        <v>Deal</v>
      </c>
    </row>
    <row r="189" spans="1:7" x14ac:dyDescent="0.3">
      <c r="A189" t="s">
        <v>31</v>
      </c>
      <c r="B189" t="s">
        <v>25</v>
      </c>
      <c r="C189" t="s">
        <v>65</v>
      </c>
      <c r="D189">
        <v>6372.68</v>
      </c>
      <c r="E189">
        <v>131</v>
      </c>
      <c r="F189" s="1">
        <v>44939</v>
      </c>
      <c r="G189" t="str">
        <f>IF(COUNTIFS(Table1_3[Country],Table1_3[[#This Row],[Country]],Table1_3[Product],Table1_3[[#This Row],[Product]],Table1_3[Sales Person],Table1_3[[#This Row],[Sales Person]],Table1_3[Amount],"&lt;=100")&gt;=2,"Contract","Deal")</f>
        <v>Deal</v>
      </c>
    </row>
    <row r="190" spans="1:7" x14ac:dyDescent="0.3">
      <c r="A190" t="s">
        <v>31</v>
      </c>
      <c r="B190" t="s">
        <v>25</v>
      </c>
      <c r="C190" t="s">
        <v>65</v>
      </c>
      <c r="D190">
        <v>6426.04</v>
      </c>
      <c r="E190">
        <v>132</v>
      </c>
      <c r="F190" s="1">
        <v>45304</v>
      </c>
      <c r="G190" t="str">
        <f>IF(COUNTIFS(Table1_3[Country],Table1_3[[#This Row],[Country]],Table1_3[Product],Table1_3[[#This Row],[Product]],Table1_3[Sales Person],Table1_3[[#This Row],[Sales Person]],Table1_3[Amount],"&lt;=100")&gt;=2,"Contract","Deal")</f>
        <v>Deal</v>
      </c>
    </row>
    <row r="191" spans="1:7" x14ac:dyDescent="0.3">
      <c r="A191" t="s">
        <v>31</v>
      </c>
      <c r="B191" t="s">
        <v>25</v>
      </c>
      <c r="C191" t="s">
        <v>36</v>
      </c>
      <c r="D191">
        <v>6713</v>
      </c>
      <c r="E191">
        <v>31</v>
      </c>
      <c r="F191" s="1">
        <v>44648</v>
      </c>
      <c r="G191" t="str">
        <f>IF(COUNTIFS(Table1_3[Country],Table1_3[[#This Row],[Country]],Table1_3[Product],Table1_3[[#This Row],[Product]],Table1_3[Sales Person],Table1_3[[#This Row],[Sales Person]],Table1_3[Amount],"&lt;=100")&gt;=2,"Contract","Deal")</f>
        <v>Deal</v>
      </c>
    </row>
    <row r="192" spans="1:7" x14ac:dyDescent="0.3">
      <c r="A192" t="s">
        <v>31</v>
      </c>
      <c r="B192" t="s">
        <v>25</v>
      </c>
      <c r="C192" t="s">
        <v>36</v>
      </c>
      <c r="D192">
        <v>7144.08</v>
      </c>
      <c r="E192">
        <v>32</v>
      </c>
      <c r="F192" s="1">
        <v>45013</v>
      </c>
      <c r="G192" t="str">
        <f>IF(COUNTIFS(Table1_3[Country],Table1_3[[#This Row],[Country]],Table1_3[Product],Table1_3[[#This Row],[Product]],Table1_3[Sales Person],Table1_3[[#This Row],[Sales Person]],Table1_3[Amount],"&lt;=100")&gt;=2,"Contract","Deal")</f>
        <v>Deal</v>
      </c>
    </row>
    <row r="193" spans="1:7" x14ac:dyDescent="0.3">
      <c r="A193" t="s">
        <v>31</v>
      </c>
      <c r="B193" t="s">
        <v>25</v>
      </c>
      <c r="C193" t="s">
        <v>36</v>
      </c>
      <c r="D193">
        <v>7418.41</v>
      </c>
      <c r="E193">
        <v>31</v>
      </c>
      <c r="F193" s="1">
        <v>45379</v>
      </c>
      <c r="G193" t="str">
        <f>IF(COUNTIFS(Table1_3[Country],Table1_3[[#This Row],[Country]],Table1_3[Product],Table1_3[[#This Row],[Product]],Table1_3[Sales Person],Table1_3[[#This Row],[Sales Person]],Table1_3[Amount],"&lt;=100")&gt;=2,"Contract","Deal")</f>
        <v>Deal</v>
      </c>
    </row>
    <row r="194" spans="1:7" x14ac:dyDescent="0.3">
      <c r="A194" t="s">
        <v>31</v>
      </c>
      <c r="B194" t="s">
        <v>25</v>
      </c>
      <c r="C194" t="s">
        <v>57</v>
      </c>
      <c r="D194">
        <v>1687</v>
      </c>
      <c r="E194">
        <v>147</v>
      </c>
      <c r="F194" s="1">
        <v>44677</v>
      </c>
      <c r="G194" t="str">
        <f>IF(COUNTIFS(Table1_3[Country],Table1_3[[#This Row],[Country]],Table1_3[Product],Table1_3[[#This Row],[Product]],Table1_3[Sales Person],Table1_3[[#This Row],[Sales Person]],Table1_3[Amount],"&lt;=100")&gt;=2,"Contract","Deal")</f>
        <v>Deal</v>
      </c>
    </row>
    <row r="195" spans="1:7" x14ac:dyDescent="0.3">
      <c r="A195" t="s">
        <v>31</v>
      </c>
      <c r="B195" t="s">
        <v>25</v>
      </c>
      <c r="C195" t="s">
        <v>57</v>
      </c>
      <c r="D195">
        <v>1888.94</v>
      </c>
      <c r="E195">
        <v>159</v>
      </c>
      <c r="F195" s="1">
        <v>45042</v>
      </c>
      <c r="G195" t="str">
        <f>IF(COUNTIFS(Table1_3[Country],Table1_3[[#This Row],[Country]],Table1_3[Product],Table1_3[[#This Row],[Product]],Table1_3[Sales Person],Table1_3[[#This Row],[Sales Person]],Table1_3[Amount],"&lt;=100")&gt;=2,"Contract","Deal")</f>
        <v>Deal</v>
      </c>
    </row>
    <row r="196" spans="1:7" x14ac:dyDescent="0.3">
      <c r="A196" t="s">
        <v>31</v>
      </c>
      <c r="B196" t="s">
        <v>25</v>
      </c>
      <c r="C196" t="s">
        <v>57</v>
      </c>
      <c r="D196">
        <v>1853.03</v>
      </c>
      <c r="E196">
        <v>153</v>
      </c>
      <c r="F196" s="1">
        <v>45408</v>
      </c>
      <c r="G196" t="str">
        <f>IF(COUNTIFS(Table1_3[Country],Table1_3[[#This Row],[Country]],Table1_3[Product],Table1_3[[#This Row],[Product]],Table1_3[Sales Person],Table1_3[[#This Row],[Sales Person]],Table1_3[Amount],"&lt;=100")&gt;=2,"Contract","Deal")</f>
        <v>Deal</v>
      </c>
    </row>
    <row r="197" spans="1:7" x14ac:dyDescent="0.3">
      <c r="A197" t="s">
        <v>31</v>
      </c>
      <c r="B197" t="s">
        <v>25</v>
      </c>
      <c r="C197" t="s">
        <v>60</v>
      </c>
      <c r="D197">
        <v>5474</v>
      </c>
      <c r="E197">
        <v>239</v>
      </c>
      <c r="F197" s="1">
        <v>44616</v>
      </c>
      <c r="G197" t="str">
        <f>IF(COUNTIFS(Table1_3[Country],Table1_3[[#This Row],[Country]],Table1_3[Product],Table1_3[[#This Row],[Product]],Table1_3[Sales Person],Table1_3[[#This Row],[Sales Person]],Table1_3[Amount],"&lt;=100")&gt;=2,"Contract","Deal")</f>
        <v>Deal</v>
      </c>
    </row>
    <row r="198" spans="1:7" x14ac:dyDescent="0.3">
      <c r="A198" t="s">
        <v>31</v>
      </c>
      <c r="B198" t="s">
        <v>25</v>
      </c>
      <c r="C198" t="s">
        <v>60</v>
      </c>
      <c r="D198">
        <v>5917.62</v>
      </c>
      <c r="E198">
        <v>238</v>
      </c>
      <c r="F198" s="1">
        <v>44981</v>
      </c>
      <c r="G198" t="str">
        <f>IF(COUNTIFS(Table1_3[Country],Table1_3[[#This Row],[Country]],Table1_3[Product],Table1_3[[#This Row],[Product]],Table1_3[Sales Person],Table1_3[[#This Row],[Sales Person]],Table1_3[Amount],"&lt;=100")&gt;=2,"Contract","Deal")</f>
        <v>Deal</v>
      </c>
    </row>
    <row r="199" spans="1:7" x14ac:dyDescent="0.3">
      <c r="A199" t="s">
        <v>31</v>
      </c>
      <c r="B199" t="s">
        <v>25</v>
      </c>
      <c r="C199" t="s">
        <v>60</v>
      </c>
      <c r="D199">
        <v>6575.07</v>
      </c>
      <c r="E199">
        <v>249</v>
      </c>
      <c r="F199" s="1">
        <v>45346</v>
      </c>
      <c r="G199" t="str">
        <f>IF(COUNTIFS(Table1_3[Country],Table1_3[[#This Row],[Country]],Table1_3[Product],Table1_3[[#This Row],[Product]],Table1_3[Sales Person],Table1_3[[#This Row],[Sales Person]],Table1_3[Amount],"&lt;=100")&gt;=2,"Contract","Deal")</f>
        <v>Deal</v>
      </c>
    </row>
    <row r="200" spans="1:7" x14ac:dyDescent="0.3">
      <c r="A200" t="s">
        <v>31</v>
      </c>
      <c r="B200" t="s">
        <v>25</v>
      </c>
      <c r="C200" t="s">
        <v>8</v>
      </c>
      <c r="D200">
        <v>6440</v>
      </c>
      <c r="E200">
        <v>145</v>
      </c>
      <c r="F200" s="1">
        <v>44613</v>
      </c>
      <c r="G200" t="str">
        <f>IF(COUNTIFS(Table1_3[Country],Table1_3[[#This Row],[Country]],Table1_3[Product],Table1_3[[#This Row],[Product]],Table1_3[Sales Person],Table1_3[[#This Row],[Sales Person]],Table1_3[Amount],"&lt;=100")&gt;=2,"Contract","Deal")</f>
        <v>Deal</v>
      </c>
    </row>
    <row r="201" spans="1:7" x14ac:dyDescent="0.3">
      <c r="A201" t="s">
        <v>31</v>
      </c>
      <c r="B201" t="s">
        <v>25</v>
      </c>
      <c r="C201" t="s">
        <v>8</v>
      </c>
      <c r="D201">
        <v>6526.01</v>
      </c>
      <c r="E201">
        <v>147</v>
      </c>
      <c r="F201" s="1">
        <v>44978</v>
      </c>
      <c r="G201" t="str">
        <f>IF(COUNTIFS(Table1_3[Country],Table1_3[[#This Row],[Country]],Table1_3[Product],Table1_3[[#This Row],[Product]],Table1_3[Sales Person],Table1_3[[#This Row],[Sales Person]],Table1_3[Amount],"&lt;=100")&gt;=2,"Contract","Deal")</f>
        <v>Deal</v>
      </c>
    </row>
    <row r="202" spans="1:7" x14ac:dyDescent="0.3">
      <c r="A202" t="s">
        <v>31</v>
      </c>
      <c r="B202" t="s">
        <v>25</v>
      </c>
      <c r="C202" t="s">
        <v>8</v>
      </c>
      <c r="D202">
        <v>7197.75</v>
      </c>
      <c r="E202">
        <v>159</v>
      </c>
      <c r="F202" s="1">
        <v>45343</v>
      </c>
      <c r="G202" t="str">
        <f>IF(COUNTIFS(Table1_3[Country],Table1_3[[#This Row],[Country]],Table1_3[Product],Table1_3[[#This Row],[Product]],Table1_3[Sales Person],Table1_3[[#This Row],[Sales Person]],Table1_3[Amount],"&lt;=100")&gt;=2,"Contract","Deal")</f>
        <v>Deal</v>
      </c>
    </row>
    <row r="203" spans="1:7" x14ac:dyDescent="0.3">
      <c r="A203" t="s">
        <v>31</v>
      </c>
      <c r="B203" t="s">
        <v>25</v>
      </c>
      <c r="C203" t="s">
        <v>73</v>
      </c>
      <c r="D203">
        <v>6468</v>
      </c>
      <c r="E203">
        <v>66</v>
      </c>
      <c r="F203" s="1">
        <v>44771</v>
      </c>
      <c r="G203" t="str">
        <f>IF(COUNTIFS(Table1_3[Country],Table1_3[[#This Row],[Country]],Table1_3[Product],Table1_3[[#This Row],[Product]],Table1_3[Sales Person],Table1_3[[#This Row],[Sales Person]],Table1_3[Amount],"&lt;=100")&gt;=2,"Contract","Deal")</f>
        <v>Deal</v>
      </c>
    </row>
    <row r="204" spans="1:7" x14ac:dyDescent="0.3">
      <c r="A204" t="s">
        <v>31</v>
      </c>
      <c r="B204" t="s">
        <v>25</v>
      </c>
      <c r="C204" t="s">
        <v>73</v>
      </c>
      <c r="D204">
        <v>7358.7</v>
      </c>
      <c r="E204">
        <v>68</v>
      </c>
      <c r="F204" s="1">
        <v>45136</v>
      </c>
      <c r="G204" t="str">
        <f>IF(COUNTIFS(Table1_3[Country],Table1_3[[#This Row],[Country]],Table1_3[Product],Table1_3[[#This Row],[Product]],Table1_3[Sales Person],Table1_3[[#This Row],[Sales Person]],Table1_3[Amount],"&lt;=100")&gt;=2,"Contract","Deal")</f>
        <v>Deal</v>
      </c>
    </row>
    <row r="205" spans="1:7" x14ac:dyDescent="0.3">
      <c r="A205" t="s">
        <v>31</v>
      </c>
      <c r="B205" t="s">
        <v>25</v>
      </c>
      <c r="C205" t="s">
        <v>73</v>
      </c>
      <c r="D205">
        <v>7667.99</v>
      </c>
      <c r="E205">
        <v>69</v>
      </c>
      <c r="F205" s="1">
        <v>45502</v>
      </c>
      <c r="G205" t="str">
        <f>IF(COUNTIFS(Table1_3[Country],Table1_3[[#This Row],[Country]],Table1_3[Product],Table1_3[[#This Row],[Product]],Table1_3[Sales Person],Table1_3[[#This Row],[Sales Person]],Table1_3[Amount],"&lt;=100")&gt;=2,"Contract","Deal")</f>
        <v>Deal</v>
      </c>
    </row>
    <row r="206" spans="1:7" x14ac:dyDescent="0.3">
      <c r="A206" t="s">
        <v>31</v>
      </c>
      <c r="B206" t="s">
        <v>25</v>
      </c>
      <c r="C206" t="s">
        <v>18</v>
      </c>
      <c r="D206">
        <v>3990</v>
      </c>
      <c r="E206">
        <v>169</v>
      </c>
      <c r="F206" s="1">
        <v>44586</v>
      </c>
      <c r="G206" t="str">
        <f>IF(COUNTIFS(Table1_3[Country],Table1_3[[#This Row],[Country]],Table1_3[Product],Table1_3[[#This Row],[Product]],Table1_3[Sales Person],Table1_3[[#This Row],[Sales Person]],Table1_3[Amount],"&lt;=100")&gt;=2,"Contract","Deal")</f>
        <v>Deal</v>
      </c>
    </row>
    <row r="207" spans="1:7" x14ac:dyDescent="0.3">
      <c r="A207" t="s">
        <v>31</v>
      </c>
      <c r="B207" t="s">
        <v>25</v>
      </c>
      <c r="C207" t="s">
        <v>18</v>
      </c>
      <c r="D207">
        <v>4552.1499999999996</v>
      </c>
      <c r="E207">
        <v>172</v>
      </c>
      <c r="F207" s="1">
        <v>44951</v>
      </c>
      <c r="G207" t="str">
        <f>IF(COUNTIFS(Table1_3[Country],Table1_3[[#This Row],[Country]],Table1_3[Product],Table1_3[[#This Row],[Product]],Table1_3[Sales Person],Table1_3[[#This Row],[Sales Person]],Table1_3[Amount],"&lt;=100")&gt;=2,"Contract","Deal")</f>
        <v>Deal</v>
      </c>
    </row>
    <row r="208" spans="1:7" x14ac:dyDescent="0.3">
      <c r="A208" t="s">
        <v>31</v>
      </c>
      <c r="B208" t="s">
        <v>25</v>
      </c>
      <c r="C208" t="s">
        <v>18</v>
      </c>
      <c r="D208">
        <v>4487.01</v>
      </c>
      <c r="E208">
        <v>184</v>
      </c>
      <c r="F208" s="1">
        <v>45316</v>
      </c>
      <c r="G208" t="str">
        <f>IF(COUNTIFS(Table1_3[Country],Table1_3[[#This Row],[Country]],Table1_3[Product],Table1_3[[#This Row],[Product]],Table1_3[Sales Person],Table1_3[[#This Row],[Sales Person]],Table1_3[Amount],"&lt;=100")&gt;=2,"Contract","Deal")</f>
        <v>Deal</v>
      </c>
    </row>
    <row r="209" spans="1:7" x14ac:dyDescent="0.3">
      <c r="A209" t="s">
        <v>31</v>
      </c>
      <c r="B209" t="s">
        <v>7</v>
      </c>
      <c r="C209" t="s">
        <v>26</v>
      </c>
      <c r="D209">
        <v>581</v>
      </c>
      <c r="E209">
        <v>65</v>
      </c>
      <c r="F209" s="1">
        <v>44589</v>
      </c>
      <c r="G209" t="str">
        <f>IF(COUNTIFS(Table1_3[Country],Table1_3[[#This Row],[Country]],Table1_3[Product],Table1_3[[#This Row],[Product]],Table1_3[Sales Person],Table1_3[[#This Row],[Sales Person]],Table1_3[Amount],"&lt;=100")&gt;=2,"Contract","Deal")</f>
        <v>Deal</v>
      </c>
    </row>
    <row r="210" spans="1:7" x14ac:dyDescent="0.3">
      <c r="A210" t="s">
        <v>31</v>
      </c>
      <c r="B210" t="s">
        <v>7</v>
      </c>
      <c r="C210" t="s">
        <v>26</v>
      </c>
      <c r="D210">
        <v>656.44</v>
      </c>
      <c r="E210">
        <v>67</v>
      </c>
      <c r="F210" s="1">
        <v>44954</v>
      </c>
      <c r="G210" t="str">
        <f>IF(COUNTIFS(Table1_3[Country],Table1_3[[#This Row],[Country]],Table1_3[Product],Table1_3[[#This Row],[Product]],Table1_3[Sales Person],Table1_3[[#This Row],[Sales Person]],Table1_3[Amount],"&lt;=100")&gt;=2,"Contract","Deal")</f>
        <v>Deal</v>
      </c>
    </row>
    <row r="211" spans="1:7" x14ac:dyDescent="0.3">
      <c r="A211" t="s">
        <v>31</v>
      </c>
      <c r="B211" t="s">
        <v>7</v>
      </c>
      <c r="C211" t="s">
        <v>26</v>
      </c>
      <c r="D211">
        <v>639.95000000000005</v>
      </c>
      <c r="E211">
        <v>71</v>
      </c>
      <c r="F211" s="1">
        <v>45319</v>
      </c>
      <c r="G211" t="str">
        <f>IF(COUNTIFS(Table1_3[Country],Table1_3[[#This Row],[Country]],Table1_3[Product],Table1_3[[#This Row],[Product]],Table1_3[Sales Person],Table1_3[[#This Row],[Sales Person]],Table1_3[Amount],"&lt;=100")&gt;=2,"Contract","Deal")</f>
        <v>Deal</v>
      </c>
    </row>
    <row r="212" spans="1:7" x14ac:dyDescent="0.3">
      <c r="A212" t="s">
        <v>31</v>
      </c>
      <c r="B212" t="s">
        <v>7</v>
      </c>
      <c r="C212" t="s">
        <v>46</v>
      </c>
      <c r="D212">
        <v>3864</v>
      </c>
      <c r="E212">
        <v>430</v>
      </c>
      <c r="F212" s="1">
        <v>44622</v>
      </c>
      <c r="G212" t="str">
        <f>IF(COUNTIFS(Table1_3[Country],Table1_3[[#This Row],[Country]],Table1_3[Product],Table1_3[[#This Row],[Product]],Table1_3[Sales Person],Table1_3[[#This Row],[Sales Person]],Table1_3[Amount],"&lt;=100")&gt;=2,"Contract","Deal")</f>
        <v>Deal</v>
      </c>
    </row>
    <row r="213" spans="1:7" x14ac:dyDescent="0.3">
      <c r="A213" t="s">
        <v>31</v>
      </c>
      <c r="B213" t="s">
        <v>7</v>
      </c>
      <c r="C213" t="s">
        <v>46</v>
      </c>
      <c r="D213">
        <v>4012.51</v>
      </c>
      <c r="E213">
        <v>409</v>
      </c>
      <c r="F213" s="1">
        <v>44987</v>
      </c>
      <c r="G213" t="str">
        <f>IF(COUNTIFS(Table1_3[Country],Table1_3[[#This Row],[Country]],Table1_3[Product],Table1_3[[#This Row],[Product]],Table1_3[Sales Person],Table1_3[[#This Row],[Sales Person]],Table1_3[Amount],"&lt;=100")&gt;=2,"Contract","Deal")</f>
        <v>Deal</v>
      </c>
    </row>
    <row r="214" spans="1:7" x14ac:dyDescent="0.3">
      <c r="A214" t="s">
        <v>31</v>
      </c>
      <c r="B214" t="s">
        <v>7</v>
      </c>
      <c r="C214" t="s">
        <v>46</v>
      </c>
      <c r="D214">
        <v>4482.33</v>
      </c>
      <c r="E214">
        <v>467</v>
      </c>
      <c r="F214" s="1">
        <v>45353</v>
      </c>
      <c r="G214" t="str">
        <f>IF(COUNTIFS(Table1_3[Country],Table1_3[[#This Row],[Country]],Table1_3[Product],Table1_3[[#This Row],[Product]],Table1_3[Sales Person],Table1_3[[#This Row],[Sales Person]],Table1_3[Amount],"&lt;=100")&gt;=2,"Contract","Deal")</f>
        <v>Deal</v>
      </c>
    </row>
    <row r="215" spans="1:7" x14ac:dyDescent="0.3">
      <c r="A215" t="s">
        <v>31</v>
      </c>
      <c r="B215" t="s">
        <v>7</v>
      </c>
      <c r="C215" t="s">
        <v>8</v>
      </c>
      <c r="D215">
        <v>3724</v>
      </c>
      <c r="E215">
        <v>316</v>
      </c>
      <c r="F215" s="1">
        <v>44749</v>
      </c>
      <c r="G215" t="str">
        <f>IF(COUNTIFS(Table1_3[Country],Table1_3[[#This Row],[Country]],Table1_3[Product],Table1_3[[#This Row],[Product]],Table1_3[Sales Person],Table1_3[[#This Row],[Sales Person]],Table1_3[Amount],"&lt;=100")&gt;=2,"Contract","Deal")</f>
        <v>Deal</v>
      </c>
    </row>
    <row r="216" spans="1:7" x14ac:dyDescent="0.3">
      <c r="A216" t="s">
        <v>31</v>
      </c>
      <c r="B216" t="s">
        <v>7</v>
      </c>
      <c r="C216" t="s">
        <v>8</v>
      </c>
      <c r="D216">
        <v>4129.9799999999996</v>
      </c>
      <c r="E216">
        <v>332</v>
      </c>
      <c r="F216" s="1">
        <v>45114</v>
      </c>
      <c r="G216" t="str">
        <f>IF(COUNTIFS(Table1_3[Country],Table1_3[[#This Row],[Country]],Table1_3[Product],Table1_3[[#This Row],[Product]],Table1_3[Sales Person],Table1_3[[#This Row],[Sales Person]],Table1_3[Amount],"&lt;=100")&gt;=2,"Contract","Deal")</f>
        <v>Deal</v>
      </c>
    </row>
    <row r="217" spans="1:7" x14ac:dyDescent="0.3">
      <c r="A217" t="s">
        <v>31</v>
      </c>
      <c r="B217" t="s">
        <v>7</v>
      </c>
      <c r="C217" t="s">
        <v>8</v>
      </c>
      <c r="D217">
        <v>3950.65</v>
      </c>
      <c r="E217">
        <v>324</v>
      </c>
      <c r="F217" s="1">
        <v>45480</v>
      </c>
      <c r="G217" t="str">
        <f>IF(COUNTIFS(Table1_3[Country],Table1_3[[#This Row],[Country]],Table1_3[Product],Table1_3[[#This Row],[Product]],Table1_3[Sales Person],Table1_3[[#This Row],[Sales Person]],Table1_3[Amount],"&lt;=100")&gt;=2,"Contract","Deal")</f>
        <v>Deal</v>
      </c>
    </row>
    <row r="218" spans="1:7" x14ac:dyDescent="0.3">
      <c r="A218" t="s">
        <v>31</v>
      </c>
      <c r="B218" t="s">
        <v>7</v>
      </c>
      <c r="C218" t="s">
        <v>73</v>
      </c>
      <c r="D218">
        <v>5481</v>
      </c>
      <c r="E218">
        <v>69</v>
      </c>
      <c r="F218" s="1">
        <v>44795</v>
      </c>
      <c r="G218" t="str">
        <f>IF(COUNTIFS(Table1_3[Country],Table1_3[[#This Row],[Country]],Table1_3[Product],Table1_3[[#This Row],[Product]],Table1_3[Sales Person],Table1_3[[#This Row],[Sales Person]],Table1_3[Amount],"&lt;=100")&gt;=2,"Contract","Deal")</f>
        <v>Deal</v>
      </c>
    </row>
    <row r="219" spans="1:7" x14ac:dyDescent="0.3">
      <c r="A219" t="s">
        <v>31</v>
      </c>
      <c r="B219" t="s">
        <v>7</v>
      </c>
      <c r="C219" t="s">
        <v>73</v>
      </c>
      <c r="D219">
        <v>6323.45</v>
      </c>
      <c r="E219">
        <v>70</v>
      </c>
      <c r="F219" s="1">
        <v>45160</v>
      </c>
      <c r="G219" t="str">
        <f>IF(COUNTIFS(Table1_3[Country],Table1_3[[#This Row],[Country]],Table1_3[Product],Table1_3[[#This Row],[Product]],Table1_3[Sales Person],Table1_3[[#This Row],[Sales Person]],Table1_3[Amount],"&lt;=100")&gt;=2,"Contract","Deal")</f>
        <v>Deal</v>
      </c>
    </row>
    <row r="220" spans="1:7" x14ac:dyDescent="0.3">
      <c r="A220" t="s">
        <v>31</v>
      </c>
      <c r="B220" t="s">
        <v>7</v>
      </c>
      <c r="C220" t="s">
        <v>73</v>
      </c>
      <c r="D220">
        <v>6016.8</v>
      </c>
      <c r="E220">
        <v>71</v>
      </c>
      <c r="F220" s="1">
        <v>45526</v>
      </c>
      <c r="G220" t="str">
        <f>IF(COUNTIFS(Table1_3[Country],Table1_3[[#This Row],[Country]],Table1_3[Product],Table1_3[[#This Row],[Product]],Table1_3[Sales Person],Table1_3[[#This Row],[Sales Person]],Table1_3[Amount],"&lt;=100")&gt;=2,"Contract","Deal")</f>
        <v>Deal</v>
      </c>
    </row>
    <row r="221" spans="1:7" x14ac:dyDescent="0.3">
      <c r="A221" t="s">
        <v>31</v>
      </c>
      <c r="B221" t="s">
        <v>7</v>
      </c>
      <c r="C221" t="s">
        <v>59</v>
      </c>
      <c r="D221">
        <v>1652</v>
      </c>
      <c r="E221">
        <v>72</v>
      </c>
      <c r="F221" s="1">
        <v>44747</v>
      </c>
      <c r="G221" t="str">
        <f>IF(COUNTIFS(Table1_3[Country],Table1_3[[#This Row],[Country]],Table1_3[Product],Table1_3[[#This Row],[Product]],Table1_3[Sales Person],Table1_3[[#This Row],[Sales Person]],Table1_3[Amount],"&lt;=100")&gt;=2,"Contract","Deal")</f>
        <v>Deal</v>
      </c>
    </row>
    <row r="222" spans="1:7" x14ac:dyDescent="0.3">
      <c r="A222" t="s">
        <v>31</v>
      </c>
      <c r="B222" t="s">
        <v>7</v>
      </c>
      <c r="C222" t="s">
        <v>59</v>
      </c>
      <c r="D222">
        <v>1837.47</v>
      </c>
      <c r="E222">
        <v>77</v>
      </c>
      <c r="F222" s="1">
        <v>45112</v>
      </c>
      <c r="G222" t="str">
        <f>IF(COUNTIFS(Table1_3[Country],Table1_3[[#This Row],[Country]],Table1_3[Product],Table1_3[[#This Row],[Product]],Table1_3[Sales Person],Table1_3[[#This Row],[Sales Person]],Table1_3[Amount],"&lt;=100")&gt;=2,"Contract","Deal")</f>
        <v>Deal</v>
      </c>
    </row>
    <row r="223" spans="1:7" x14ac:dyDescent="0.3">
      <c r="A223" t="s">
        <v>31</v>
      </c>
      <c r="B223" t="s">
        <v>7</v>
      </c>
      <c r="C223" t="s">
        <v>59</v>
      </c>
      <c r="D223">
        <v>1959.22</v>
      </c>
      <c r="E223">
        <v>70</v>
      </c>
      <c r="F223" s="1">
        <v>45478</v>
      </c>
      <c r="G223" t="str">
        <f>IF(COUNTIFS(Table1_3[Country],Table1_3[[#This Row],[Country]],Table1_3[Product],Table1_3[[#This Row],[Product]],Table1_3[Sales Person],Table1_3[[#This Row],[Sales Person]],Table1_3[Amount],"&lt;=100")&gt;=2,"Contract","Deal")</f>
        <v>Deal</v>
      </c>
    </row>
    <row r="224" spans="1:7" x14ac:dyDescent="0.3">
      <c r="A224" t="s">
        <v>31</v>
      </c>
      <c r="B224" t="s">
        <v>32</v>
      </c>
      <c r="C224" t="s">
        <v>26</v>
      </c>
      <c r="D224">
        <v>13034</v>
      </c>
      <c r="E224">
        <v>117</v>
      </c>
      <c r="F224" s="1">
        <v>44665</v>
      </c>
      <c r="G224" t="str">
        <f>IF(COUNTIFS(Table1_3[Country],Table1_3[[#This Row],[Country]],Table1_3[Product],Table1_3[[#This Row],[Product]],Table1_3[Sales Person],Table1_3[[#This Row],[Sales Person]],Table1_3[Amount],"&lt;=100")&gt;=2,"Contract","Deal")</f>
        <v>Deal</v>
      </c>
    </row>
    <row r="225" spans="1:7" x14ac:dyDescent="0.3">
      <c r="A225" t="s">
        <v>31</v>
      </c>
      <c r="B225" t="s">
        <v>32</v>
      </c>
      <c r="C225" t="s">
        <v>26</v>
      </c>
      <c r="D225">
        <v>14604.67</v>
      </c>
      <c r="E225">
        <v>128</v>
      </c>
      <c r="F225" s="1">
        <v>45030</v>
      </c>
      <c r="G225" t="str">
        <f>IF(COUNTIFS(Table1_3[Country],Table1_3[[#This Row],[Country]],Table1_3[Product],Table1_3[[#This Row],[Product]],Table1_3[Sales Person],Table1_3[[#This Row],[Sales Person]],Table1_3[Amount],"&lt;=100")&gt;=2,"Contract","Deal")</f>
        <v>Deal</v>
      </c>
    </row>
    <row r="226" spans="1:7" x14ac:dyDescent="0.3">
      <c r="A226" t="s">
        <v>31</v>
      </c>
      <c r="B226" t="s">
        <v>32</v>
      </c>
      <c r="C226" t="s">
        <v>26</v>
      </c>
      <c r="D226">
        <v>15372.94</v>
      </c>
      <c r="E226">
        <v>124</v>
      </c>
      <c r="F226" s="1">
        <v>45396</v>
      </c>
      <c r="G226" t="str">
        <f>IF(COUNTIFS(Table1_3[Country],Table1_3[[#This Row],[Country]],Table1_3[Product],Table1_3[[#This Row],[Product]],Table1_3[Sales Person],Table1_3[[#This Row],[Sales Person]],Table1_3[Amount],"&lt;=100")&gt;=2,"Contract","Deal")</f>
        <v>Deal</v>
      </c>
    </row>
    <row r="227" spans="1:7" x14ac:dyDescent="0.3">
      <c r="A227" t="s">
        <v>31</v>
      </c>
      <c r="B227" t="s">
        <v>32</v>
      </c>
      <c r="C227" t="s">
        <v>11</v>
      </c>
      <c r="D227">
        <v>12761</v>
      </c>
      <c r="E227">
        <v>47</v>
      </c>
      <c r="F227" s="1">
        <v>44798</v>
      </c>
      <c r="G227" t="str">
        <f>IF(COUNTIFS(Table1_3[Country],Table1_3[[#This Row],[Country]],Table1_3[Product],Table1_3[[#This Row],[Product]],Table1_3[Sales Person],Table1_3[[#This Row],[Sales Person]],Table1_3[Amount],"&lt;=100")&gt;=2,"Contract","Deal")</f>
        <v>Deal</v>
      </c>
    </row>
    <row r="228" spans="1:7" x14ac:dyDescent="0.3">
      <c r="A228" t="s">
        <v>31</v>
      </c>
      <c r="B228" t="s">
        <v>32</v>
      </c>
      <c r="C228" t="s">
        <v>11</v>
      </c>
      <c r="D228">
        <v>14566.22</v>
      </c>
      <c r="E228">
        <v>45</v>
      </c>
      <c r="F228" s="1">
        <v>45163</v>
      </c>
      <c r="G228" t="str">
        <f>IF(COUNTIFS(Table1_3[Country],Table1_3[[#This Row],[Country]],Table1_3[Product],Table1_3[[#This Row],[Product]],Table1_3[Sales Person],Table1_3[[#This Row],[Sales Person]],Table1_3[Amount],"&lt;=100")&gt;=2,"Contract","Deal")</f>
        <v>Deal</v>
      </c>
    </row>
    <row r="229" spans="1:7" x14ac:dyDescent="0.3">
      <c r="A229" t="s">
        <v>31</v>
      </c>
      <c r="B229" t="s">
        <v>32</v>
      </c>
      <c r="C229" t="s">
        <v>11</v>
      </c>
      <c r="D229">
        <v>13497.17</v>
      </c>
      <c r="E229">
        <v>49</v>
      </c>
      <c r="F229" s="1">
        <v>45529</v>
      </c>
      <c r="G229" t="str">
        <f>IF(COUNTIFS(Table1_3[Country],Table1_3[[#This Row],[Country]],Table1_3[Product],Table1_3[[#This Row],[Product]],Table1_3[Sales Person],Table1_3[[#This Row],[Sales Person]],Table1_3[Amount],"&lt;=100")&gt;=2,"Contract","Deal")</f>
        <v>Deal</v>
      </c>
    </row>
    <row r="230" spans="1:7" x14ac:dyDescent="0.3">
      <c r="A230" t="s">
        <v>31</v>
      </c>
      <c r="B230" t="s">
        <v>32</v>
      </c>
      <c r="C230" t="s">
        <v>65</v>
      </c>
      <c r="D230">
        <v>385</v>
      </c>
      <c r="E230">
        <v>78</v>
      </c>
      <c r="F230" s="1">
        <v>44595</v>
      </c>
      <c r="G230" t="str">
        <f>IF(COUNTIFS(Table1_3[Country],Table1_3[[#This Row],[Country]],Table1_3[Product],Table1_3[[#This Row],[Product]],Table1_3[Sales Person],Table1_3[[#This Row],[Sales Person]],Table1_3[Amount],"&lt;=100")&gt;=2,"Contract","Deal")</f>
        <v>Deal</v>
      </c>
    </row>
    <row r="231" spans="1:7" x14ac:dyDescent="0.3">
      <c r="A231" t="s">
        <v>31</v>
      </c>
      <c r="B231" t="s">
        <v>32</v>
      </c>
      <c r="C231" t="s">
        <v>65</v>
      </c>
      <c r="D231">
        <v>430.59</v>
      </c>
      <c r="E231">
        <v>85</v>
      </c>
      <c r="F231" s="1">
        <v>44960</v>
      </c>
      <c r="G231" t="str">
        <f>IF(COUNTIFS(Table1_3[Country],Table1_3[[#This Row],[Country]],Table1_3[Product],Table1_3[[#This Row],[Product]],Table1_3[Sales Person],Table1_3[[#This Row],[Sales Person]],Table1_3[Amount],"&lt;=100")&gt;=2,"Contract","Deal")</f>
        <v>Deal</v>
      </c>
    </row>
    <row r="232" spans="1:7" x14ac:dyDescent="0.3">
      <c r="A232" t="s">
        <v>31</v>
      </c>
      <c r="B232" t="s">
        <v>32</v>
      </c>
      <c r="C232" t="s">
        <v>65</v>
      </c>
      <c r="D232">
        <v>434.42</v>
      </c>
      <c r="E232">
        <v>83</v>
      </c>
      <c r="F232" s="1">
        <v>45325</v>
      </c>
      <c r="G232" t="str">
        <f>IF(COUNTIFS(Table1_3[Country],Table1_3[[#This Row],[Country]],Table1_3[Product],Table1_3[[#This Row],[Product]],Table1_3[Sales Person],Table1_3[[#This Row],[Sales Person]],Table1_3[Amount],"&lt;=100")&gt;=2,"Contract","Deal")</f>
        <v>Deal</v>
      </c>
    </row>
    <row r="233" spans="1:7" x14ac:dyDescent="0.3">
      <c r="A233" t="s">
        <v>31</v>
      </c>
      <c r="B233" t="s">
        <v>32</v>
      </c>
      <c r="C233" t="s">
        <v>90</v>
      </c>
      <c r="D233">
        <v>3318</v>
      </c>
      <c r="E233">
        <v>299</v>
      </c>
      <c r="F233" s="1">
        <v>44649</v>
      </c>
      <c r="G233" t="str">
        <f>IF(COUNTIFS(Table1_3[Country],Table1_3[[#This Row],[Country]],Table1_3[Product],Table1_3[[#This Row],[Product]],Table1_3[Sales Person],Table1_3[[#This Row],[Sales Person]],Table1_3[Amount],"&lt;=100")&gt;=2,"Contract","Deal")</f>
        <v>Deal</v>
      </c>
    </row>
    <row r="234" spans="1:7" x14ac:dyDescent="0.3">
      <c r="A234" t="s">
        <v>31</v>
      </c>
      <c r="B234" t="s">
        <v>32</v>
      </c>
      <c r="C234" t="s">
        <v>90</v>
      </c>
      <c r="D234">
        <v>3407.61</v>
      </c>
      <c r="E234">
        <v>316</v>
      </c>
      <c r="F234" s="1">
        <v>45014</v>
      </c>
      <c r="G234" t="str">
        <f>IF(COUNTIFS(Table1_3[Country],Table1_3[[#This Row],[Country]],Table1_3[Product],Table1_3[[#This Row],[Product]],Table1_3[Sales Person],Table1_3[[#This Row],[Sales Person]],Table1_3[Amount],"&lt;=100")&gt;=2,"Contract","Deal")</f>
        <v>Deal</v>
      </c>
    </row>
    <row r="235" spans="1:7" x14ac:dyDescent="0.3">
      <c r="A235" t="s">
        <v>31</v>
      </c>
      <c r="B235" t="s">
        <v>32</v>
      </c>
      <c r="C235" t="s">
        <v>90</v>
      </c>
      <c r="D235">
        <v>3917.13</v>
      </c>
      <c r="E235">
        <v>287</v>
      </c>
      <c r="F235" s="1">
        <v>45380</v>
      </c>
      <c r="G235" t="str">
        <f>IF(COUNTIFS(Table1_3[Country],Table1_3[[#This Row],[Country]],Table1_3[Product],Table1_3[[#This Row],[Product]],Table1_3[Sales Person],Table1_3[[#This Row],[Sales Person]],Table1_3[Amount],"&lt;=100")&gt;=2,"Contract","Deal")</f>
        <v>Deal</v>
      </c>
    </row>
    <row r="236" spans="1:7" x14ac:dyDescent="0.3">
      <c r="A236" t="s">
        <v>31</v>
      </c>
      <c r="B236" t="s">
        <v>32</v>
      </c>
      <c r="C236" t="s">
        <v>57</v>
      </c>
      <c r="D236">
        <v>9058</v>
      </c>
      <c r="E236">
        <v>46</v>
      </c>
      <c r="F236" s="1">
        <v>44589</v>
      </c>
      <c r="G236" t="str">
        <f>IF(COUNTIFS(Table1_3[Country],Table1_3[[#This Row],[Country]],Table1_3[Product],Table1_3[[#This Row],[Product]],Table1_3[Sales Person],Table1_3[[#This Row],[Sales Person]],Table1_3[Amount],"&lt;=100")&gt;=2,"Contract","Deal")</f>
        <v>Deal</v>
      </c>
    </row>
    <row r="237" spans="1:7" x14ac:dyDescent="0.3">
      <c r="A237" t="s">
        <v>31</v>
      </c>
      <c r="B237" t="s">
        <v>32</v>
      </c>
      <c r="C237" t="s">
        <v>57</v>
      </c>
      <c r="D237">
        <v>9370.61</v>
      </c>
      <c r="E237">
        <v>45</v>
      </c>
      <c r="F237" s="1">
        <v>44954</v>
      </c>
      <c r="G237" t="str">
        <f>IF(COUNTIFS(Table1_3[Country],Table1_3[[#This Row],[Country]],Table1_3[Product],Table1_3[[#This Row],[Product]],Table1_3[Sales Person],Table1_3[[#This Row],[Sales Person]],Table1_3[Amount],"&lt;=100")&gt;=2,"Contract","Deal")</f>
        <v>Deal</v>
      </c>
    </row>
    <row r="238" spans="1:7" x14ac:dyDescent="0.3">
      <c r="A238" t="s">
        <v>31</v>
      </c>
      <c r="B238" t="s">
        <v>32</v>
      </c>
      <c r="C238" t="s">
        <v>57</v>
      </c>
      <c r="D238">
        <v>9617.64</v>
      </c>
      <c r="E238">
        <v>44</v>
      </c>
      <c r="F238" s="1">
        <v>45319</v>
      </c>
      <c r="G238" t="str">
        <f>IF(COUNTIFS(Table1_3[Country],Table1_3[[#This Row],[Country]],Table1_3[Product],Table1_3[[#This Row],[Product]],Table1_3[Sales Person],Table1_3[[#This Row],[Sales Person]],Table1_3[Amount],"&lt;=100")&gt;=2,"Contract","Deal")</f>
        <v>Deal</v>
      </c>
    </row>
    <row r="239" spans="1:7" x14ac:dyDescent="0.3">
      <c r="A239" t="s">
        <v>31</v>
      </c>
      <c r="B239" t="s">
        <v>32</v>
      </c>
      <c r="C239" t="s">
        <v>33</v>
      </c>
      <c r="D239">
        <v>3703</v>
      </c>
      <c r="E239">
        <v>11</v>
      </c>
      <c r="F239" s="1">
        <v>44630</v>
      </c>
      <c r="G239" t="str">
        <f>IF(COUNTIFS(Table1_3[Country],Table1_3[[#This Row],[Country]],Table1_3[Product],Table1_3[[#This Row],[Product]],Table1_3[Sales Person],Table1_3[[#This Row],[Sales Person]],Table1_3[Amount],"&lt;=100")&gt;=2,"Contract","Deal")</f>
        <v>Deal</v>
      </c>
    </row>
    <row r="240" spans="1:7" x14ac:dyDescent="0.3">
      <c r="A240" t="s">
        <v>31</v>
      </c>
      <c r="B240" t="s">
        <v>32</v>
      </c>
      <c r="C240" t="s">
        <v>33</v>
      </c>
      <c r="D240">
        <v>4254.37</v>
      </c>
      <c r="E240">
        <v>12</v>
      </c>
      <c r="F240" s="1">
        <v>44995</v>
      </c>
      <c r="G240" t="str">
        <f>IF(COUNTIFS(Table1_3[Country],Table1_3[[#This Row],[Country]],Table1_3[Product],Table1_3[[#This Row],[Product]],Table1_3[Sales Person],Table1_3[[#This Row],[Sales Person]],Table1_3[Amount],"&lt;=100")&gt;=2,"Contract","Deal")</f>
        <v>Deal</v>
      </c>
    </row>
    <row r="241" spans="1:7" x14ac:dyDescent="0.3">
      <c r="A241" t="s">
        <v>31</v>
      </c>
      <c r="B241" t="s">
        <v>32</v>
      </c>
      <c r="C241" t="s">
        <v>33</v>
      </c>
      <c r="D241">
        <v>4244.3599999999997</v>
      </c>
      <c r="E241">
        <v>11</v>
      </c>
      <c r="F241" s="1">
        <v>45361</v>
      </c>
      <c r="G241" t="str">
        <f>IF(COUNTIFS(Table1_3[Country],Table1_3[[#This Row],[Country]],Table1_3[Product],Table1_3[[#This Row],[Product]],Table1_3[Sales Person],Table1_3[[#This Row],[Sales Person]],Table1_3[Amount],"&lt;=100")&gt;=2,"Contract","Deal")</f>
        <v>Deal</v>
      </c>
    </row>
    <row r="242" spans="1:7" x14ac:dyDescent="0.3">
      <c r="A242" t="s">
        <v>31</v>
      </c>
      <c r="B242" t="s">
        <v>32</v>
      </c>
      <c r="C242" t="s">
        <v>73</v>
      </c>
      <c r="D242">
        <v>9282</v>
      </c>
      <c r="E242">
        <v>101</v>
      </c>
      <c r="F242" s="1">
        <v>44663</v>
      </c>
      <c r="G242" t="str">
        <f>IF(COUNTIFS(Table1_3[Country],Table1_3[[#This Row],[Country]],Table1_3[Product],Table1_3[[#This Row],[Product]],Table1_3[Sales Person],Table1_3[[#This Row],[Sales Person]],Table1_3[Amount],"&lt;=100")&gt;=2,"Contract","Deal")</f>
        <v>Deal</v>
      </c>
    </row>
    <row r="243" spans="1:7" x14ac:dyDescent="0.3">
      <c r="A243" t="s">
        <v>31</v>
      </c>
      <c r="B243" t="s">
        <v>32</v>
      </c>
      <c r="C243" t="s">
        <v>73</v>
      </c>
      <c r="D243">
        <v>10102.86</v>
      </c>
      <c r="E243">
        <v>107</v>
      </c>
      <c r="F243" s="1">
        <v>45028</v>
      </c>
      <c r="G243" t="str">
        <f>IF(COUNTIFS(Table1_3[Country],Table1_3[[#This Row],[Country]],Table1_3[Product],Table1_3[[#This Row],[Product]],Table1_3[Sales Person],Table1_3[[#This Row],[Sales Person]],Table1_3[Amount],"&lt;=100")&gt;=2,"Contract","Deal")</f>
        <v>Deal</v>
      </c>
    </row>
    <row r="244" spans="1:7" x14ac:dyDescent="0.3">
      <c r="A244" t="s">
        <v>31</v>
      </c>
      <c r="B244" t="s">
        <v>32</v>
      </c>
      <c r="C244" t="s">
        <v>73</v>
      </c>
      <c r="D244">
        <v>9876.86</v>
      </c>
      <c r="E244">
        <v>106</v>
      </c>
      <c r="F244" s="1">
        <v>45394</v>
      </c>
      <c r="G244" t="str">
        <f>IF(COUNTIFS(Table1_3[Country],Table1_3[[#This Row],[Country]],Table1_3[Product],Table1_3[[#This Row],[Product]],Table1_3[Sales Person],Table1_3[[#This Row],[Sales Person]],Table1_3[Amount],"&lt;=100")&gt;=2,"Contract","Deal")</f>
        <v>Deal</v>
      </c>
    </row>
    <row r="245" spans="1:7" x14ac:dyDescent="0.3">
      <c r="A245" t="s">
        <v>31</v>
      </c>
      <c r="B245" t="s">
        <v>32</v>
      </c>
      <c r="C245" t="s">
        <v>59</v>
      </c>
      <c r="D245">
        <v>7420</v>
      </c>
      <c r="E245">
        <v>163</v>
      </c>
      <c r="F245" s="1">
        <v>44686</v>
      </c>
      <c r="G245" t="str">
        <f>IF(COUNTIFS(Table1_3[Country],Table1_3[[#This Row],[Country]],Table1_3[Product],Table1_3[[#This Row],[Product]],Table1_3[Sales Person],Table1_3[[#This Row],[Sales Person]],Table1_3[Amount],"&lt;=100")&gt;=2,"Contract","Deal")</f>
        <v>Deal</v>
      </c>
    </row>
    <row r="246" spans="1:7" x14ac:dyDescent="0.3">
      <c r="A246" t="s">
        <v>31</v>
      </c>
      <c r="B246" t="s">
        <v>32</v>
      </c>
      <c r="C246" t="s">
        <v>59</v>
      </c>
      <c r="D246">
        <v>7900.52</v>
      </c>
      <c r="E246">
        <v>175</v>
      </c>
      <c r="F246" s="1">
        <v>45051</v>
      </c>
      <c r="G246" t="str">
        <f>IF(COUNTIFS(Table1_3[Country],Table1_3[[#This Row],[Country]],Table1_3[Product],Table1_3[[#This Row],[Product]],Table1_3[Sales Person],Table1_3[[#This Row],[Sales Person]],Table1_3[Amount],"&lt;=100")&gt;=2,"Contract","Deal")</f>
        <v>Deal</v>
      </c>
    </row>
    <row r="247" spans="1:7" x14ac:dyDescent="0.3">
      <c r="A247" t="s">
        <v>31</v>
      </c>
      <c r="B247" t="s">
        <v>32</v>
      </c>
      <c r="C247" t="s">
        <v>59</v>
      </c>
      <c r="D247">
        <v>8523.42</v>
      </c>
      <c r="E247">
        <v>171</v>
      </c>
      <c r="F247" s="1">
        <v>45417</v>
      </c>
      <c r="G247" t="str">
        <f>IF(COUNTIFS(Table1_3[Country],Table1_3[[#This Row],[Country]],Table1_3[Product],Table1_3[[#This Row],[Product]],Table1_3[Sales Person],Table1_3[[#This Row],[Sales Person]],Table1_3[Amount],"&lt;=100")&gt;=2,"Contract","Deal")</f>
        <v>Deal</v>
      </c>
    </row>
    <row r="248" spans="1:7" x14ac:dyDescent="0.3">
      <c r="A248" t="s">
        <v>41</v>
      </c>
      <c r="B248" t="s">
        <v>15</v>
      </c>
      <c r="C248" t="s">
        <v>26</v>
      </c>
      <c r="D248">
        <v>700</v>
      </c>
      <c r="E248">
        <v>457</v>
      </c>
      <c r="F248" s="1">
        <v>44697</v>
      </c>
      <c r="G248" t="str">
        <f>IF(COUNTIFS(Table1_3[Country],Table1_3[[#This Row],[Country]],Table1_3[Product],Table1_3[[#This Row],[Product]],Table1_3[Sales Person],Table1_3[[#This Row],[Sales Person]],Table1_3[Amount],"&lt;=100")&gt;=2,"Contract","Deal")</f>
        <v>Deal</v>
      </c>
    </row>
    <row r="249" spans="1:7" x14ac:dyDescent="0.3">
      <c r="A249" t="s">
        <v>41</v>
      </c>
      <c r="B249" t="s">
        <v>15</v>
      </c>
      <c r="C249" t="s">
        <v>26</v>
      </c>
      <c r="D249">
        <v>725.16</v>
      </c>
      <c r="E249">
        <v>453</v>
      </c>
      <c r="F249" s="1">
        <v>45062</v>
      </c>
      <c r="G249" t="str">
        <f>IF(COUNTIFS(Table1_3[Country],Table1_3[[#This Row],[Country]],Table1_3[Product],Table1_3[[#This Row],[Product]],Table1_3[Sales Person],Table1_3[[#This Row],[Sales Person]],Table1_3[Amount],"&lt;=100")&gt;=2,"Contract","Deal")</f>
        <v>Deal</v>
      </c>
    </row>
    <row r="250" spans="1:7" x14ac:dyDescent="0.3">
      <c r="A250" t="s">
        <v>41</v>
      </c>
      <c r="B250" t="s">
        <v>15</v>
      </c>
      <c r="C250" t="s">
        <v>26</v>
      </c>
      <c r="D250">
        <v>764.63</v>
      </c>
      <c r="E250">
        <v>441</v>
      </c>
      <c r="F250" s="1">
        <v>45428</v>
      </c>
      <c r="G250" t="str">
        <f>IF(COUNTIFS(Table1_3[Country],Table1_3[[#This Row],[Country]],Table1_3[Product],Table1_3[[#This Row],[Product]],Table1_3[Sales Person],Table1_3[[#This Row],[Sales Person]],Table1_3[Amount],"&lt;=100")&gt;=2,"Contract","Deal")</f>
        <v>Deal</v>
      </c>
    </row>
    <row r="251" spans="1:7" x14ac:dyDescent="0.3">
      <c r="A251" t="s">
        <v>41</v>
      </c>
      <c r="B251" t="s">
        <v>15</v>
      </c>
      <c r="C251" t="s">
        <v>87</v>
      </c>
      <c r="D251">
        <v>3192</v>
      </c>
      <c r="E251">
        <v>109</v>
      </c>
      <c r="F251" s="1">
        <v>44777</v>
      </c>
      <c r="G251" t="str">
        <f>IF(COUNTIFS(Table1_3[Country],Table1_3[[#This Row],[Country]],Table1_3[Product],Table1_3[[#This Row],[Product]],Table1_3[Sales Person],Table1_3[[#This Row],[Sales Person]],Table1_3[Amount],"&lt;=100")&gt;=2,"Contract","Deal")</f>
        <v>Deal</v>
      </c>
    </row>
    <row r="252" spans="1:7" x14ac:dyDescent="0.3">
      <c r="A252" t="s">
        <v>41</v>
      </c>
      <c r="B252" t="s">
        <v>15</v>
      </c>
      <c r="C252" t="s">
        <v>87</v>
      </c>
      <c r="D252">
        <v>3482.73</v>
      </c>
      <c r="E252">
        <v>108</v>
      </c>
      <c r="F252" s="1">
        <v>45142</v>
      </c>
      <c r="G252" t="str">
        <f>IF(COUNTIFS(Table1_3[Country],Table1_3[[#This Row],[Country]],Table1_3[Product],Table1_3[[#This Row],[Product]],Table1_3[Sales Person],Table1_3[[#This Row],[Sales Person]],Table1_3[Amount],"&lt;=100")&gt;=2,"Contract","Deal")</f>
        <v>Deal</v>
      </c>
    </row>
    <row r="253" spans="1:7" x14ac:dyDescent="0.3">
      <c r="A253" t="s">
        <v>41</v>
      </c>
      <c r="B253" t="s">
        <v>15</v>
      </c>
      <c r="C253" t="s">
        <v>87</v>
      </c>
      <c r="D253">
        <v>3360.74</v>
      </c>
      <c r="E253">
        <v>119</v>
      </c>
      <c r="F253" s="1">
        <v>45508</v>
      </c>
      <c r="G253" t="str">
        <f>IF(COUNTIFS(Table1_3[Country],Table1_3[[#This Row],[Country]],Table1_3[Product],Table1_3[[#This Row],[Product]],Table1_3[Sales Person],Table1_3[[#This Row],[Sales Person]],Table1_3[Amount],"&lt;=100")&gt;=2,"Contract","Deal")</f>
        <v>Deal</v>
      </c>
    </row>
    <row r="254" spans="1:7" x14ac:dyDescent="0.3">
      <c r="A254" t="s">
        <v>41</v>
      </c>
      <c r="B254" t="s">
        <v>15</v>
      </c>
      <c r="C254" t="s">
        <v>36</v>
      </c>
      <c r="D254">
        <v>1827</v>
      </c>
      <c r="E254">
        <v>6</v>
      </c>
      <c r="F254" s="1">
        <v>44732</v>
      </c>
      <c r="G254" t="str">
        <f>IF(COUNTIFS(Table1_3[Country],Table1_3[[#This Row],[Country]],Table1_3[Product],Table1_3[[#This Row],[Product]],Table1_3[Sales Person],Table1_3[[#This Row],[Sales Person]],Table1_3[Amount],"&lt;=100")&gt;=2,"Contract","Deal")</f>
        <v>Deal</v>
      </c>
    </row>
    <row r="255" spans="1:7" x14ac:dyDescent="0.3">
      <c r="A255" t="s">
        <v>41</v>
      </c>
      <c r="B255" t="s">
        <v>15</v>
      </c>
      <c r="C255" t="s">
        <v>36</v>
      </c>
      <c r="D255">
        <v>1835.42</v>
      </c>
      <c r="E255">
        <v>6</v>
      </c>
      <c r="F255" s="1">
        <v>45097</v>
      </c>
      <c r="G255" t="str">
        <f>IF(COUNTIFS(Table1_3[Country],Table1_3[[#This Row],[Country]],Table1_3[Product],Table1_3[[#This Row],[Product]],Table1_3[Sales Person],Table1_3[[#This Row],[Sales Person]],Table1_3[Amount],"&lt;=100")&gt;=2,"Contract","Deal")</f>
        <v>Deal</v>
      </c>
    </row>
    <row r="256" spans="1:7" x14ac:dyDescent="0.3">
      <c r="A256" t="s">
        <v>41</v>
      </c>
      <c r="B256" t="s">
        <v>15</v>
      </c>
      <c r="C256" t="s">
        <v>36</v>
      </c>
      <c r="D256">
        <v>2134.65</v>
      </c>
      <c r="E256">
        <v>6</v>
      </c>
      <c r="F256" s="1">
        <v>45463</v>
      </c>
      <c r="G256" t="str">
        <f>IF(COUNTIFS(Table1_3[Country],Table1_3[[#This Row],[Country]],Table1_3[Product],Table1_3[[#This Row],[Product]],Table1_3[Sales Person],Table1_3[[#This Row],[Sales Person]],Table1_3[Amount],"&lt;=100")&gt;=2,"Contract","Deal")</f>
        <v>Deal</v>
      </c>
    </row>
    <row r="257" spans="1:7" x14ac:dyDescent="0.3">
      <c r="A257" t="s">
        <v>41</v>
      </c>
      <c r="B257" t="s">
        <v>15</v>
      </c>
      <c r="C257" t="s">
        <v>57</v>
      </c>
      <c r="D257">
        <v>1435</v>
      </c>
      <c r="E257">
        <v>258</v>
      </c>
      <c r="F257" s="1">
        <v>44673</v>
      </c>
      <c r="G257" t="str">
        <f>IF(COUNTIFS(Table1_3[Country],Table1_3[[#This Row],[Country]],Table1_3[Product],Table1_3[[#This Row],[Product]],Table1_3[Sales Person],Table1_3[[#This Row],[Sales Person]],Table1_3[Amount],"&lt;=100")&gt;=2,"Contract","Deal")</f>
        <v>Deal</v>
      </c>
    </row>
    <row r="258" spans="1:7" x14ac:dyDescent="0.3">
      <c r="A258" t="s">
        <v>41</v>
      </c>
      <c r="B258" t="s">
        <v>15</v>
      </c>
      <c r="C258" t="s">
        <v>57</v>
      </c>
      <c r="D258">
        <v>1545.36</v>
      </c>
      <c r="E258">
        <v>269</v>
      </c>
      <c r="F258" s="1">
        <v>45038</v>
      </c>
      <c r="G258" t="str">
        <f>IF(COUNTIFS(Table1_3[Country],Table1_3[[#This Row],[Country]],Table1_3[Product],Table1_3[[#This Row],[Product]],Table1_3[Sales Person],Table1_3[[#This Row],[Sales Person]],Table1_3[Amount],"&lt;=100")&gt;=2,"Contract","Deal")</f>
        <v>Deal</v>
      </c>
    </row>
    <row r="259" spans="1:7" x14ac:dyDescent="0.3">
      <c r="A259" t="s">
        <v>41</v>
      </c>
      <c r="B259" t="s">
        <v>15</v>
      </c>
      <c r="C259" t="s">
        <v>57</v>
      </c>
      <c r="D259">
        <v>1718.97</v>
      </c>
      <c r="E259">
        <v>260</v>
      </c>
      <c r="F259" s="1">
        <v>45404</v>
      </c>
      <c r="G259" t="str">
        <f>IF(COUNTIFS(Table1_3[Country],Table1_3[[#This Row],[Country]],Table1_3[Product],Table1_3[[#This Row],[Product]],Table1_3[Sales Person],Table1_3[[#This Row],[Sales Person]],Table1_3[Amount],"&lt;=100")&gt;=2,"Contract","Deal")</f>
        <v>Deal</v>
      </c>
    </row>
    <row r="260" spans="1:7" x14ac:dyDescent="0.3">
      <c r="A260" t="s">
        <v>41</v>
      </c>
      <c r="B260" t="s">
        <v>15</v>
      </c>
      <c r="C260" t="s">
        <v>46</v>
      </c>
      <c r="D260">
        <v>735</v>
      </c>
      <c r="E260">
        <v>390</v>
      </c>
      <c r="F260" s="1">
        <v>44706</v>
      </c>
      <c r="G260" t="str">
        <f>IF(COUNTIFS(Table1_3[Country],Table1_3[[#This Row],[Country]],Table1_3[Product],Table1_3[[#This Row],[Product]],Table1_3[Sales Person],Table1_3[[#This Row],[Sales Person]],Table1_3[Amount],"&lt;=100")&gt;=2,"Contract","Deal")</f>
        <v>Deal</v>
      </c>
    </row>
    <row r="261" spans="1:7" x14ac:dyDescent="0.3">
      <c r="A261" t="s">
        <v>41</v>
      </c>
      <c r="B261" t="s">
        <v>15</v>
      </c>
      <c r="C261" t="s">
        <v>46</v>
      </c>
      <c r="D261">
        <v>793.17</v>
      </c>
      <c r="E261">
        <v>400</v>
      </c>
      <c r="F261" s="1">
        <v>45071</v>
      </c>
      <c r="G261" t="str">
        <f>IF(COUNTIFS(Table1_3[Country],Table1_3[[#This Row],[Country]],Table1_3[Product],Table1_3[[#This Row],[Product]],Table1_3[Sales Person],Table1_3[[#This Row],[Sales Person]],Table1_3[Amount],"&lt;=100")&gt;=2,"Contract","Deal")</f>
        <v>Deal</v>
      </c>
    </row>
    <row r="262" spans="1:7" x14ac:dyDescent="0.3">
      <c r="A262" t="s">
        <v>41</v>
      </c>
      <c r="B262" t="s">
        <v>15</v>
      </c>
      <c r="C262" t="s">
        <v>46</v>
      </c>
      <c r="D262">
        <v>770.45</v>
      </c>
      <c r="E262">
        <v>389</v>
      </c>
      <c r="F262" s="1">
        <v>45437</v>
      </c>
      <c r="G262" t="str">
        <f>IF(COUNTIFS(Table1_3[Country],Table1_3[[#This Row],[Country]],Table1_3[Product],Table1_3[[#This Row],[Product]],Table1_3[Sales Person],Table1_3[[#This Row],[Sales Person]],Table1_3[Amount],"&lt;=100")&gt;=2,"Contract","Deal")</f>
        <v>Deal</v>
      </c>
    </row>
    <row r="263" spans="1:7" x14ac:dyDescent="0.3">
      <c r="A263" t="s">
        <v>41</v>
      </c>
      <c r="B263" t="s">
        <v>15</v>
      </c>
      <c r="C263" t="s">
        <v>42</v>
      </c>
      <c r="D263">
        <v>6790</v>
      </c>
      <c r="E263">
        <v>356</v>
      </c>
      <c r="F263" s="1">
        <v>44587</v>
      </c>
      <c r="G263" t="str">
        <f>IF(COUNTIFS(Table1_3[Country],Table1_3[[#This Row],[Country]],Table1_3[Product],Table1_3[[#This Row],[Product]],Table1_3[Sales Person],Table1_3[[#This Row],[Sales Person]],Table1_3[Amount],"&lt;=100")&gt;=2,"Contract","Deal")</f>
        <v>Deal</v>
      </c>
    </row>
    <row r="264" spans="1:7" x14ac:dyDescent="0.3">
      <c r="A264" t="s">
        <v>41</v>
      </c>
      <c r="B264" t="s">
        <v>15</v>
      </c>
      <c r="C264" t="s">
        <v>42</v>
      </c>
      <c r="D264">
        <v>7807.74</v>
      </c>
      <c r="E264">
        <v>355</v>
      </c>
      <c r="F264" s="1">
        <v>44952</v>
      </c>
      <c r="G264" t="str">
        <f>IF(COUNTIFS(Table1_3[Country],Table1_3[[#This Row],[Country]],Table1_3[Product],Table1_3[[#This Row],[Product]],Table1_3[Sales Person],Table1_3[[#This Row],[Sales Person]],Table1_3[Amount],"&lt;=100")&gt;=2,"Contract","Deal")</f>
        <v>Deal</v>
      </c>
    </row>
    <row r="265" spans="1:7" x14ac:dyDescent="0.3">
      <c r="A265" t="s">
        <v>41</v>
      </c>
      <c r="B265" t="s">
        <v>15</v>
      </c>
      <c r="C265" t="s">
        <v>42</v>
      </c>
      <c r="D265">
        <v>7271.76</v>
      </c>
      <c r="E265">
        <v>385</v>
      </c>
      <c r="F265" s="1">
        <v>45317</v>
      </c>
      <c r="G265" t="str">
        <f>IF(COUNTIFS(Table1_3[Country],Table1_3[[#This Row],[Country]],Table1_3[Product],Table1_3[[#This Row],[Product]],Table1_3[Sales Person],Table1_3[[#This Row],[Sales Person]],Table1_3[Amount],"&lt;=100")&gt;=2,"Contract","Deal")</f>
        <v>Deal</v>
      </c>
    </row>
    <row r="266" spans="1:7" x14ac:dyDescent="0.3">
      <c r="A266" t="s">
        <v>41</v>
      </c>
      <c r="B266" t="s">
        <v>15</v>
      </c>
      <c r="C266" t="s">
        <v>18</v>
      </c>
      <c r="D266">
        <v>10507</v>
      </c>
      <c r="E266">
        <v>467</v>
      </c>
      <c r="F266" s="1">
        <v>44586</v>
      </c>
      <c r="G266" t="str">
        <f>IF(COUNTIFS(Table1_3[Country],Table1_3[[#This Row],[Country]],Table1_3[Product],Table1_3[[#This Row],[Product]],Table1_3[Sales Person],Table1_3[[#This Row],[Sales Person]],Table1_3[Amount],"&lt;=100")&gt;=2,"Contract","Deal")</f>
        <v>Deal</v>
      </c>
    </row>
    <row r="267" spans="1:7" x14ac:dyDescent="0.3">
      <c r="A267" t="s">
        <v>41</v>
      </c>
      <c r="B267" t="s">
        <v>15</v>
      </c>
      <c r="C267" t="s">
        <v>18</v>
      </c>
      <c r="D267">
        <v>11682.62</v>
      </c>
      <c r="E267">
        <v>506</v>
      </c>
      <c r="F267" s="1">
        <v>44951</v>
      </c>
      <c r="G267" t="str">
        <f>IF(COUNTIFS(Table1_3[Country],Table1_3[[#This Row],[Country]],Table1_3[Product],Table1_3[[#This Row],[Product]],Table1_3[Sales Person],Table1_3[[#This Row],[Sales Person]],Table1_3[Amount],"&lt;=100")&gt;=2,"Contract","Deal")</f>
        <v>Deal</v>
      </c>
    </row>
    <row r="268" spans="1:7" x14ac:dyDescent="0.3">
      <c r="A268" t="s">
        <v>41</v>
      </c>
      <c r="B268" t="s">
        <v>15</v>
      </c>
      <c r="C268" t="s">
        <v>18</v>
      </c>
      <c r="D268">
        <v>11533.35</v>
      </c>
      <c r="E268">
        <v>491</v>
      </c>
      <c r="F268" s="1">
        <v>45316</v>
      </c>
      <c r="G268" t="str">
        <f>IF(COUNTIFS(Table1_3[Country],Table1_3[[#This Row],[Country]],Table1_3[Product],Table1_3[[#This Row],[Product]],Table1_3[Sales Person],Table1_3[[#This Row],[Sales Person]],Table1_3[Amount],"&lt;=100")&gt;=2,"Contract","Deal")</f>
        <v>Deal</v>
      </c>
    </row>
    <row r="269" spans="1:7" x14ac:dyDescent="0.3">
      <c r="A269" t="s">
        <v>41</v>
      </c>
      <c r="B269" t="s">
        <v>15</v>
      </c>
      <c r="C269" t="s">
        <v>59</v>
      </c>
      <c r="D269">
        <v>2240</v>
      </c>
      <c r="E269">
        <v>166</v>
      </c>
      <c r="F269" s="1">
        <v>44739</v>
      </c>
      <c r="G269" t="str">
        <f>IF(COUNTIFS(Table1_3[Country],Table1_3[[#This Row],[Country]],Table1_3[Product],Table1_3[[#This Row],[Product]],Table1_3[Sales Person],Table1_3[[#This Row],[Sales Person]],Table1_3[Amount],"&lt;=100")&gt;=2,"Contract","Deal")</f>
        <v>Deal</v>
      </c>
    </row>
    <row r="270" spans="1:7" x14ac:dyDescent="0.3">
      <c r="A270" t="s">
        <v>41</v>
      </c>
      <c r="B270" t="s">
        <v>15</v>
      </c>
      <c r="C270" t="s">
        <v>59</v>
      </c>
      <c r="D270">
        <v>2379.0100000000002</v>
      </c>
      <c r="E270">
        <v>178</v>
      </c>
      <c r="F270" s="1">
        <v>45104</v>
      </c>
      <c r="G270" t="str">
        <f>IF(COUNTIFS(Table1_3[Country],Table1_3[[#This Row],[Country]],Table1_3[Product],Table1_3[[#This Row],[Product]],Table1_3[Sales Person],Table1_3[[#This Row],[Sales Person]],Table1_3[Amount],"&lt;=100")&gt;=2,"Contract","Deal")</f>
        <v>Deal</v>
      </c>
    </row>
    <row r="271" spans="1:7" x14ac:dyDescent="0.3">
      <c r="A271" t="s">
        <v>41</v>
      </c>
      <c r="B271" t="s">
        <v>15</v>
      </c>
      <c r="C271" t="s">
        <v>59</v>
      </c>
      <c r="D271">
        <v>2659.78</v>
      </c>
      <c r="E271">
        <v>178</v>
      </c>
      <c r="F271" s="1">
        <v>45470</v>
      </c>
      <c r="G271" t="str">
        <f>IF(COUNTIFS(Table1_3[Country],Table1_3[[#This Row],[Country]],Table1_3[Product],Table1_3[[#This Row],[Product]],Table1_3[Sales Person],Table1_3[[#This Row],[Sales Person]],Table1_3[Amount],"&lt;=100")&gt;=2,"Contract","Deal")</f>
        <v>Deal</v>
      </c>
    </row>
    <row r="272" spans="1:7" x14ac:dyDescent="0.3">
      <c r="A272" t="s">
        <v>41</v>
      </c>
      <c r="B272" t="s">
        <v>35</v>
      </c>
      <c r="C272" t="s">
        <v>11</v>
      </c>
      <c r="D272">
        <v>6139</v>
      </c>
      <c r="E272">
        <v>45</v>
      </c>
      <c r="F272" s="1">
        <v>44608</v>
      </c>
      <c r="G272" t="str">
        <f>IF(COUNTIFS(Table1_3[Country],Table1_3[[#This Row],[Country]],Table1_3[Product],Table1_3[[#This Row],[Product]],Table1_3[Sales Person],Table1_3[[#This Row],[Sales Person]],Table1_3[Amount],"&lt;=100")&gt;=2,"Contract","Deal")</f>
        <v>Deal</v>
      </c>
    </row>
    <row r="273" spans="1:7" x14ac:dyDescent="0.3">
      <c r="A273" t="s">
        <v>41</v>
      </c>
      <c r="B273" t="s">
        <v>35</v>
      </c>
      <c r="C273" t="s">
        <v>11</v>
      </c>
      <c r="D273">
        <v>6393.2</v>
      </c>
      <c r="E273">
        <v>44</v>
      </c>
      <c r="F273" s="1">
        <v>44973</v>
      </c>
      <c r="G273" t="str">
        <f>IF(COUNTIFS(Table1_3[Country],Table1_3[[#This Row],[Country]],Table1_3[Product],Table1_3[[#This Row],[Product]],Table1_3[Sales Person],Table1_3[[#This Row],[Sales Person]],Table1_3[Amount],"&lt;=100")&gt;=2,"Contract","Deal")</f>
        <v>Deal</v>
      </c>
    </row>
    <row r="274" spans="1:7" x14ac:dyDescent="0.3">
      <c r="A274" t="s">
        <v>41</v>
      </c>
      <c r="B274" t="s">
        <v>35</v>
      </c>
      <c r="C274" t="s">
        <v>11</v>
      </c>
      <c r="D274">
        <v>6829.86</v>
      </c>
      <c r="E274">
        <v>46</v>
      </c>
      <c r="F274" s="1">
        <v>45338</v>
      </c>
      <c r="G274" t="str">
        <f>IF(COUNTIFS(Table1_3[Country],Table1_3[[#This Row],[Country]],Table1_3[Product],Table1_3[[#This Row],[Product]],Table1_3[Sales Person],Table1_3[[#This Row],[Sales Person]],Table1_3[Amount],"&lt;=100")&gt;=2,"Contract","Deal")</f>
        <v>Deal</v>
      </c>
    </row>
    <row r="275" spans="1:7" x14ac:dyDescent="0.3">
      <c r="A275" t="s">
        <v>41</v>
      </c>
      <c r="B275" t="s">
        <v>35</v>
      </c>
      <c r="C275" t="s">
        <v>87</v>
      </c>
      <c r="D275">
        <v>13447</v>
      </c>
      <c r="E275">
        <v>95</v>
      </c>
      <c r="F275" s="1">
        <v>44572</v>
      </c>
      <c r="G275" t="str">
        <f>IF(COUNTIFS(Table1_3[Country],Table1_3[[#This Row],[Country]],Table1_3[Product],Table1_3[[#This Row],[Product]],Table1_3[Sales Person],Table1_3[[#This Row],[Sales Person]],Table1_3[Amount],"&lt;=100")&gt;=2,"Contract","Deal")</f>
        <v>Deal</v>
      </c>
    </row>
    <row r="276" spans="1:7" x14ac:dyDescent="0.3">
      <c r="A276" t="s">
        <v>41</v>
      </c>
      <c r="B276" t="s">
        <v>35</v>
      </c>
      <c r="C276" t="s">
        <v>87</v>
      </c>
      <c r="D276">
        <v>14625.75</v>
      </c>
      <c r="E276">
        <v>90</v>
      </c>
      <c r="F276" s="1">
        <v>44937</v>
      </c>
      <c r="G276" t="str">
        <f>IF(COUNTIFS(Table1_3[Country],Table1_3[[#This Row],[Country]],Table1_3[Product],Table1_3[[#This Row],[Product]],Table1_3[Sales Person],Table1_3[[#This Row],[Sales Person]],Table1_3[Amount],"&lt;=100")&gt;=2,"Contract","Deal")</f>
        <v>Deal</v>
      </c>
    </row>
    <row r="277" spans="1:7" x14ac:dyDescent="0.3">
      <c r="A277" t="s">
        <v>41</v>
      </c>
      <c r="B277" t="s">
        <v>35</v>
      </c>
      <c r="C277" t="s">
        <v>87</v>
      </c>
      <c r="D277">
        <v>15305.32</v>
      </c>
      <c r="E277">
        <v>91</v>
      </c>
      <c r="F277" s="1">
        <v>45302</v>
      </c>
      <c r="G277" t="str">
        <f>IF(COUNTIFS(Table1_3[Country],Table1_3[[#This Row],[Country]],Table1_3[Product],Table1_3[[#This Row],[Product]],Table1_3[Sales Person],Table1_3[[#This Row],[Sales Person]],Table1_3[Amount],"&lt;=100")&gt;=2,"Contract","Deal")</f>
        <v>Deal</v>
      </c>
    </row>
    <row r="278" spans="1:7" x14ac:dyDescent="0.3">
      <c r="A278" t="s">
        <v>41</v>
      </c>
      <c r="B278" t="s">
        <v>35</v>
      </c>
      <c r="C278" t="s">
        <v>38</v>
      </c>
      <c r="D278">
        <v>994</v>
      </c>
      <c r="E278">
        <v>118</v>
      </c>
      <c r="F278" s="1">
        <v>44747</v>
      </c>
      <c r="G278" t="str">
        <f>IF(COUNTIFS(Table1_3[Country],Table1_3[[#This Row],[Country]],Table1_3[Product],Table1_3[[#This Row],[Product]],Table1_3[Sales Person],Table1_3[[#This Row],[Sales Person]],Table1_3[Amount],"&lt;=100")&gt;=2,"Contract","Deal")</f>
        <v>Deal</v>
      </c>
    </row>
    <row r="279" spans="1:7" x14ac:dyDescent="0.3">
      <c r="A279" t="s">
        <v>41</v>
      </c>
      <c r="B279" t="s">
        <v>35</v>
      </c>
      <c r="C279" t="s">
        <v>38</v>
      </c>
      <c r="D279">
        <v>1093.46</v>
      </c>
      <c r="E279">
        <v>115</v>
      </c>
      <c r="F279" s="1">
        <v>45112</v>
      </c>
      <c r="G279" t="str">
        <f>IF(COUNTIFS(Table1_3[Country],Table1_3[[#This Row],[Country]],Table1_3[Product],Table1_3[[#This Row],[Product]],Table1_3[Sales Person],Table1_3[[#This Row],[Sales Person]],Table1_3[Amount],"&lt;=100")&gt;=2,"Contract","Deal")</f>
        <v>Deal</v>
      </c>
    </row>
    <row r="280" spans="1:7" x14ac:dyDescent="0.3">
      <c r="A280" t="s">
        <v>41</v>
      </c>
      <c r="B280" t="s">
        <v>35</v>
      </c>
      <c r="C280" t="s">
        <v>38</v>
      </c>
      <c r="D280">
        <v>1172.53</v>
      </c>
      <c r="E280">
        <v>124</v>
      </c>
      <c r="F280" s="1">
        <v>45478</v>
      </c>
      <c r="G280" t="str">
        <f>IF(COUNTIFS(Table1_3[Country],Table1_3[[#This Row],[Country]],Table1_3[Product],Table1_3[[#This Row],[Product]],Table1_3[Sales Person],Table1_3[[#This Row],[Sales Person]],Table1_3[Amount],"&lt;=100")&gt;=2,"Contract","Deal")</f>
        <v>Deal</v>
      </c>
    </row>
    <row r="281" spans="1:7" x14ac:dyDescent="0.3">
      <c r="A281" t="s">
        <v>41</v>
      </c>
      <c r="B281" t="s">
        <v>35</v>
      </c>
      <c r="C281" t="s">
        <v>57</v>
      </c>
      <c r="D281">
        <v>10332</v>
      </c>
      <c r="E281">
        <v>180</v>
      </c>
      <c r="F281" s="1">
        <v>44606</v>
      </c>
      <c r="G281" t="str">
        <f>IF(COUNTIFS(Table1_3[Country],Table1_3[[#This Row],[Country]],Table1_3[Product],Table1_3[[#This Row],[Product]],Table1_3[Sales Person],Table1_3[[#This Row],[Sales Person]],Table1_3[Amount],"&lt;=100")&gt;=2,"Contract","Deal")</f>
        <v>Deal</v>
      </c>
    </row>
    <row r="282" spans="1:7" x14ac:dyDescent="0.3">
      <c r="A282" t="s">
        <v>41</v>
      </c>
      <c r="B282" t="s">
        <v>35</v>
      </c>
      <c r="C282" t="s">
        <v>57</v>
      </c>
      <c r="D282">
        <v>10644.74</v>
      </c>
      <c r="E282">
        <v>172</v>
      </c>
      <c r="F282" s="1">
        <v>44971</v>
      </c>
      <c r="G282" t="str">
        <f>IF(COUNTIFS(Table1_3[Country],Table1_3[[#This Row],[Country]],Table1_3[Product],Table1_3[[#This Row],[Product]],Table1_3[Sales Person],Table1_3[[#This Row],[Sales Person]],Table1_3[Amount],"&lt;=100")&gt;=2,"Contract","Deal")</f>
        <v>Deal</v>
      </c>
    </row>
    <row r="283" spans="1:7" x14ac:dyDescent="0.3">
      <c r="A283" t="s">
        <v>41</v>
      </c>
      <c r="B283" t="s">
        <v>35</v>
      </c>
      <c r="C283" t="s">
        <v>57</v>
      </c>
      <c r="D283">
        <v>12191.42</v>
      </c>
      <c r="E283">
        <v>177</v>
      </c>
      <c r="F283" s="1">
        <v>45336</v>
      </c>
      <c r="G283" t="str">
        <f>IF(COUNTIFS(Table1_3[Country],Table1_3[[#This Row],[Country]],Table1_3[Product],Table1_3[[#This Row],[Product]],Table1_3[Sales Person],Table1_3[[#This Row],[Sales Person]],Table1_3[Amount],"&lt;=100")&gt;=2,"Contract","Deal")</f>
        <v>Deal</v>
      </c>
    </row>
    <row r="284" spans="1:7" x14ac:dyDescent="0.3">
      <c r="A284" t="s">
        <v>41</v>
      </c>
      <c r="B284" t="s">
        <v>35</v>
      </c>
      <c r="C284" t="s">
        <v>46</v>
      </c>
      <c r="D284">
        <v>8799</v>
      </c>
      <c r="E284">
        <v>250</v>
      </c>
      <c r="F284" s="1">
        <v>44608</v>
      </c>
      <c r="G284" t="str">
        <f>IF(COUNTIFS(Table1_3[Country],Table1_3[[#This Row],[Country]],Table1_3[Product],Table1_3[[#This Row],[Product]],Table1_3[Sales Person],Table1_3[[#This Row],[Sales Person]],Table1_3[Amount],"&lt;=100")&gt;=2,"Contract","Deal")</f>
        <v>Deal</v>
      </c>
    </row>
    <row r="285" spans="1:7" x14ac:dyDescent="0.3">
      <c r="A285" t="s">
        <v>41</v>
      </c>
      <c r="B285" t="s">
        <v>35</v>
      </c>
      <c r="C285" t="s">
        <v>46</v>
      </c>
      <c r="D285">
        <v>9786.09</v>
      </c>
      <c r="E285">
        <v>248</v>
      </c>
      <c r="F285" s="1">
        <v>44973</v>
      </c>
      <c r="G285" t="str">
        <f>IF(COUNTIFS(Table1_3[Country],Table1_3[[#This Row],[Country]],Table1_3[Product],Table1_3[[#This Row],[Product]],Table1_3[Sales Person],Table1_3[[#This Row],[Sales Person]],Table1_3[Amount],"&lt;=100")&gt;=2,"Contract","Deal")</f>
        <v>Deal</v>
      </c>
    </row>
    <row r="286" spans="1:7" x14ac:dyDescent="0.3">
      <c r="A286" t="s">
        <v>41</v>
      </c>
      <c r="B286" t="s">
        <v>35</v>
      </c>
      <c r="C286" t="s">
        <v>46</v>
      </c>
      <c r="D286">
        <v>10137.790000000001</v>
      </c>
      <c r="E286">
        <v>250</v>
      </c>
      <c r="F286" s="1">
        <v>45338</v>
      </c>
      <c r="G286" t="str">
        <f>IF(COUNTIFS(Table1_3[Country],Table1_3[[#This Row],[Country]],Table1_3[Product],Table1_3[[#This Row],[Product]],Table1_3[Sales Person],Table1_3[[#This Row],[Sales Person]],Table1_3[Amount],"&lt;=100")&gt;=2,"Contract","Deal")</f>
        <v>Deal</v>
      </c>
    </row>
    <row r="287" spans="1:7" x14ac:dyDescent="0.3">
      <c r="A287" t="s">
        <v>41</v>
      </c>
      <c r="B287" t="s">
        <v>35</v>
      </c>
      <c r="C287" t="s">
        <v>33</v>
      </c>
      <c r="D287">
        <v>8722</v>
      </c>
      <c r="E287">
        <v>109</v>
      </c>
      <c r="F287" s="1">
        <v>44691</v>
      </c>
      <c r="G287" t="str">
        <f>IF(COUNTIFS(Table1_3[Country],Table1_3[[#This Row],[Country]],Table1_3[Product],Table1_3[[#This Row],[Product]],Table1_3[Sales Person],Table1_3[[#This Row],[Sales Person]],Table1_3[Amount],"&lt;=100")&gt;=2,"Contract","Deal")</f>
        <v>Deal</v>
      </c>
    </row>
    <row r="288" spans="1:7" x14ac:dyDescent="0.3">
      <c r="A288" t="s">
        <v>41</v>
      </c>
      <c r="B288" t="s">
        <v>35</v>
      </c>
      <c r="C288" t="s">
        <v>33</v>
      </c>
      <c r="D288">
        <v>9390.2800000000007</v>
      </c>
      <c r="E288">
        <v>104</v>
      </c>
      <c r="F288" s="1">
        <v>45056</v>
      </c>
      <c r="G288" t="str">
        <f>IF(COUNTIFS(Table1_3[Country],Table1_3[[#This Row],[Country]],Table1_3[Product],Table1_3[[#This Row],[Product]],Table1_3[Sales Person],Table1_3[[#This Row],[Sales Person]],Table1_3[Amount],"&lt;=100")&gt;=2,"Contract","Deal")</f>
        <v>Deal</v>
      </c>
    </row>
    <row r="289" spans="1:7" x14ac:dyDescent="0.3">
      <c r="A289" t="s">
        <v>41</v>
      </c>
      <c r="B289" t="s">
        <v>35</v>
      </c>
      <c r="C289" t="s">
        <v>33</v>
      </c>
      <c r="D289">
        <v>9321.64</v>
      </c>
      <c r="E289">
        <v>111</v>
      </c>
      <c r="F289" s="1">
        <v>45422</v>
      </c>
      <c r="G289" t="str">
        <f>IF(COUNTIFS(Table1_3[Country],Table1_3[[#This Row],[Country]],Table1_3[Product],Table1_3[[#This Row],[Product]],Table1_3[Sales Person],Table1_3[[#This Row],[Sales Person]],Table1_3[Amount],"&lt;=100")&gt;=2,"Contract","Deal")</f>
        <v>Deal</v>
      </c>
    </row>
    <row r="290" spans="1:7" x14ac:dyDescent="0.3">
      <c r="A290" t="s">
        <v>41</v>
      </c>
      <c r="B290" t="s">
        <v>35</v>
      </c>
      <c r="C290" t="s">
        <v>18</v>
      </c>
      <c r="D290">
        <v>14287</v>
      </c>
      <c r="E290">
        <v>370</v>
      </c>
      <c r="F290" s="1">
        <v>44620</v>
      </c>
      <c r="G290" t="str">
        <f>IF(COUNTIFS(Table1_3[Country],Table1_3[[#This Row],[Country]],Table1_3[Product],Table1_3[[#This Row],[Product]],Table1_3[Sales Person],Table1_3[[#This Row],[Sales Person]],Table1_3[Amount],"&lt;=100")&gt;=2,"Contract","Deal")</f>
        <v>Deal</v>
      </c>
    </row>
    <row r="291" spans="1:7" x14ac:dyDescent="0.3">
      <c r="A291" t="s">
        <v>41</v>
      </c>
      <c r="B291" t="s">
        <v>35</v>
      </c>
      <c r="C291" t="s">
        <v>18</v>
      </c>
      <c r="D291">
        <v>15507.29</v>
      </c>
      <c r="E291">
        <v>352</v>
      </c>
      <c r="F291" s="1">
        <v>44985</v>
      </c>
      <c r="G291" t="str">
        <f>IF(COUNTIFS(Table1_3[Country],Table1_3[[#This Row],[Country]],Table1_3[Product],Table1_3[[#This Row],[Product]],Table1_3[Sales Person],Table1_3[[#This Row],[Sales Person]],Table1_3[Amount],"&lt;=100")&gt;=2,"Contract","Deal")</f>
        <v>Deal</v>
      </c>
    </row>
    <row r="292" spans="1:7" x14ac:dyDescent="0.3">
      <c r="A292" t="s">
        <v>41</v>
      </c>
      <c r="B292" t="s">
        <v>35</v>
      </c>
      <c r="C292" t="s">
        <v>18</v>
      </c>
      <c r="D292">
        <v>16585.43</v>
      </c>
      <c r="E292">
        <v>388</v>
      </c>
      <c r="F292" s="1">
        <v>45350</v>
      </c>
      <c r="G292" t="str">
        <f>IF(COUNTIFS(Table1_3[Country],Table1_3[[#This Row],[Country]],Table1_3[Product],Table1_3[[#This Row],[Product]],Table1_3[Sales Person],Table1_3[[#This Row],[Sales Person]],Table1_3[Amount],"&lt;=100")&gt;=2,"Contract","Deal")</f>
        <v>Deal</v>
      </c>
    </row>
    <row r="293" spans="1:7" x14ac:dyDescent="0.3">
      <c r="A293" t="s">
        <v>41</v>
      </c>
      <c r="B293" t="s">
        <v>35</v>
      </c>
      <c r="C293" t="s">
        <v>59</v>
      </c>
      <c r="D293">
        <v>9275</v>
      </c>
      <c r="E293">
        <v>173</v>
      </c>
      <c r="F293" s="1">
        <v>44757</v>
      </c>
      <c r="G293" t="str">
        <f>IF(COUNTIFS(Table1_3[Country],Table1_3[[#This Row],[Country]],Table1_3[Product],Table1_3[[#This Row],[Product]],Table1_3[Sales Person],Table1_3[[#This Row],[Sales Person]],Table1_3[Amount],"&lt;=100")&gt;=2,"Contract","Deal")</f>
        <v>Deal</v>
      </c>
    </row>
    <row r="294" spans="1:7" x14ac:dyDescent="0.3">
      <c r="A294" t="s">
        <v>41</v>
      </c>
      <c r="B294" t="s">
        <v>35</v>
      </c>
      <c r="C294" t="s">
        <v>59</v>
      </c>
      <c r="D294">
        <v>9957.2000000000007</v>
      </c>
      <c r="E294">
        <v>185</v>
      </c>
      <c r="F294" s="1">
        <v>45122</v>
      </c>
      <c r="G294" t="str">
        <f>IF(COUNTIFS(Table1_3[Country],Table1_3[[#This Row],[Country]],Table1_3[Product],Table1_3[[#This Row],[Product]],Table1_3[Sales Person],Table1_3[[#This Row],[Sales Person]],Table1_3[Amount],"&lt;=100")&gt;=2,"Contract","Deal")</f>
        <v>Deal</v>
      </c>
    </row>
    <row r="295" spans="1:7" x14ac:dyDescent="0.3">
      <c r="A295" t="s">
        <v>41</v>
      </c>
      <c r="B295" t="s">
        <v>35</v>
      </c>
      <c r="C295" t="s">
        <v>59</v>
      </c>
      <c r="D295">
        <v>10573.29</v>
      </c>
      <c r="E295">
        <v>179</v>
      </c>
      <c r="F295" s="1">
        <v>45488</v>
      </c>
      <c r="G295" t="str">
        <f>IF(COUNTIFS(Table1_3[Country],Table1_3[[#This Row],[Country]],Table1_3[Product],Table1_3[[#This Row],[Product]],Table1_3[Sales Person],Table1_3[[#This Row],[Sales Person]],Table1_3[Amount],"&lt;=100")&gt;=2,"Contract","Deal")</f>
        <v>Deal</v>
      </c>
    </row>
    <row r="296" spans="1:7" x14ac:dyDescent="0.3">
      <c r="A296" t="s">
        <v>41</v>
      </c>
      <c r="B296" t="s">
        <v>10</v>
      </c>
      <c r="C296" t="s">
        <v>100</v>
      </c>
      <c r="D296">
        <v>448</v>
      </c>
      <c r="E296">
        <v>146</v>
      </c>
      <c r="F296" s="1">
        <v>44713</v>
      </c>
      <c r="G296" t="str">
        <f>IF(COUNTIFS(Table1_3[Country],Table1_3[[#This Row],[Country]],Table1_3[Product],Table1_3[[#This Row],[Product]],Table1_3[Sales Person],Table1_3[[#This Row],[Sales Person]],Table1_3[Amount],"&lt;=100")&gt;=2,"Contract","Deal")</f>
        <v>Deal</v>
      </c>
    </row>
    <row r="297" spans="1:7" x14ac:dyDescent="0.3">
      <c r="A297" t="s">
        <v>41</v>
      </c>
      <c r="B297" t="s">
        <v>10</v>
      </c>
      <c r="C297" t="s">
        <v>100</v>
      </c>
      <c r="D297">
        <v>467.19</v>
      </c>
      <c r="E297">
        <v>159</v>
      </c>
      <c r="F297" s="1">
        <v>45078</v>
      </c>
      <c r="G297" t="str">
        <f>IF(COUNTIFS(Table1_3[Country],Table1_3[[#This Row],[Country]],Table1_3[Product],Table1_3[[#This Row],[Product]],Table1_3[Sales Person],Table1_3[[#This Row],[Sales Person]],Table1_3[Amount],"&lt;=100")&gt;=2,"Contract","Deal")</f>
        <v>Deal</v>
      </c>
    </row>
    <row r="298" spans="1:7" x14ac:dyDescent="0.3">
      <c r="A298" t="s">
        <v>41</v>
      </c>
      <c r="B298" t="s">
        <v>10</v>
      </c>
      <c r="C298" t="s">
        <v>100</v>
      </c>
      <c r="D298">
        <v>495.65</v>
      </c>
      <c r="E298">
        <v>146</v>
      </c>
      <c r="F298" s="1">
        <v>45444</v>
      </c>
      <c r="G298" t="str">
        <f>IF(COUNTIFS(Table1_3[Country],Table1_3[[#This Row],[Country]],Table1_3[Product],Table1_3[[#This Row],[Product]],Table1_3[Sales Person],Table1_3[[#This Row],[Sales Person]],Table1_3[Amount],"&lt;=100")&gt;=2,"Contract","Deal")</f>
        <v>Deal</v>
      </c>
    </row>
    <row r="299" spans="1:7" x14ac:dyDescent="0.3">
      <c r="A299" t="s">
        <v>41</v>
      </c>
      <c r="B299" t="s">
        <v>10</v>
      </c>
      <c r="C299" t="s">
        <v>65</v>
      </c>
      <c r="D299">
        <v>3066</v>
      </c>
      <c r="E299">
        <v>96</v>
      </c>
      <c r="F299" s="1">
        <v>44705</v>
      </c>
      <c r="G299" t="str">
        <f>IF(COUNTIFS(Table1_3[Country],Table1_3[[#This Row],[Country]],Table1_3[Product],Table1_3[[#This Row],[Product]],Table1_3[Sales Person],Table1_3[[#This Row],[Sales Person]],Table1_3[Amount],"&lt;=100")&gt;=2,"Contract","Deal")</f>
        <v>Deal</v>
      </c>
    </row>
    <row r="300" spans="1:7" x14ac:dyDescent="0.3">
      <c r="A300" t="s">
        <v>41</v>
      </c>
      <c r="B300" t="s">
        <v>10</v>
      </c>
      <c r="C300" t="s">
        <v>65</v>
      </c>
      <c r="D300">
        <v>3474.98</v>
      </c>
      <c r="E300">
        <v>104</v>
      </c>
      <c r="F300" s="1">
        <v>45070</v>
      </c>
      <c r="G300" t="str">
        <f>IF(COUNTIFS(Table1_3[Country],Table1_3[[#This Row],[Country]],Table1_3[Product],Table1_3[[#This Row],[Product]],Table1_3[Sales Person],Table1_3[[#This Row],[Sales Person]],Table1_3[Amount],"&lt;=100")&gt;=2,"Contract","Deal")</f>
        <v>Deal</v>
      </c>
    </row>
    <row r="301" spans="1:7" x14ac:dyDescent="0.3">
      <c r="A301" t="s">
        <v>41</v>
      </c>
      <c r="B301" t="s">
        <v>10</v>
      </c>
      <c r="C301" t="s">
        <v>65</v>
      </c>
      <c r="D301">
        <v>3634.26</v>
      </c>
      <c r="E301">
        <v>100</v>
      </c>
      <c r="F301" s="1">
        <v>45436</v>
      </c>
      <c r="G301" t="str">
        <f>IF(COUNTIFS(Table1_3[Country],Table1_3[[#This Row],[Country]],Table1_3[Product],Table1_3[[#This Row],[Product]],Table1_3[Sales Person],Table1_3[[#This Row],[Sales Person]],Table1_3[Amount],"&lt;=100")&gt;=2,"Contract","Deal")</f>
        <v>Deal</v>
      </c>
    </row>
    <row r="302" spans="1:7" x14ac:dyDescent="0.3">
      <c r="A302" t="s">
        <v>41</v>
      </c>
      <c r="B302" t="s">
        <v>10</v>
      </c>
      <c r="C302" t="s">
        <v>75</v>
      </c>
      <c r="D302">
        <v>3577</v>
      </c>
      <c r="E302">
        <v>261</v>
      </c>
      <c r="F302" s="1">
        <v>44616</v>
      </c>
      <c r="G302" t="str">
        <f>IF(COUNTIFS(Table1_3[Country],Table1_3[[#This Row],[Country]],Table1_3[Product],Table1_3[[#This Row],[Product]],Table1_3[Sales Person],Table1_3[[#This Row],[Sales Person]],Table1_3[Amount],"&lt;=100")&gt;=2,"Contract","Deal")</f>
        <v>Deal</v>
      </c>
    </row>
    <row r="303" spans="1:7" x14ac:dyDescent="0.3">
      <c r="A303" t="s">
        <v>41</v>
      </c>
      <c r="B303" t="s">
        <v>10</v>
      </c>
      <c r="C303" t="s">
        <v>75</v>
      </c>
      <c r="D303">
        <v>3818.21</v>
      </c>
      <c r="E303">
        <v>287</v>
      </c>
      <c r="F303" s="1">
        <v>44981</v>
      </c>
      <c r="G303" t="str">
        <f>IF(COUNTIFS(Table1_3[Country],Table1_3[[#This Row],[Country]],Table1_3[Product],Table1_3[[#This Row],[Product]],Table1_3[Sales Person],Table1_3[[#This Row],[Sales Person]],Table1_3[Amount],"&lt;=100")&gt;=2,"Contract","Deal")</f>
        <v>Deal</v>
      </c>
    </row>
    <row r="304" spans="1:7" x14ac:dyDescent="0.3">
      <c r="A304" t="s">
        <v>41</v>
      </c>
      <c r="B304" t="s">
        <v>10</v>
      </c>
      <c r="C304" t="s">
        <v>75</v>
      </c>
      <c r="D304">
        <v>3911.69</v>
      </c>
      <c r="E304">
        <v>254</v>
      </c>
      <c r="F304" s="1">
        <v>45346</v>
      </c>
      <c r="G304" t="str">
        <f>IF(COUNTIFS(Table1_3[Country],Table1_3[[#This Row],[Country]],Table1_3[Product],Table1_3[[#This Row],[Product]],Table1_3[Sales Person],Table1_3[[#This Row],[Sales Person]],Table1_3[Amount],"&lt;=100")&gt;=2,"Contract","Deal")</f>
        <v>Deal</v>
      </c>
    </row>
    <row r="305" spans="1:7" x14ac:dyDescent="0.3">
      <c r="A305" t="s">
        <v>41</v>
      </c>
      <c r="B305" t="s">
        <v>10</v>
      </c>
      <c r="C305" t="s">
        <v>38</v>
      </c>
      <c r="D305">
        <v>6055</v>
      </c>
      <c r="E305">
        <v>46</v>
      </c>
      <c r="F305" s="1">
        <v>44757</v>
      </c>
      <c r="G305" t="str">
        <f>IF(COUNTIFS(Table1_3[Country],Table1_3[[#This Row],[Country]],Table1_3[Product],Table1_3[[#This Row],[Product]],Table1_3[Sales Person],Table1_3[[#This Row],[Sales Person]],Table1_3[Amount],"&lt;=100")&gt;=2,"Contract","Deal")</f>
        <v>Deal</v>
      </c>
    </row>
    <row r="306" spans="1:7" x14ac:dyDescent="0.3">
      <c r="A306" t="s">
        <v>41</v>
      </c>
      <c r="B306" t="s">
        <v>10</v>
      </c>
      <c r="C306" t="s">
        <v>38</v>
      </c>
      <c r="D306">
        <v>6984.74</v>
      </c>
      <c r="E306">
        <v>51</v>
      </c>
      <c r="F306" s="1">
        <v>45122</v>
      </c>
      <c r="G306" t="str">
        <f>IF(COUNTIFS(Table1_3[Country],Table1_3[[#This Row],[Country]],Table1_3[Product],Table1_3[[#This Row],[Product]],Table1_3[Sales Person],Table1_3[[#This Row],[Sales Person]],Table1_3[Amount],"&lt;=100")&gt;=2,"Contract","Deal")</f>
        <v>Deal</v>
      </c>
    </row>
    <row r="307" spans="1:7" x14ac:dyDescent="0.3">
      <c r="A307" t="s">
        <v>41</v>
      </c>
      <c r="B307" t="s">
        <v>10</v>
      </c>
      <c r="C307" t="s">
        <v>38</v>
      </c>
      <c r="D307">
        <v>6756.17</v>
      </c>
      <c r="E307">
        <v>45</v>
      </c>
      <c r="F307" s="1">
        <v>45488</v>
      </c>
      <c r="G307" t="str">
        <f>IF(COUNTIFS(Table1_3[Country],Table1_3[[#This Row],[Country]],Table1_3[Product],Table1_3[[#This Row],[Product]],Table1_3[Sales Person],Table1_3[[#This Row],[Sales Person]],Table1_3[Amount],"&lt;=100")&gt;=2,"Contract","Deal")</f>
        <v>Deal</v>
      </c>
    </row>
    <row r="308" spans="1:7" x14ac:dyDescent="0.3">
      <c r="A308" t="s">
        <v>41</v>
      </c>
      <c r="B308" t="s">
        <v>10</v>
      </c>
      <c r="C308" t="s">
        <v>36</v>
      </c>
      <c r="D308">
        <v>10325</v>
      </c>
      <c r="E308">
        <v>147</v>
      </c>
      <c r="F308" s="1">
        <v>44721</v>
      </c>
      <c r="G308" t="str">
        <f>IF(COUNTIFS(Table1_3[Country],Table1_3[[#This Row],[Country]],Table1_3[Product],Table1_3[[#This Row],[Product]],Table1_3[Sales Person],Table1_3[[#This Row],[Sales Person]],Table1_3[Amount],"&lt;=100")&gt;=2,"Contract","Deal")</f>
        <v>Deal</v>
      </c>
    </row>
    <row r="309" spans="1:7" x14ac:dyDescent="0.3">
      <c r="A309" t="s">
        <v>41</v>
      </c>
      <c r="B309" t="s">
        <v>10</v>
      </c>
      <c r="C309" t="s">
        <v>36</v>
      </c>
      <c r="D309">
        <v>11130.52</v>
      </c>
      <c r="E309">
        <v>144</v>
      </c>
      <c r="F309" s="1">
        <v>45086</v>
      </c>
      <c r="G309" t="str">
        <f>IF(COUNTIFS(Table1_3[Country],Table1_3[[#This Row],[Country]],Table1_3[Product],Table1_3[[#This Row],[Product]],Table1_3[Sales Person],Table1_3[[#This Row],[Sales Person]],Table1_3[Amount],"&lt;=100")&gt;=2,"Contract","Deal")</f>
        <v>Deal</v>
      </c>
    </row>
    <row r="310" spans="1:7" x14ac:dyDescent="0.3">
      <c r="A310" t="s">
        <v>41</v>
      </c>
      <c r="B310" t="s">
        <v>10</v>
      </c>
      <c r="C310" t="s">
        <v>36</v>
      </c>
      <c r="D310">
        <v>11033.61</v>
      </c>
      <c r="E310">
        <v>155</v>
      </c>
      <c r="F310" s="1">
        <v>45452</v>
      </c>
      <c r="G310" t="str">
        <f>IF(COUNTIFS(Table1_3[Country],Table1_3[[#This Row],[Country]],Table1_3[Product],Table1_3[[#This Row],[Product]],Table1_3[Sales Person],Table1_3[[#This Row],[Sales Person]],Table1_3[Amount],"&lt;=100")&gt;=2,"Contract","Deal")</f>
        <v>Deal</v>
      </c>
    </row>
    <row r="311" spans="1:7" x14ac:dyDescent="0.3">
      <c r="A311" t="s">
        <v>41</v>
      </c>
      <c r="B311" t="s">
        <v>10</v>
      </c>
      <c r="C311" t="s">
        <v>60</v>
      </c>
      <c r="D311">
        <v>9835</v>
      </c>
      <c r="E311">
        <v>167</v>
      </c>
      <c r="F311" s="1">
        <v>44687</v>
      </c>
      <c r="G311" t="str">
        <f>IF(COUNTIFS(Table1_3[Country],Table1_3[[#This Row],[Country]],Table1_3[Product],Table1_3[[#This Row],[Product]],Table1_3[Sales Person],Table1_3[[#This Row],[Sales Person]],Table1_3[Amount],"&lt;=100")&gt;=2,"Contract","Deal")</f>
        <v>Deal</v>
      </c>
    </row>
    <row r="312" spans="1:7" x14ac:dyDescent="0.3">
      <c r="A312" t="s">
        <v>41</v>
      </c>
      <c r="B312" t="s">
        <v>10</v>
      </c>
      <c r="C312" t="s">
        <v>60</v>
      </c>
      <c r="D312">
        <v>10168.32</v>
      </c>
      <c r="E312">
        <v>159</v>
      </c>
      <c r="F312" s="1">
        <v>45052</v>
      </c>
      <c r="G312" t="str">
        <f>IF(COUNTIFS(Table1_3[Country],Table1_3[[#This Row],[Country]],Table1_3[Product],Table1_3[[#This Row],[Product]],Table1_3[Sales Person],Table1_3[[#This Row],[Sales Person]],Table1_3[Amount],"&lt;=100")&gt;=2,"Contract","Deal")</f>
        <v>Deal</v>
      </c>
    </row>
    <row r="313" spans="1:7" x14ac:dyDescent="0.3">
      <c r="A313" t="s">
        <v>41</v>
      </c>
      <c r="B313" t="s">
        <v>10</v>
      </c>
      <c r="C313" t="s">
        <v>60</v>
      </c>
      <c r="D313">
        <v>11462.32</v>
      </c>
      <c r="E313">
        <v>172</v>
      </c>
      <c r="F313" s="1">
        <v>45418</v>
      </c>
      <c r="G313" t="str">
        <f>IF(COUNTIFS(Table1_3[Country],Table1_3[[#This Row],[Country]],Table1_3[Product],Table1_3[[#This Row],[Product]],Table1_3[Sales Person],Table1_3[[#This Row],[Sales Person]],Table1_3[Amount],"&lt;=100")&gt;=2,"Contract","Deal")</f>
        <v>Deal</v>
      </c>
    </row>
    <row r="314" spans="1:7" x14ac:dyDescent="0.3">
      <c r="A314" t="s">
        <v>41</v>
      </c>
      <c r="B314" t="s">
        <v>10</v>
      </c>
      <c r="C314" t="s">
        <v>46</v>
      </c>
      <c r="D314">
        <v>1869</v>
      </c>
      <c r="E314">
        <v>323</v>
      </c>
      <c r="F314" s="1">
        <v>44666</v>
      </c>
      <c r="G314" t="str">
        <f>IF(COUNTIFS(Table1_3[Country],Table1_3[[#This Row],[Country]],Table1_3[Product],Table1_3[[#This Row],[Product]],Table1_3[Sales Person],Table1_3[[#This Row],[Sales Person]],Table1_3[Amount],"&lt;=100")&gt;=2,"Contract","Deal")</f>
        <v>Deal</v>
      </c>
    </row>
    <row r="315" spans="1:7" x14ac:dyDescent="0.3">
      <c r="A315" t="s">
        <v>41</v>
      </c>
      <c r="B315" t="s">
        <v>10</v>
      </c>
      <c r="C315" t="s">
        <v>46</v>
      </c>
      <c r="D315">
        <v>1928.74</v>
      </c>
      <c r="E315">
        <v>354</v>
      </c>
      <c r="F315" s="1">
        <v>45031</v>
      </c>
      <c r="G315" t="str">
        <f>IF(COUNTIFS(Table1_3[Country],Table1_3[[#This Row],[Country]],Table1_3[Product],Table1_3[[#This Row],[Product]],Table1_3[Sales Person],Table1_3[[#This Row],[Sales Person]],Table1_3[Amount],"&lt;=100")&gt;=2,"Contract","Deal")</f>
        <v>Deal</v>
      </c>
    </row>
    <row r="316" spans="1:7" x14ac:dyDescent="0.3">
      <c r="A316" t="s">
        <v>41</v>
      </c>
      <c r="B316" t="s">
        <v>10</v>
      </c>
      <c r="C316" t="s">
        <v>46</v>
      </c>
      <c r="D316">
        <v>1997.46</v>
      </c>
      <c r="E316">
        <v>314</v>
      </c>
      <c r="F316" s="1">
        <v>45397</v>
      </c>
      <c r="G316" t="str">
        <f>IF(COUNTIFS(Table1_3[Country],Table1_3[[#This Row],[Country]],Table1_3[Product],Table1_3[[#This Row],[Product]],Table1_3[Sales Person],Table1_3[[#This Row],[Sales Person]],Table1_3[Amount],"&lt;=100")&gt;=2,"Contract","Deal")</f>
        <v>Deal</v>
      </c>
    </row>
    <row r="317" spans="1:7" x14ac:dyDescent="0.3">
      <c r="A317" t="s">
        <v>41</v>
      </c>
      <c r="B317" t="s">
        <v>10</v>
      </c>
      <c r="C317" t="s">
        <v>42</v>
      </c>
      <c r="D317">
        <v>1036</v>
      </c>
      <c r="E317">
        <v>20</v>
      </c>
      <c r="F317" s="1">
        <v>44735</v>
      </c>
      <c r="G317" t="str">
        <f>IF(COUNTIFS(Table1_3[Country],Table1_3[[#This Row],[Country]],Table1_3[Product],Table1_3[[#This Row],[Product]],Table1_3[Sales Person],Table1_3[[#This Row],[Sales Person]],Table1_3[Amount],"&lt;=100")&gt;=2,"Contract","Deal")</f>
        <v>Deal</v>
      </c>
    </row>
    <row r="318" spans="1:7" x14ac:dyDescent="0.3">
      <c r="A318" t="s">
        <v>41</v>
      </c>
      <c r="B318" t="s">
        <v>10</v>
      </c>
      <c r="C318" t="s">
        <v>42</v>
      </c>
      <c r="D318">
        <v>1093.72</v>
      </c>
      <c r="E318">
        <v>22</v>
      </c>
      <c r="F318" s="1">
        <v>45100</v>
      </c>
      <c r="G318" t="str">
        <f>IF(COUNTIFS(Table1_3[Country],Table1_3[[#This Row],[Country]],Table1_3[Product],Table1_3[[#This Row],[Product]],Table1_3[Sales Person],Table1_3[[#This Row],[Sales Person]],Table1_3[Amount],"&lt;=100")&gt;=2,"Contract","Deal")</f>
        <v>Deal</v>
      </c>
    </row>
    <row r="319" spans="1:7" x14ac:dyDescent="0.3">
      <c r="A319" t="s">
        <v>41</v>
      </c>
      <c r="B319" t="s">
        <v>10</v>
      </c>
      <c r="C319" t="s">
        <v>42</v>
      </c>
      <c r="D319">
        <v>1123.57</v>
      </c>
      <c r="E319">
        <v>19</v>
      </c>
      <c r="F319" s="1">
        <v>45466</v>
      </c>
      <c r="G319" t="str">
        <f>IF(COUNTIFS(Table1_3[Country],Table1_3[[#This Row],[Country]],Table1_3[Product],Table1_3[[#This Row],[Product]],Table1_3[Sales Person],Table1_3[[#This Row],[Sales Person]],Table1_3[Amount],"&lt;=100")&gt;=2,"Contract","Deal")</f>
        <v>Deal</v>
      </c>
    </row>
    <row r="320" spans="1:7" x14ac:dyDescent="0.3">
      <c r="A320" t="s">
        <v>41</v>
      </c>
      <c r="B320" t="s">
        <v>10</v>
      </c>
      <c r="C320" t="s">
        <v>50</v>
      </c>
      <c r="D320">
        <v>3339</v>
      </c>
      <c r="E320">
        <v>171</v>
      </c>
      <c r="F320" s="1">
        <v>44672</v>
      </c>
      <c r="G320" t="str">
        <f>IF(COUNTIFS(Table1_3[Country],Table1_3[[#This Row],[Country]],Table1_3[Product],Table1_3[[#This Row],[Product]],Table1_3[Sales Person],Table1_3[[#This Row],[Sales Person]],Table1_3[Amount],"&lt;=100")&gt;=2,"Contract","Deal")</f>
        <v>Deal</v>
      </c>
    </row>
    <row r="321" spans="1:7" x14ac:dyDescent="0.3">
      <c r="A321" t="s">
        <v>41</v>
      </c>
      <c r="B321" t="s">
        <v>10</v>
      </c>
      <c r="C321" t="s">
        <v>50</v>
      </c>
      <c r="D321">
        <v>3357.08</v>
      </c>
      <c r="E321">
        <v>186</v>
      </c>
      <c r="F321" s="1">
        <v>45037</v>
      </c>
      <c r="G321" t="str">
        <f>IF(COUNTIFS(Table1_3[Country],Table1_3[[#This Row],[Country]],Table1_3[Product],Table1_3[[#This Row],[Product]],Table1_3[Sales Person],Table1_3[[#This Row],[Sales Person]],Table1_3[Amount],"&lt;=100")&gt;=2,"Contract","Deal")</f>
        <v>Deal</v>
      </c>
    </row>
    <row r="322" spans="1:7" x14ac:dyDescent="0.3">
      <c r="A322" t="s">
        <v>41</v>
      </c>
      <c r="B322" t="s">
        <v>10</v>
      </c>
      <c r="C322" t="s">
        <v>50</v>
      </c>
      <c r="D322">
        <v>3968.38</v>
      </c>
      <c r="E322">
        <v>182</v>
      </c>
      <c r="F322" s="1">
        <v>45403</v>
      </c>
      <c r="G322" t="str">
        <f>IF(COUNTIFS(Table1_3[Country],Table1_3[[#This Row],[Country]],Table1_3[Product],Table1_3[[#This Row],[Product]],Table1_3[Sales Person],Table1_3[[#This Row],[Sales Person]],Table1_3[Amount],"&lt;=100")&gt;=2,"Contract","Deal")</f>
        <v>Deal</v>
      </c>
    </row>
    <row r="323" spans="1:7" x14ac:dyDescent="0.3">
      <c r="A323" t="s">
        <v>41</v>
      </c>
      <c r="B323" t="s">
        <v>10</v>
      </c>
      <c r="C323" t="s">
        <v>59</v>
      </c>
      <c r="D323">
        <v>1813</v>
      </c>
      <c r="E323">
        <v>296</v>
      </c>
      <c r="F323" s="1">
        <v>44746</v>
      </c>
      <c r="G323" t="str">
        <f>IF(COUNTIFS(Table1_3[Country],Table1_3[[#This Row],[Country]],Table1_3[Product],Table1_3[[#This Row],[Product]],Table1_3[Sales Person],Table1_3[[#This Row],[Sales Person]],Table1_3[Amount],"&lt;=100")&gt;=2,"Contract","Deal")</f>
        <v>Deal</v>
      </c>
    </row>
    <row r="324" spans="1:7" x14ac:dyDescent="0.3">
      <c r="A324" t="s">
        <v>41</v>
      </c>
      <c r="B324" t="s">
        <v>10</v>
      </c>
      <c r="C324" t="s">
        <v>59</v>
      </c>
      <c r="D324">
        <v>1994.44</v>
      </c>
      <c r="E324">
        <v>299</v>
      </c>
      <c r="F324" s="1">
        <v>45111</v>
      </c>
      <c r="G324" t="str">
        <f>IF(COUNTIFS(Table1_3[Country],Table1_3[[#This Row],[Country]],Table1_3[Product],Table1_3[[#This Row],[Product]],Table1_3[Sales Person],Table1_3[[#This Row],[Sales Person]],Table1_3[Amount],"&lt;=100")&gt;=2,"Contract","Deal")</f>
        <v>Deal</v>
      </c>
    </row>
    <row r="325" spans="1:7" x14ac:dyDescent="0.3">
      <c r="A325" t="s">
        <v>41</v>
      </c>
      <c r="B325" t="s">
        <v>10</v>
      </c>
      <c r="C325" t="s">
        <v>59</v>
      </c>
      <c r="D325">
        <v>1900.09</v>
      </c>
      <c r="E325">
        <v>297</v>
      </c>
      <c r="F325" s="1">
        <v>45477</v>
      </c>
      <c r="G325" t="str">
        <f>IF(COUNTIFS(Table1_3[Country],Table1_3[[#This Row],[Country]],Table1_3[Product],Table1_3[[#This Row],[Product]],Table1_3[Sales Person],Table1_3[[#This Row],[Sales Person]],Table1_3[Amount],"&lt;=100")&gt;=2,"Contract","Deal")</f>
        <v>Deal</v>
      </c>
    </row>
    <row r="326" spans="1:7" x14ac:dyDescent="0.3">
      <c r="A326" t="s">
        <v>41</v>
      </c>
      <c r="B326" t="s">
        <v>25</v>
      </c>
      <c r="C326" t="s">
        <v>11</v>
      </c>
      <c r="D326">
        <v>11200</v>
      </c>
      <c r="E326">
        <v>22</v>
      </c>
      <c r="F326" s="1">
        <v>44803</v>
      </c>
      <c r="G326" t="str">
        <f>IF(COUNTIFS(Table1_3[Country],Table1_3[[#This Row],[Country]],Table1_3[Product],Table1_3[[#This Row],[Product]],Table1_3[Sales Person],Table1_3[[#This Row],[Sales Person]],Table1_3[Amount],"&lt;=100")&gt;=2,"Contract","Deal")</f>
        <v>Deal</v>
      </c>
    </row>
    <row r="327" spans="1:7" x14ac:dyDescent="0.3">
      <c r="A327" t="s">
        <v>41</v>
      </c>
      <c r="B327" t="s">
        <v>25</v>
      </c>
      <c r="C327" t="s">
        <v>11</v>
      </c>
      <c r="D327">
        <v>12205.52</v>
      </c>
      <c r="E327">
        <v>23</v>
      </c>
      <c r="F327" s="1">
        <v>45168</v>
      </c>
      <c r="G327" t="str">
        <f>IF(COUNTIFS(Table1_3[Country],Table1_3[[#This Row],[Country]],Table1_3[Product],Table1_3[[#This Row],[Product]],Table1_3[Sales Person],Table1_3[[#This Row],[Sales Person]],Table1_3[Amount],"&lt;=100")&gt;=2,"Contract","Deal")</f>
        <v>Deal</v>
      </c>
    </row>
    <row r="328" spans="1:7" x14ac:dyDescent="0.3">
      <c r="A328" t="s">
        <v>41</v>
      </c>
      <c r="B328" t="s">
        <v>25</v>
      </c>
      <c r="C328" t="s">
        <v>11</v>
      </c>
      <c r="D328">
        <v>12886.26</v>
      </c>
      <c r="E328">
        <v>21</v>
      </c>
      <c r="F328" s="1">
        <v>45534</v>
      </c>
      <c r="G328" t="str">
        <f>IF(COUNTIFS(Table1_3[Country],Table1_3[[#This Row],[Country]],Table1_3[Product],Table1_3[[#This Row],[Product]],Table1_3[Sales Person],Table1_3[[#This Row],[Sales Person]],Table1_3[Amount],"&lt;=100")&gt;=2,"Contract","Deal")</f>
        <v>Deal</v>
      </c>
    </row>
    <row r="329" spans="1:7" x14ac:dyDescent="0.3">
      <c r="A329" t="s">
        <v>41</v>
      </c>
      <c r="B329" t="s">
        <v>25</v>
      </c>
      <c r="C329" t="s">
        <v>87</v>
      </c>
      <c r="D329">
        <v>1372</v>
      </c>
      <c r="E329">
        <v>144</v>
      </c>
      <c r="F329" s="1">
        <v>44776</v>
      </c>
      <c r="G329" t="str">
        <f>IF(COUNTIFS(Table1_3[Country],Table1_3[[#This Row],[Country]],Table1_3[Product],Table1_3[[#This Row],[Product]],Table1_3[Sales Person],Table1_3[[#This Row],[Sales Person]],Table1_3[Amount],"&lt;=100")&gt;=2,"Contract","Deal")</f>
        <v>Deal</v>
      </c>
    </row>
    <row r="330" spans="1:7" x14ac:dyDescent="0.3">
      <c r="A330" t="s">
        <v>41</v>
      </c>
      <c r="B330" t="s">
        <v>25</v>
      </c>
      <c r="C330" t="s">
        <v>87</v>
      </c>
      <c r="D330">
        <v>1452.61</v>
      </c>
      <c r="E330">
        <v>142</v>
      </c>
      <c r="F330" s="1">
        <v>45141</v>
      </c>
      <c r="G330" t="str">
        <f>IF(COUNTIFS(Table1_3[Country],Table1_3[[#This Row],[Country]],Table1_3[Product],Table1_3[[#This Row],[Product]],Table1_3[Sales Person],Table1_3[[#This Row],[Sales Person]],Table1_3[Amount],"&lt;=100")&gt;=2,"Contract","Deal")</f>
        <v>Deal</v>
      </c>
    </row>
    <row r="331" spans="1:7" x14ac:dyDescent="0.3">
      <c r="A331" t="s">
        <v>41</v>
      </c>
      <c r="B331" t="s">
        <v>25</v>
      </c>
      <c r="C331" t="s">
        <v>87</v>
      </c>
      <c r="D331">
        <v>1517.05</v>
      </c>
      <c r="E331">
        <v>147</v>
      </c>
      <c r="F331" s="1">
        <v>45507</v>
      </c>
      <c r="G331" t="str">
        <f>IF(COUNTIFS(Table1_3[Country],Table1_3[[#This Row],[Country]],Table1_3[Product],Table1_3[[#This Row],[Product]],Table1_3[Sales Person],Table1_3[[#This Row],[Sales Person]],Table1_3[Amount],"&lt;=100")&gt;=2,"Contract","Deal")</f>
        <v>Deal</v>
      </c>
    </row>
    <row r="332" spans="1:7" x14ac:dyDescent="0.3">
      <c r="A332" t="s">
        <v>41</v>
      </c>
      <c r="B332" t="s">
        <v>25</v>
      </c>
      <c r="C332" t="s">
        <v>38</v>
      </c>
      <c r="D332">
        <v>1141</v>
      </c>
      <c r="E332">
        <v>518</v>
      </c>
      <c r="F332" s="1">
        <v>44573</v>
      </c>
      <c r="G332" t="str">
        <f>IF(COUNTIFS(Table1_3[Country],Table1_3[[#This Row],[Country]],Table1_3[Product],Table1_3[[#This Row],[Product]],Table1_3[Sales Person],Table1_3[[#This Row],[Sales Person]],Table1_3[Amount],"&lt;=100")&gt;=2,"Contract","Deal")</f>
        <v>Deal</v>
      </c>
    </row>
    <row r="333" spans="1:7" x14ac:dyDescent="0.3">
      <c r="A333" t="s">
        <v>41</v>
      </c>
      <c r="B333" t="s">
        <v>25</v>
      </c>
      <c r="C333" t="s">
        <v>38</v>
      </c>
      <c r="D333">
        <v>1269.56</v>
      </c>
      <c r="E333">
        <v>497</v>
      </c>
      <c r="F333" s="1">
        <v>44938</v>
      </c>
      <c r="G333" t="str">
        <f>IF(COUNTIFS(Table1_3[Country],Table1_3[[#This Row],[Country]],Table1_3[Product],Table1_3[[#This Row],[Product]],Table1_3[Sales Person],Table1_3[[#This Row],[Sales Person]],Table1_3[Amount],"&lt;=100")&gt;=2,"Contract","Deal")</f>
        <v>Deal</v>
      </c>
    </row>
    <row r="334" spans="1:7" x14ac:dyDescent="0.3">
      <c r="A334" t="s">
        <v>41</v>
      </c>
      <c r="B334" t="s">
        <v>25</v>
      </c>
      <c r="C334" t="s">
        <v>38</v>
      </c>
      <c r="D334">
        <v>1284.3699999999999</v>
      </c>
      <c r="E334">
        <v>560</v>
      </c>
      <c r="F334" s="1">
        <v>45303</v>
      </c>
      <c r="G334" t="str">
        <f>IF(COUNTIFS(Table1_3[Country],Table1_3[[#This Row],[Country]],Table1_3[Product],Table1_3[[#This Row],[Product]],Table1_3[Sales Person],Table1_3[[#This Row],[Sales Person]],Table1_3[Amount],"&lt;=100")&gt;=2,"Contract","Deal")</f>
        <v>Deal</v>
      </c>
    </row>
    <row r="335" spans="1:7" x14ac:dyDescent="0.3">
      <c r="A335" t="s">
        <v>41</v>
      </c>
      <c r="B335" t="s">
        <v>25</v>
      </c>
      <c r="C335" t="s">
        <v>8</v>
      </c>
      <c r="D335">
        <v>4361</v>
      </c>
      <c r="E335">
        <v>97</v>
      </c>
      <c r="F335" s="1">
        <v>44721</v>
      </c>
      <c r="G335" t="str">
        <f>IF(COUNTIFS(Table1_3[Country],Table1_3[[#This Row],[Country]],Table1_3[Product],Table1_3[[#This Row],[Product]],Table1_3[Sales Person],Table1_3[[#This Row],[Sales Person]],Table1_3[Amount],"&lt;=100")&gt;=2,"Contract","Deal")</f>
        <v>Deal</v>
      </c>
    </row>
    <row r="336" spans="1:7" x14ac:dyDescent="0.3">
      <c r="A336" t="s">
        <v>41</v>
      </c>
      <c r="B336" t="s">
        <v>25</v>
      </c>
      <c r="C336" t="s">
        <v>8</v>
      </c>
      <c r="D336">
        <v>4560.8100000000004</v>
      </c>
      <c r="E336">
        <v>102</v>
      </c>
      <c r="F336" s="1">
        <v>45086</v>
      </c>
      <c r="G336" t="str">
        <f>IF(COUNTIFS(Table1_3[Country],Table1_3[[#This Row],[Country]],Table1_3[Product],Table1_3[[#This Row],[Product]],Table1_3[Sales Person],Table1_3[[#This Row],[Sales Person]],Table1_3[Amount],"&lt;=100")&gt;=2,"Contract","Deal")</f>
        <v>Deal</v>
      </c>
    </row>
    <row r="337" spans="1:7" x14ac:dyDescent="0.3">
      <c r="A337" t="s">
        <v>41</v>
      </c>
      <c r="B337" t="s">
        <v>25</v>
      </c>
      <c r="C337" t="s">
        <v>8</v>
      </c>
      <c r="D337">
        <v>4994.93</v>
      </c>
      <c r="E337">
        <v>98</v>
      </c>
      <c r="F337" s="1">
        <v>45452</v>
      </c>
      <c r="G337" t="str">
        <f>IF(COUNTIFS(Table1_3[Country],Table1_3[[#This Row],[Country]],Table1_3[Product],Table1_3[[#This Row],[Product]],Table1_3[Sales Person],Table1_3[[#This Row],[Sales Person]],Table1_3[Amount],"&lt;=100")&gt;=2,"Contract","Deal")</f>
        <v>Deal</v>
      </c>
    </row>
    <row r="338" spans="1:7" x14ac:dyDescent="0.3">
      <c r="A338" t="s">
        <v>41</v>
      </c>
      <c r="B338" t="s">
        <v>25</v>
      </c>
      <c r="C338" t="s">
        <v>42</v>
      </c>
      <c r="D338">
        <v>6678</v>
      </c>
      <c r="E338">
        <v>226</v>
      </c>
      <c r="F338" s="1">
        <v>44705</v>
      </c>
      <c r="G338" t="str">
        <f>IF(COUNTIFS(Table1_3[Country],Table1_3[[#This Row],[Country]],Table1_3[Product],Table1_3[[#This Row],[Product]],Table1_3[Sales Person],Table1_3[[#This Row],[Sales Person]],Table1_3[Amount],"&lt;=100")&gt;=2,"Contract","Deal")</f>
        <v>Deal</v>
      </c>
    </row>
    <row r="339" spans="1:7" x14ac:dyDescent="0.3">
      <c r="A339" t="s">
        <v>41</v>
      </c>
      <c r="B339" t="s">
        <v>25</v>
      </c>
      <c r="C339" t="s">
        <v>42</v>
      </c>
      <c r="D339">
        <v>7229.26</v>
      </c>
      <c r="E339">
        <v>215</v>
      </c>
      <c r="F339" s="1">
        <v>45070</v>
      </c>
      <c r="G339" t="str">
        <f>IF(COUNTIFS(Table1_3[Country],Table1_3[[#This Row],[Country]],Table1_3[Product],Table1_3[[#This Row],[Product]],Table1_3[Sales Person],Table1_3[[#This Row],[Sales Person]],Table1_3[Amount],"&lt;=100")&gt;=2,"Contract","Deal")</f>
        <v>Deal</v>
      </c>
    </row>
    <row r="340" spans="1:7" x14ac:dyDescent="0.3">
      <c r="A340" t="s">
        <v>41</v>
      </c>
      <c r="B340" t="s">
        <v>25</v>
      </c>
      <c r="C340" t="s">
        <v>42</v>
      </c>
      <c r="D340">
        <v>7402.04</v>
      </c>
      <c r="E340">
        <v>231</v>
      </c>
      <c r="F340" s="1">
        <v>45436</v>
      </c>
      <c r="G340" t="str">
        <f>IF(COUNTIFS(Table1_3[Country],Table1_3[[#This Row],[Country]],Table1_3[Product],Table1_3[[#This Row],[Product]],Table1_3[Sales Person],Table1_3[[#This Row],[Sales Person]],Table1_3[Amount],"&lt;=100")&gt;=2,"Contract","Deal")</f>
        <v>Deal</v>
      </c>
    </row>
    <row r="341" spans="1:7" x14ac:dyDescent="0.3">
      <c r="A341" t="s">
        <v>41</v>
      </c>
      <c r="B341" t="s">
        <v>25</v>
      </c>
      <c r="C341" t="s">
        <v>13</v>
      </c>
      <c r="D341">
        <v>10822</v>
      </c>
      <c r="E341">
        <v>30</v>
      </c>
      <c r="F341" s="1">
        <v>44615</v>
      </c>
      <c r="G341" t="str">
        <f>IF(COUNTIFS(Table1_3[Country],Table1_3[[#This Row],[Country]],Table1_3[Product],Table1_3[[#This Row],[Product]],Table1_3[Sales Person],Table1_3[[#This Row],[Sales Person]],Table1_3[Amount],"&lt;=100")&gt;=2,"Contract","Deal")</f>
        <v>Deal</v>
      </c>
    </row>
    <row r="342" spans="1:7" x14ac:dyDescent="0.3">
      <c r="A342" t="s">
        <v>41</v>
      </c>
      <c r="B342" t="s">
        <v>25</v>
      </c>
      <c r="C342" t="s">
        <v>13</v>
      </c>
      <c r="D342">
        <v>12129.42</v>
      </c>
      <c r="E342">
        <v>29</v>
      </c>
      <c r="F342" s="1">
        <v>44980</v>
      </c>
      <c r="G342" t="str">
        <f>IF(COUNTIFS(Table1_3[Country],Table1_3[[#This Row],[Country]],Table1_3[Product],Table1_3[[#This Row],[Product]],Table1_3[Sales Person],Table1_3[[#This Row],[Sales Person]],Table1_3[Amount],"&lt;=100")&gt;=2,"Contract","Deal")</f>
        <v>Deal</v>
      </c>
    </row>
    <row r="343" spans="1:7" x14ac:dyDescent="0.3">
      <c r="A343" t="s">
        <v>41</v>
      </c>
      <c r="B343" t="s">
        <v>25</v>
      </c>
      <c r="C343" t="s">
        <v>13</v>
      </c>
      <c r="D343">
        <v>11510.68</v>
      </c>
      <c r="E343">
        <v>30</v>
      </c>
      <c r="F343" s="1">
        <v>45345</v>
      </c>
      <c r="G343" t="str">
        <f>IF(COUNTIFS(Table1_3[Country],Table1_3[[#This Row],[Country]],Table1_3[Product],Table1_3[[#This Row],[Product]],Table1_3[Sales Person],Table1_3[[#This Row],[Sales Person]],Table1_3[Amount],"&lt;=100")&gt;=2,"Contract","Deal")</f>
        <v>Deal</v>
      </c>
    </row>
    <row r="344" spans="1:7" x14ac:dyDescent="0.3">
      <c r="A344" t="s">
        <v>41</v>
      </c>
      <c r="B344" t="s">
        <v>25</v>
      </c>
      <c r="C344" t="s">
        <v>18</v>
      </c>
      <c r="D344">
        <v>2387</v>
      </c>
      <c r="E344">
        <v>59</v>
      </c>
      <c r="F344" s="1">
        <v>44700</v>
      </c>
      <c r="G344" t="str">
        <f>IF(COUNTIFS(Table1_3[Country],Table1_3[[#This Row],[Country]],Table1_3[Product],Table1_3[[#This Row],[Product]],Table1_3[Sales Person],Table1_3[[#This Row],[Sales Person]],Table1_3[Amount],"&lt;=100")&gt;=2,"Contract","Deal")</f>
        <v>Deal</v>
      </c>
    </row>
    <row r="345" spans="1:7" x14ac:dyDescent="0.3">
      <c r="A345" t="s">
        <v>41</v>
      </c>
      <c r="B345" t="s">
        <v>25</v>
      </c>
      <c r="C345" t="s">
        <v>18</v>
      </c>
      <c r="D345">
        <v>2492.67</v>
      </c>
      <c r="E345">
        <v>58</v>
      </c>
      <c r="F345" s="1">
        <v>45065</v>
      </c>
      <c r="G345" t="str">
        <f>IF(COUNTIFS(Table1_3[Country],Table1_3[[#This Row],[Country]],Table1_3[Product],Table1_3[[#This Row],[Product]],Table1_3[Sales Person],Table1_3[[#This Row],[Sales Person]],Table1_3[Amount],"&lt;=100")&gt;=2,"Contract","Deal")</f>
        <v>Deal</v>
      </c>
    </row>
    <row r="346" spans="1:7" x14ac:dyDescent="0.3">
      <c r="A346" t="s">
        <v>41</v>
      </c>
      <c r="B346" t="s">
        <v>25</v>
      </c>
      <c r="C346" t="s">
        <v>18</v>
      </c>
      <c r="D346">
        <v>2755.14</v>
      </c>
      <c r="E346">
        <v>63</v>
      </c>
      <c r="F346" s="1">
        <v>45431</v>
      </c>
      <c r="G346" t="str">
        <f>IF(COUNTIFS(Table1_3[Country],Table1_3[[#This Row],[Country]],Table1_3[Product],Table1_3[[#This Row],[Product]],Table1_3[Sales Person],Table1_3[[#This Row],[Sales Person]],Table1_3[Amount],"&lt;=100")&gt;=2,"Contract","Deal")</f>
        <v>Deal</v>
      </c>
    </row>
    <row r="347" spans="1:7" x14ac:dyDescent="0.3">
      <c r="A347" t="s">
        <v>41</v>
      </c>
      <c r="B347" t="s">
        <v>25</v>
      </c>
      <c r="C347" t="s">
        <v>50</v>
      </c>
      <c r="D347">
        <v>63</v>
      </c>
      <c r="E347">
        <v>0</v>
      </c>
      <c r="F347" s="1">
        <v>44719</v>
      </c>
      <c r="G347" t="str">
        <f>IF(COUNTIFS(Table1_3[Country],Table1_3[[#This Row],[Country]],Table1_3[Product],Table1_3[[#This Row],[Product]],Table1_3[Sales Person],Table1_3[[#This Row],[Sales Person]],Table1_3[Amount],"&lt;=100")&gt;=2,"Contract","Deal")</f>
        <v>Contract</v>
      </c>
    </row>
    <row r="348" spans="1:7" x14ac:dyDescent="0.3">
      <c r="A348" t="s">
        <v>41</v>
      </c>
      <c r="B348" t="s">
        <v>25</v>
      </c>
      <c r="C348" t="s">
        <v>50</v>
      </c>
      <c r="D348">
        <v>66.13</v>
      </c>
      <c r="E348">
        <v>65</v>
      </c>
      <c r="F348" s="1">
        <v>45084</v>
      </c>
      <c r="G348" t="str">
        <f>IF(COUNTIFS(Table1_3[Country],Table1_3[[#This Row],[Country]],Table1_3[Product],Table1_3[[#This Row],[Product]],Table1_3[Sales Person],Table1_3[[#This Row],[Sales Person]],Table1_3[Amount],"&lt;=100")&gt;=2,"Contract","Deal")</f>
        <v>Contract</v>
      </c>
    </row>
    <row r="349" spans="1:7" x14ac:dyDescent="0.3">
      <c r="A349" t="s">
        <v>41</v>
      </c>
      <c r="B349" t="s">
        <v>25</v>
      </c>
      <c r="C349" t="s">
        <v>50</v>
      </c>
      <c r="D349">
        <v>70.19</v>
      </c>
      <c r="E349">
        <v>63</v>
      </c>
      <c r="F349" s="1">
        <v>45450</v>
      </c>
      <c r="G349" t="str">
        <f>IF(COUNTIFS(Table1_3[Country],Table1_3[[#This Row],[Country]],Table1_3[Product],Table1_3[[#This Row],[Product]],Table1_3[Sales Person],Table1_3[[#This Row],[Sales Person]],Table1_3[Amount],"&lt;=100")&gt;=2,"Contract","Deal")</f>
        <v>Contract</v>
      </c>
    </row>
    <row r="350" spans="1:7" x14ac:dyDescent="0.3">
      <c r="A350" t="s">
        <v>41</v>
      </c>
      <c r="B350" t="s">
        <v>25</v>
      </c>
      <c r="C350" t="s">
        <v>59</v>
      </c>
      <c r="D350">
        <v>7126</v>
      </c>
      <c r="E350">
        <v>7</v>
      </c>
      <c r="F350" s="1">
        <v>44644</v>
      </c>
      <c r="G350" t="str">
        <f>IF(COUNTIFS(Table1_3[Country],Table1_3[[#This Row],[Country]],Table1_3[Product],Table1_3[[#This Row],[Product]],Table1_3[Sales Person],Table1_3[[#This Row],[Sales Person]],Table1_3[Amount],"&lt;=100")&gt;=2,"Contract","Deal")</f>
        <v>Deal</v>
      </c>
    </row>
    <row r="351" spans="1:7" x14ac:dyDescent="0.3">
      <c r="A351" t="s">
        <v>41</v>
      </c>
      <c r="B351" t="s">
        <v>25</v>
      </c>
      <c r="C351" t="s">
        <v>59</v>
      </c>
      <c r="D351">
        <v>8003.23</v>
      </c>
      <c r="E351">
        <v>7</v>
      </c>
      <c r="F351" s="1">
        <v>45009</v>
      </c>
      <c r="G351" t="str">
        <f>IF(COUNTIFS(Table1_3[Country],Table1_3[[#This Row],[Country]],Table1_3[Product],Table1_3[[#This Row],[Product]],Table1_3[Sales Person],Table1_3[[#This Row],[Sales Person]],Table1_3[Amount],"&lt;=100")&gt;=2,"Contract","Deal")</f>
        <v>Deal</v>
      </c>
    </row>
    <row r="352" spans="1:7" x14ac:dyDescent="0.3">
      <c r="A352" t="s">
        <v>41</v>
      </c>
      <c r="B352" t="s">
        <v>25</v>
      </c>
      <c r="C352" t="s">
        <v>59</v>
      </c>
      <c r="D352">
        <v>7946.49</v>
      </c>
      <c r="E352">
        <v>7</v>
      </c>
      <c r="F352" s="1">
        <v>45375</v>
      </c>
      <c r="G352" t="str">
        <f>IF(COUNTIFS(Table1_3[Country],Table1_3[[#This Row],[Country]],Table1_3[Product],Table1_3[[#This Row],[Product]],Table1_3[Sales Person],Table1_3[[#This Row],[Sales Person]],Table1_3[Amount],"&lt;=100")&gt;=2,"Contract","Deal")</f>
        <v>Deal</v>
      </c>
    </row>
    <row r="353" spans="1:7" x14ac:dyDescent="0.3">
      <c r="A353" t="s">
        <v>41</v>
      </c>
      <c r="B353" t="s">
        <v>7</v>
      </c>
      <c r="C353" t="s">
        <v>26</v>
      </c>
      <c r="D353">
        <v>2499</v>
      </c>
      <c r="E353">
        <v>271</v>
      </c>
      <c r="F353" s="1">
        <v>44601</v>
      </c>
      <c r="G353" t="str">
        <f>IF(COUNTIFS(Table1_3[Country],Table1_3[[#This Row],[Country]],Table1_3[Product],Table1_3[[#This Row],[Product]],Table1_3[Sales Person],Table1_3[[#This Row],[Sales Person]],Table1_3[Amount],"&lt;=100")&gt;=2,"Contract","Deal")</f>
        <v>Deal</v>
      </c>
    </row>
    <row r="354" spans="1:7" x14ac:dyDescent="0.3">
      <c r="A354" t="s">
        <v>41</v>
      </c>
      <c r="B354" t="s">
        <v>7</v>
      </c>
      <c r="C354" t="s">
        <v>26</v>
      </c>
      <c r="D354">
        <v>2529.8200000000002</v>
      </c>
      <c r="E354">
        <v>297</v>
      </c>
      <c r="F354" s="1">
        <v>44966</v>
      </c>
      <c r="G354" t="str">
        <f>IF(COUNTIFS(Table1_3[Country],Table1_3[[#This Row],[Country]],Table1_3[Product],Table1_3[[#This Row],[Product]],Table1_3[Sales Person],Table1_3[[#This Row],[Sales Person]],Table1_3[Amount],"&lt;=100")&gt;=2,"Contract","Deal")</f>
        <v>Deal</v>
      </c>
    </row>
    <row r="355" spans="1:7" x14ac:dyDescent="0.3">
      <c r="A355" t="s">
        <v>41</v>
      </c>
      <c r="B355" t="s">
        <v>7</v>
      </c>
      <c r="C355" t="s">
        <v>26</v>
      </c>
      <c r="D355">
        <v>2922.18</v>
      </c>
      <c r="E355">
        <v>289</v>
      </c>
      <c r="F355" s="1">
        <v>45331</v>
      </c>
      <c r="G355" t="str">
        <f>IF(COUNTIFS(Table1_3[Country],Table1_3[[#This Row],[Country]],Table1_3[Product],Table1_3[[#This Row],[Product]],Table1_3[Sales Person],Table1_3[[#This Row],[Sales Person]],Table1_3[Amount],"&lt;=100")&gt;=2,"Contract","Deal")</f>
        <v>Deal</v>
      </c>
    </row>
    <row r="356" spans="1:7" x14ac:dyDescent="0.3">
      <c r="A356" t="s">
        <v>41</v>
      </c>
      <c r="B356" t="s">
        <v>7</v>
      </c>
      <c r="C356" t="s">
        <v>20</v>
      </c>
      <c r="D356">
        <v>3486</v>
      </c>
      <c r="E356">
        <v>121</v>
      </c>
      <c r="F356" s="1">
        <v>44783</v>
      </c>
      <c r="G356" t="str">
        <f>IF(COUNTIFS(Table1_3[Country],Table1_3[[#This Row],[Country]],Table1_3[Product],Table1_3[[#This Row],[Product]],Table1_3[Sales Person],Table1_3[[#This Row],[Sales Person]],Table1_3[Amount],"&lt;=100")&gt;=2,"Contract","Deal")</f>
        <v>Deal</v>
      </c>
    </row>
    <row r="357" spans="1:7" x14ac:dyDescent="0.3">
      <c r="A357" t="s">
        <v>41</v>
      </c>
      <c r="B357" t="s">
        <v>7</v>
      </c>
      <c r="C357" t="s">
        <v>20</v>
      </c>
      <c r="D357">
        <v>3701.6</v>
      </c>
      <c r="E357">
        <v>131</v>
      </c>
      <c r="F357" s="1">
        <v>45148</v>
      </c>
      <c r="G357" t="str">
        <f>IF(COUNTIFS(Table1_3[Country],Table1_3[[#This Row],[Country]],Table1_3[Product],Table1_3[[#This Row],[Product]],Table1_3[Sales Person],Table1_3[[#This Row],[Sales Person]],Table1_3[Amount],"&lt;=100")&gt;=2,"Contract","Deal")</f>
        <v>Deal</v>
      </c>
    </row>
    <row r="358" spans="1:7" x14ac:dyDescent="0.3">
      <c r="A358" t="s">
        <v>41</v>
      </c>
      <c r="B358" t="s">
        <v>7</v>
      </c>
      <c r="C358" t="s">
        <v>20</v>
      </c>
      <c r="D358">
        <v>3821.76</v>
      </c>
      <c r="E358">
        <v>122</v>
      </c>
      <c r="F358" s="1">
        <v>45514</v>
      </c>
      <c r="G358" t="str">
        <f>IF(COUNTIFS(Table1_3[Country],Table1_3[[#This Row],[Country]],Table1_3[Product],Table1_3[[#This Row],[Product]],Table1_3[Sales Person],Table1_3[[#This Row],[Sales Person]],Table1_3[Amount],"&lt;=100")&gt;=2,"Contract","Deal")</f>
        <v>Deal</v>
      </c>
    </row>
    <row r="359" spans="1:7" x14ac:dyDescent="0.3">
      <c r="A359" t="s">
        <v>41</v>
      </c>
      <c r="B359" t="s">
        <v>7</v>
      </c>
      <c r="C359" t="s">
        <v>65</v>
      </c>
      <c r="D359">
        <v>2506</v>
      </c>
      <c r="E359">
        <v>100</v>
      </c>
      <c r="F359" s="1">
        <v>44697</v>
      </c>
      <c r="G359" t="str">
        <f>IF(COUNTIFS(Table1_3[Country],Table1_3[[#This Row],[Country]],Table1_3[Product],Table1_3[[#This Row],[Product]],Table1_3[Sales Person],Table1_3[[#This Row],[Sales Person]],Table1_3[Amount],"&lt;=100")&gt;=2,"Contract","Deal")</f>
        <v>Deal</v>
      </c>
    </row>
    <row r="360" spans="1:7" x14ac:dyDescent="0.3">
      <c r="A360" t="s">
        <v>41</v>
      </c>
      <c r="B360" t="s">
        <v>7</v>
      </c>
      <c r="C360" t="s">
        <v>65</v>
      </c>
      <c r="D360">
        <v>2628.33</v>
      </c>
      <c r="E360">
        <v>101</v>
      </c>
      <c r="F360" s="1">
        <v>45062</v>
      </c>
      <c r="G360" t="str">
        <f>IF(COUNTIFS(Table1_3[Country],Table1_3[[#This Row],[Country]],Table1_3[Product],Table1_3[[#This Row],[Product]],Table1_3[Sales Person],Table1_3[[#This Row],[Sales Person]],Table1_3[Amount],"&lt;=100")&gt;=2,"Contract","Deal")</f>
        <v>Deal</v>
      </c>
    </row>
    <row r="361" spans="1:7" x14ac:dyDescent="0.3">
      <c r="A361" t="s">
        <v>41</v>
      </c>
      <c r="B361" t="s">
        <v>7</v>
      </c>
      <c r="C361" t="s">
        <v>65</v>
      </c>
      <c r="D361">
        <v>2799.42</v>
      </c>
      <c r="E361">
        <v>104</v>
      </c>
      <c r="F361" s="1">
        <v>45428</v>
      </c>
      <c r="G361" t="str">
        <f>IF(COUNTIFS(Table1_3[Country],Table1_3[[#This Row],[Country]],Table1_3[Product],Table1_3[[#This Row],[Product]],Table1_3[Sales Person],Table1_3[[#This Row],[Sales Person]],Table1_3[Amount],"&lt;=100")&gt;=2,"Contract","Deal")</f>
        <v>Deal</v>
      </c>
    </row>
    <row r="362" spans="1:7" x14ac:dyDescent="0.3">
      <c r="A362" t="s">
        <v>41</v>
      </c>
      <c r="B362" t="s">
        <v>7</v>
      </c>
      <c r="C362" t="s">
        <v>75</v>
      </c>
      <c r="D362">
        <v>3010</v>
      </c>
      <c r="E362">
        <v>69</v>
      </c>
      <c r="F362" s="1">
        <v>44624</v>
      </c>
      <c r="G362" t="str">
        <f>IF(COUNTIFS(Table1_3[Country],Table1_3[[#This Row],[Country]],Table1_3[Product],Table1_3[[#This Row],[Product]],Table1_3[Sales Person],Table1_3[[#This Row],[Sales Person]],Table1_3[Amount],"&lt;=100")&gt;=2,"Contract","Deal")</f>
        <v>Deal</v>
      </c>
    </row>
    <row r="363" spans="1:7" x14ac:dyDescent="0.3">
      <c r="A363" t="s">
        <v>41</v>
      </c>
      <c r="B363" t="s">
        <v>7</v>
      </c>
      <c r="C363" t="s">
        <v>75</v>
      </c>
      <c r="D363">
        <v>3212.35</v>
      </c>
      <c r="E363">
        <v>66</v>
      </c>
      <c r="F363" s="1">
        <v>44989</v>
      </c>
      <c r="G363" t="str">
        <f>IF(COUNTIFS(Table1_3[Country],Table1_3[[#This Row],[Country]],Table1_3[Product],Table1_3[[#This Row],[Product]],Table1_3[Sales Person],Table1_3[[#This Row],[Sales Person]],Table1_3[Amount],"&lt;=100")&gt;=2,"Contract","Deal")</f>
        <v>Deal</v>
      </c>
    </row>
    <row r="364" spans="1:7" x14ac:dyDescent="0.3">
      <c r="A364" t="s">
        <v>41</v>
      </c>
      <c r="B364" t="s">
        <v>7</v>
      </c>
      <c r="C364" t="s">
        <v>75</v>
      </c>
      <c r="D364">
        <v>3303.13</v>
      </c>
      <c r="E364">
        <v>73</v>
      </c>
      <c r="F364" s="1">
        <v>45355</v>
      </c>
      <c r="G364" t="str">
        <f>IF(COUNTIFS(Table1_3[Country],Table1_3[[#This Row],[Country]],Table1_3[Product],Table1_3[[#This Row],[Product]],Table1_3[Sales Person],Table1_3[[#This Row],[Sales Person]],Table1_3[Amount],"&lt;=100")&gt;=2,"Contract","Deal")</f>
        <v>Deal</v>
      </c>
    </row>
    <row r="365" spans="1:7" x14ac:dyDescent="0.3">
      <c r="A365" t="s">
        <v>41</v>
      </c>
      <c r="B365" t="s">
        <v>7</v>
      </c>
      <c r="C365" t="s">
        <v>36</v>
      </c>
      <c r="D365">
        <v>8463</v>
      </c>
      <c r="E365">
        <v>155</v>
      </c>
      <c r="F365" s="1">
        <v>44673</v>
      </c>
      <c r="G365" t="str">
        <f>IF(COUNTIFS(Table1_3[Country],Table1_3[[#This Row],[Country]],Table1_3[Product],Table1_3[[#This Row],[Product]],Table1_3[Sales Person],Table1_3[[#This Row],[Sales Person]],Table1_3[Amount],"&lt;=100")&gt;=2,"Contract","Deal")</f>
        <v>Deal</v>
      </c>
    </row>
    <row r="366" spans="1:7" x14ac:dyDescent="0.3">
      <c r="A366" t="s">
        <v>41</v>
      </c>
      <c r="B366" t="s">
        <v>7</v>
      </c>
      <c r="C366" t="s">
        <v>36</v>
      </c>
      <c r="D366">
        <v>9749.07</v>
      </c>
      <c r="E366">
        <v>169</v>
      </c>
      <c r="F366" s="1">
        <v>45038</v>
      </c>
      <c r="G366" t="str">
        <f>IF(COUNTIFS(Table1_3[Country],Table1_3[[#This Row],[Country]],Table1_3[Product],Table1_3[[#This Row],[Product]],Table1_3[Sales Person],Table1_3[[#This Row],[Sales Person]],Table1_3[Amount],"&lt;=100")&gt;=2,"Contract","Deal")</f>
        <v>Deal</v>
      </c>
    </row>
    <row r="367" spans="1:7" x14ac:dyDescent="0.3">
      <c r="A367" t="s">
        <v>41</v>
      </c>
      <c r="B367" t="s">
        <v>7</v>
      </c>
      <c r="C367" t="s">
        <v>36</v>
      </c>
      <c r="D367">
        <v>9144.7900000000009</v>
      </c>
      <c r="E367">
        <v>156</v>
      </c>
      <c r="F367" s="1">
        <v>45404</v>
      </c>
      <c r="G367" t="str">
        <f>IF(COUNTIFS(Table1_3[Country],Table1_3[[#This Row],[Country]],Table1_3[Product],Table1_3[[#This Row],[Product]],Table1_3[Sales Person],Table1_3[[#This Row],[Sales Person]],Table1_3[Amount],"&lt;=100")&gt;=2,"Contract","Deal")</f>
        <v>Deal</v>
      </c>
    </row>
    <row r="368" spans="1:7" x14ac:dyDescent="0.3">
      <c r="A368" t="s">
        <v>41</v>
      </c>
      <c r="B368" t="s">
        <v>7</v>
      </c>
      <c r="C368" t="s">
        <v>18</v>
      </c>
      <c r="D368">
        <v>4403</v>
      </c>
      <c r="E368">
        <v>76</v>
      </c>
      <c r="F368" s="1">
        <v>44685</v>
      </c>
      <c r="G368" t="str">
        <f>IF(COUNTIFS(Table1_3[Country],Table1_3[[#This Row],[Country]],Table1_3[Product],Table1_3[[#This Row],[Product]],Table1_3[Sales Person],Table1_3[[#This Row],[Sales Person]],Table1_3[Amount],"&lt;=100")&gt;=2,"Contract","Deal")</f>
        <v>Deal</v>
      </c>
    </row>
    <row r="369" spans="1:7" x14ac:dyDescent="0.3">
      <c r="A369" t="s">
        <v>41</v>
      </c>
      <c r="B369" t="s">
        <v>7</v>
      </c>
      <c r="C369" t="s">
        <v>18</v>
      </c>
      <c r="D369">
        <v>4726.6000000000004</v>
      </c>
      <c r="E369">
        <v>75</v>
      </c>
      <c r="F369" s="1">
        <v>45050</v>
      </c>
      <c r="G369" t="str">
        <f>IF(COUNTIFS(Table1_3[Country],Table1_3[[#This Row],[Country]],Table1_3[Product],Table1_3[[#This Row],[Product]],Table1_3[Sales Person],Table1_3[[#This Row],[Sales Person]],Table1_3[Amount],"&lt;=100")&gt;=2,"Contract","Deal")</f>
        <v>Deal</v>
      </c>
    </row>
    <row r="370" spans="1:7" x14ac:dyDescent="0.3">
      <c r="A370" t="s">
        <v>41</v>
      </c>
      <c r="B370" t="s">
        <v>7</v>
      </c>
      <c r="C370" t="s">
        <v>18</v>
      </c>
      <c r="D370">
        <v>5119.3500000000004</v>
      </c>
      <c r="E370">
        <v>77</v>
      </c>
      <c r="F370" s="1">
        <v>45416</v>
      </c>
      <c r="G370" t="str">
        <f>IF(COUNTIFS(Table1_3[Country],Table1_3[[#This Row],[Country]],Table1_3[Product],Table1_3[[#This Row],[Product]],Table1_3[Sales Person],Table1_3[[#This Row],[Sales Person]],Table1_3[Amount],"&lt;=100")&gt;=2,"Contract","Deal")</f>
        <v>Deal</v>
      </c>
    </row>
    <row r="371" spans="1:7" x14ac:dyDescent="0.3">
      <c r="A371" t="s">
        <v>41</v>
      </c>
      <c r="B371" t="s">
        <v>7</v>
      </c>
      <c r="C371" t="s">
        <v>50</v>
      </c>
      <c r="D371">
        <v>8680</v>
      </c>
      <c r="E371">
        <v>252</v>
      </c>
      <c r="F371" s="1">
        <v>44609</v>
      </c>
      <c r="G371" t="str">
        <f>IF(COUNTIFS(Table1_3[Country],Table1_3[[#This Row],[Country]],Table1_3[Product],Table1_3[[#This Row],[Product]],Table1_3[Sales Person],Table1_3[[#This Row],[Sales Person]],Table1_3[Amount],"&lt;=100")&gt;=2,"Contract","Deal")</f>
        <v>Deal</v>
      </c>
    </row>
    <row r="372" spans="1:7" x14ac:dyDescent="0.3">
      <c r="A372" t="s">
        <v>41</v>
      </c>
      <c r="B372" t="s">
        <v>7</v>
      </c>
      <c r="C372" t="s">
        <v>50</v>
      </c>
      <c r="D372">
        <v>9059.82</v>
      </c>
      <c r="E372">
        <v>268</v>
      </c>
      <c r="F372" s="1">
        <v>44974</v>
      </c>
      <c r="G372" t="str">
        <f>IF(COUNTIFS(Table1_3[Country],Table1_3[[#This Row],[Country]],Table1_3[Product],Table1_3[[#This Row],[Product]],Table1_3[Sales Person],Table1_3[[#This Row],[Sales Person]],Table1_3[Amount],"&lt;=100")&gt;=2,"Contract","Deal")</f>
        <v>Deal</v>
      </c>
    </row>
    <row r="373" spans="1:7" x14ac:dyDescent="0.3">
      <c r="A373" t="s">
        <v>41</v>
      </c>
      <c r="B373" t="s">
        <v>7</v>
      </c>
      <c r="C373" t="s">
        <v>50</v>
      </c>
      <c r="D373">
        <v>9327.08</v>
      </c>
      <c r="E373">
        <v>259</v>
      </c>
      <c r="F373" s="1">
        <v>45339</v>
      </c>
      <c r="G373" t="str">
        <f>IF(COUNTIFS(Table1_3[Country],Table1_3[[#This Row],[Country]],Table1_3[Product],Table1_3[[#This Row],[Product]],Table1_3[Sales Person],Table1_3[[#This Row],[Sales Person]],Table1_3[Amount],"&lt;=100")&gt;=2,"Contract","Deal")</f>
        <v>Deal</v>
      </c>
    </row>
    <row r="374" spans="1:7" x14ac:dyDescent="0.3">
      <c r="A374" t="s">
        <v>41</v>
      </c>
      <c r="B374" t="s">
        <v>7</v>
      </c>
      <c r="C374" t="s">
        <v>59</v>
      </c>
      <c r="D374">
        <v>6475</v>
      </c>
      <c r="E374">
        <v>76</v>
      </c>
      <c r="F374" s="1">
        <v>44742</v>
      </c>
      <c r="G374" t="str">
        <f>IF(COUNTIFS(Table1_3[Country],Table1_3[[#This Row],[Country]],Table1_3[Product],Table1_3[[#This Row],[Product]],Table1_3[Sales Person],Table1_3[[#This Row],[Sales Person]],Table1_3[Amount],"&lt;=100")&gt;=2,"Contract","Deal")</f>
        <v>Deal</v>
      </c>
    </row>
    <row r="375" spans="1:7" x14ac:dyDescent="0.3">
      <c r="A375" t="s">
        <v>41</v>
      </c>
      <c r="B375" t="s">
        <v>7</v>
      </c>
      <c r="C375" t="s">
        <v>59</v>
      </c>
      <c r="D375">
        <v>6901.22</v>
      </c>
      <c r="E375">
        <v>80</v>
      </c>
      <c r="F375" s="1">
        <v>45107</v>
      </c>
      <c r="G375" t="str">
        <f>IF(COUNTIFS(Table1_3[Country],Table1_3[[#This Row],[Country]],Table1_3[Product],Table1_3[[#This Row],[Product]],Table1_3[Sales Person],Table1_3[[#This Row],[Sales Person]],Table1_3[Amount],"&lt;=100")&gt;=2,"Contract","Deal")</f>
        <v>Deal</v>
      </c>
    </row>
    <row r="376" spans="1:7" x14ac:dyDescent="0.3">
      <c r="A376" t="s">
        <v>41</v>
      </c>
      <c r="B376" t="s">
        <v>7</v>
      </c>
      <c r="C376" t="s">
        <v>59</v>
      </c>
      <c r="D376">
        <v>7108.96</v>
      </c>
      <c r="E376">
        <v>80</v>
      </c>
      <c r="F376" s="1">
        <v>45473</v>
      </c>
      <c r="G376" t="str">
        <f>IF(COUNTIFS(Table1_3[Country],Table1_3[[#This Row],[Country]],Table1_3[Product],Table1_3[[#This Row],[Product]],Table1_3[Sales Person],Table1_3[[#This Row],[Sales Person]],Table1_3[Amount],"&lt;=100")&gt;=2,"Contract","Deal")</f>
        <v>Deal</v>
      </c>
    </row>
    <row r="377" spans="1:7" x14ac:dyDescent="0.3">
      <c r="A377" t="s">
        <v>41</v>
      </c>
      <c r="B377" t="s">
        <v>32</v>
      </c>
      <c r="C377" t="s">
        <v>26</v>
      </c>
      <c r="D377">
        <v>2450</v>
      </c>
      <c r="E377">
        <v>352</v>
      </c>
      <c r="F377" s="1">
        <v>44770</v>
      </c>
      <c r="G377" t="str">
        <f>IF(COUNTIFS(Table1_3[Country],Table1_3[[#This Row],[Country]],Table1_3[Product],Table1_3[[#This Row],[Product]],Table1_3[Sales Person],Table1_3[[#This Row],[Sales Person]],Table1_3[Amount],"&lt;=100")&gt;=2,"Contract","Deal")</f>
        <v>Deal</v>
      </c>
    </row>
    <row r="378" spans="1:7" x14ac:dyDescent="0.3">
      <c r="A378" t="s">
        <v>41</v>
      </c>
      <c r="B378" t="s">
        <v>32</v>
      </c>
      <c r="C378" t="s">
        <v>26</v>
      </c>
      <c r="D378">
        <v>2620.19</v>
      </c>
      <c r="E378">
        <v>340</v>
      </c>
      <c r="F378" s="1">
        <v>45135</v>
      </c>
      <c r="G378" t="str">
        <f>IF(COUNTIFS(Table1_3[Country],Table1_3[[#This Row],[Country]],Table1_3[Product],Table1_3[[#This Row],[Product]],Table1_3[Sales Person],Table1_3[[#This Row],[Sales Person]],Table1_3[Amount],"&lt;=100")&gt;=2,"Contract","Deal")</f>
        <v>Deal</v>
      </c>
    </row>
    <row r="379" spans="1:7" x14ac:dyDescent="0.3">
      <c r="A379" t="s">
        <v>41</v>
      </c>
      <c r="B379" t="s">
        <v>32</v>
      </c>
      <c r="C379" t="s">
        <v>26</v>
      </c>
      <c r="D379">
        <v>2941.65</v>
      </c>
      <c r="E379">
        <v>360</v>
      </c>
      <c r="F379" s="1">
        <v>45501</v>
      </c>
      <c r="G379" t="str">
        <f>IF(COUNTIFS(Table1_3[Country],Table1_3[[#This Row],[Country]],Table1_3[Product],Table1_3[[#This Row],[Product]],Table1_3[Sales Person],Table1_3[[#This Row],[Sales Person]],Table1_3[Amount],"&lt;=100")&gt;=2,"Contract","Deal")</f>
        <v>Deal</v>
      </c>
    </row>
    <row r="380" spans="1:7" x14ac:dyDescent="0.3">
      <c r="A380" t="s">
        <v>41</v>
      </c>
      <c r="B380" t="s">
        <v>32</v>
      </c>
      <c r="C380" t="s">
        <v>100</v>
      </c>
      <c r="D380">
        <v>2275</v>
      </c>
      <c r="E380">
        <v>115</v>
      </c>
      <c r="F380" s="1">
        <v>44739</v>
      </c>
      <c r="G380" t="str">
        <f>IF(COUNTIFS(Table1_3[Country],Table1_3[[#This Row],[Country]],Table1_3[Product],Table1_3[[#This Row],[Product]],Table1_3[Sales Person],Table1_3[[#This Row],[Sales Person]],Table1_3[Amount],"&lt;=100")&gt;=2,"Contract","Deal")</f>
        <v>Deal</v>
      </c>
    </row>
    <row r="381" spans="1:7" x14ac:dyDescent="0.3">
      <c r="A381" t="s">
        <v>41</v>
      </c>
      <c r="B381" t="s">
        <v>32</v>
      </c>
      <c r="C381" t="s">
        <v>100</v>
      </c>
      <c r="D381">
        <v>2341.8000000000002</v>
      </c>
      <c r="E381">
        <v>117</v>
      </c>
      <c r="F381" s="1">
        <v>45104</v>
      </c>
      <c r="G381" t="str">
        <f>IF(COUNTIFS(Table1_3[Country],Table1_3[[#This Row],[Country]],Table1_3[Product],Table1_3[[#This Row],[Product]],Table1_3[Sales Person],Table1_3[[#This Row],[Sales Person]],Table1_3[Amount],"&lt;=100")&gt;=2,"Contract","Deal")</f>
        <v>Deal</v>
      </c>
    </row>
    <row r="382" spans="1:7" x14ac:dyDescent="0.3">
      <c r="A382" t="s">
        <v>41</v>
      </c>
      <c r="B382" t="s">
        <v>32</v>
      </c>
      <c r="C382" t="s">
        <v>100</v>
      </c>
      <c r="D382">
        <v>2636.16</v>
      </c>
      <c r="E382">
        <v>110</v>
      </c>
      <c r="F382" s="1">
        <v>45470</v>
      </c>
      <c r="G382" t="str">
        <f>IF(COUNTIFS(Table1_3[Country],Table1_3[[#This Row],[Country]],Table1_3[Product],Table1_3[[#This Row],[Product]],Table1_3[Sales Person],Table1_3[[#This Row],[Sales Person]],Table1_3[Amount],"&lt;=100")&gt;=2,"Contract","Deal")</f>
        <v>Deal</v>
      </c>
    </row>
    <row r="383" spans="1:7" x14ac:dyDescent="0.3">
      <c r="A383" t="s">
        <v>41</v>
      </c>
      <c r="B383" t="s">
        <v>32</v>
      </c>
      <c r="C383" t="s">
        <v>11</v>
      </c>
      <c r="D383">
        <v>12404</v>
      </c>
      <c r="E383">
        <v>334</v>
      </c>
      <c r="F383" s="1">
        <v>44796</v>
      </c>
      <c r="G383" t="str">
        <f>IF(COUNTIFS(Table1_3[Country],Table1_3[[#This Row],[Country]],Table1_3[Product],Table1_3[[#This Row],[Product]],Table1_3[Sales Person],Table1_3[[#This Row],[Sales Person]],Table1_3[Amount],"&lt;=100")&gt;=2,"Contract","Deal")</f>
        <v>Deal</v>
      </c>
    </row>
    <row r="384" spans="1:7" x14ac:dyDescent="0.3">
      <c r="A384" t="s">
        <v>41</v>
      </c>
      <c r="B384" t="s">
        <v>32</v>
      </c>
      <c r="C384" t="s">
        <v>11</v>
      </c>
      <c r="D384">
        <v>13156.49</v>
      </c>
      <c r="E384">
        <v>360</v>
      </c>
      <c r="F384" s="1">
        <v>45161</v>
      </c>
      <c r="G384" t="str">
        <f>IF(COUNTIFS(Table1_3[Country],Table1_3[[#This Row],[Country]],Table1_3[Product],Table1_3[[#This Row],[Product]],Table1_3[Sales Person],Table1_3[[#This Row],[Sales Person]],Table1_3[Amount],"&lt;=100")&gt;=2,"Contract","Deal")</f>
        <v>Deal</v>
      </c>
    </row>
    <row r="385" spans="1:7" x14ac:dyDescent="0.3">
      <c r="A385" t="s">
        <v>41</v>
      </c>
      <c r="B385" t="s">
        <v>32</v>
      </c>
      <c r="C385" t="s">
        <v>11</v>
      </c>
      <c r="D385">
        <v>14028.4</v>
      </c>
      <c r="E385">
        <v>344</v>
      </c>
      <c r="F385" s="1">
        <v>45527</v>
      </c>
      <c r="G385" t="str">
        <f>IF(COUNTIFS(Table1_3[Country],Table1_3[[#This Row],[Country]],Table1_3[Product],Table1_3[[#This Row],[Product]],Table1_3[Sales Person],Table1_3[[#This Row],[Sales Person]],Table1_3[Amount],"&lt;=100")&gt;=2,"Contract","Deal")</f>
        <v>Deal</v>
      </c>
    </row>
    <row r="386" spans="1:7" x14ac:dyDescent="0.3">
      <c r="A386" t="s">
        <v>41</v>
      </c>
      <c r="B386" t="s">
        <v>32</v>
      </c>
      <c r="C386" t="s">
        <v>13</v>
      </c>
      <c r="D386">
        <v>13930</v>
      </c>
      <c r="E386">
        <v>339</v>
      </c>
      <c r="F386" s="1">
        <v>44791</v>
      </c>
      <c r="G386" t="str">
        <f>IF(COUNTIFS(Table1_3[Country],Table1_3[[#This Row],[Country]],Table1_3[Product],Table1_3[[#This Row],[Product]],Table1_3[Sales Person],Table1_3[[#This Row],[Sales Person]],Table1_3[Amount],"&lt;=100")&gt;=2,"Contract","Deal")</f>
        <v>Deal</v>
      </c>
    </row>
    <row r="387" spans="1:7" x14ac:dyDescent="0.3">
      <c r="A387" t="s">
        <v>41</v>
      </c>
      <c r="B387" t="s">
        <v>32</v>
      </c>
      <c r="C387" t="s">
        <v>13</v>
      </c>
      <c r="D387">
        <v>13951.32</v>
      </c>
      <c r="E387">
        <v>329</v>
      </c>
      <c r="F387" s="1">
        <v>45156</v>
      </c>
      <c r="G387" t="str">
        <f>IF(COUNTIFS(Table1_3[Country],Table1_3[[#This Row],[Country]],Table1_3[Product],Table1_3[[#This Row],[Product]],Table1_3[Sales Person],Table1_3[[#This Row],[Sales Person]],Table1_3[Amount],"&lt;=100")&gt;=2,"Contract","Deal")</f>
        <v>Deal</v>
      </c>
    </row>
    <row r="388" spans="1:7" x14ac:dyDescent="0.3">
      <c r="A388" t="s">
        <v>41</v>
      </c>
      <c r="B388" t="s">
        <v>32</v>
      </c>
      <c r="C388" t="s">
        <v>13</v>
      </c>
      <c r="D388">
        <v>15722.43</v>
      </c>
      <c r="E388">
        <v>351</v>
      </c>
      <c r="F388" s="1">
        <v>45522</v>
      </c>
      <c r="G388" t="str">
        <f>IF(COUNTIFS(Table1_3[Country],Table1_3[[#This Row],[Country]],Table1_3[Product],Table1_3[[#This Row],[Product]],Table1_3[Sales Person],Table1_3[[#This Row],[Sales Person]],Table1_3[Amount],"&lt;=100")&gt;=2,"Contract","Deal")</f>
        <v>Deal</v>
      </c>
    </row>
    <row r="389" spans="1:7" x14ac:dyDescent="0.3">
      <c r="A389" t="s">
        <v>41</v>
      </c>
      <c r="B389" t="s">
        <v>32</v>
      </c>
      <c r="C389" t="s">
        <v>73</v>
      </c>
      <c r="D389">
        <v>14798</v>
      </c>
      <c r="E389">
        <v>83</v>
      </c>
      <c r="F389" s="1">
        <v>44670</v>
      </c>
      <c r="G389" t="str">
        <f>IF(COUNTIFS(Table1_3[Country],Table1_3[[#This Row],[Country]],Table1_3[Product],Table1_3[[#This Row],[Product]],Table1_3[Sales Person],Table1_3[[#This Row],[Sales Person]],Table1_3[Amount],"&lt;=100")&gt;=2,"Contract","Deal")</f>
        <v>Deal</v>
      </c>
    </row>
    <row r="390" spans="1:7" x14ac:dyDescent="0.3">
      <c r="A390" t="s">
        <v>41</v>
      </c>
      <c r="B390" t="s">
        <v>32</v>
      </c>
      <c r="C390" t="s">
        <v>73</v>
      </c>
      <c r="D390">
        <v>16223.83</v>
      </c>
      <c r="E390">
        <v>87</v>
      </c>
      <c r="F390" s="1">
        <v>45035</v>
      </c>
      <c r="G390" t="str">
        <f>IF(COUNTIFS(Table1_3[Country],Table1_3[[#This Row],[Country]],Table1_3[Product],Table1_3[[#This Row],[Product]],Table1_3[Sales Person],Table1_3[[#This Row],[Sales Person]],Table1_3[Amount],"&lt;=100")&gt;=2,"Contract","Deal")</f>
        <v>Deal</v>
      </c>
    </row>
    <row r="391" spans="1:7" x14ac:dyDescent="0.3">
      <c r="A391" t="s">
        <v>41</v>
      </c>
      <c r="B391" t="s">
        <v>32</v>
      </c>
      <c r="C391" t="s">
        <v>73</v>
      </c>
      <c r="D391">
        <v>16414.689999999999</v>
      </c>
      <c r="E391">
        <v>80</v>
      </c>
      <c r="F391" s="1">
        <v>45401</v>
      </c>
      <c r="G391" t="str">
        <f>IF(COUNTIFS(Table1_3[Country],Table1_3[[#This Row],[Country]],Table1_3[Product],Table1_3[[#This Row],[Product]],Table1_3[Sales Person],Table1_3[[#This Row],[Sales Person]],Table1_3[Amount],"&lt;=100")&gt;=2,"Contract","Deal")</f>
        <v>Deal</v>
      </c>
    </row>
    <row r="392" spans="1:7" x14ac:dyDescent="0.3">
      <c r="A392" t="s">
        <v>41</v>
      </c>
      <c r="B392" t="s">
        <v>32</v>
      </c>
      <c r="C392" t="s">
        <v>18</v>
      </c>
      <c r="D392">
        <v>2317</v>
      </c>
      <c r="E392">
        <v>352</v>
      </c>
      <c r="F392" s="1">
        <v>44644</v>
      </c>
      <c r="G392" t="str">
        <f>IF(COUNTIFS(Table1_3[Country],Table1_3[[#This Row],[Country]],Table1_3[Product],Table1_3[[#This Row],[Product]],Table1_3[Sales Person],Table1_3[[#This Row],[Sales Person]],Table1_3[Amount],"&lt;=100")&gt;=2,"Contract","Deal")</f>
        <v>Deal</v>
      </c>
    </row>
    <row r="393" spans="1:7" x14ac:dyDescent="0.3">
      <c r="A393" t="s">
        <v>41</v>
      </c>
      <c r="B393" t="s">
        <v>32</v>
      </c>
      <c r="C393" t="s">
        <v>18</v>
      </c>
      <c r="D393">
        <v>2556.2600000000002</v>
      </c>
      <c r="E393">
        <v>354</v>
      </c>
      <c r="F393" s="1">
        <v>45009</v>
      </c>
      <c r="G393" t="str">
        <f>IF(COUNTIFS(Table1_3[Country],Table1_3[[#This Row],[Country]],Table1_3[Product],Table1_3[[#This Row],[Product]],Table1_3[Sales Person],Table1_3[[#This Row],[Sales Person]],Table1_3[Amount],"&lt;=100")&gt;=2,"Contract","Deal")</f>
        <v>Deal</v>
      </c>
    </row>
    <row r="394" spans="1:7" x14ac:dyDescent="0.3">
      <c r="A394" t="s">
        <v>41</v>
      </c>
      <c r="B394" t="s">
        <v>32</v>
      </c>
      <c r="C394" t="s">
        <v>18</v>
      </c>
      <c r="D394">
        <v>2787.72</v>
      </c>
      <c r="E394">
        <v>342</v>
      </c>
      <c r="F394" s="1">
        <v>45375</v>
      </c>
      <c r="G394" t="str">
        <f>IF(COUNTIFS(Table1_3[Country],Table1_3[[#This Row],[Country]],Table1_3[Product],Table1_3[[#This Row],[Product]],Table1_3[Sales Person],Table1_3[[#This Row],[Sales Person]],Table1_3[Amount],"&lt;=100")&gt;=2,"Contract","Deal")</f>
        <v>Deal</v>
      </c>
    </row>
    <row r="395" spans="1:7" x14ac:dyDescent="0.3">
      <c r="A395" t="s">
        <v>41</v>
      </c>
      <c r="B395" t="s">
        <v>32</v>
      </c>
      <c r="C395" t="s">
        <v>59</v>
      </c>
      <c r="D395">
        <v>5292</v>
      </c>
      <c r="E395">
        <v>134</v>
      </c>
      <c r="F395" s="1">
        <v>44631</v>
      </c>
      <c r="G395" t="str">
        <f>IF(COUNTIFS(Table1_3[Country],Table1_3[[#This Row],[Country]],Table1_3[Product],Table1_3[[#This Row],[Product]],Table1_3[Sales Person],Table1_3[[#This Row],[Sales Person]],Table1_3[Amount],"&lt;=100")&gt;=2,"Contract","Deal")</f>
        <v>Deal</v>
      </c>
    </row>
    <row r="396" spans="1:7" x14ac:dyDescent="0.3">
      <c r="A396" t="s">
        <v>41</v>
      </c>
      <c r="B396" t="s">
        <v>32</v>
      </c>
      <c r="C396" t="s">
        <v>59</v>
      </c>
      <c r="D396">
        <v>5639.9</v>
      </c>
      <c r="E396">
        <v>129</v>
      </c>
      <c r="F396" s="1">
        <v>44996</v>
      </c>
      <c r="G396" t="str">
        <f>IF(COUNTIFS(Table1_3[Country],Table1_3[[#This Row],[Country]],Table1_3[Product],Table1_3[[#This Row],[Product]],Table1_3[Sales Person],Table1_3[[#This Row],[Sales Person]],Table1_3[Amount],"&lt;=100")&gt;=2,"Contract","Deal")</f>
        <v>Deal</v>
      </c>
    </row>
    <row r="397" spans="1:7" x14ac:dyDescent="0.3">
      <c r="A397" t="s">
        <v>41</v>
      </c>
      <c r="B397" t="s">
        <v>32</v>
      </c>
      <c r="C397" t="s">
        <v>59</v>
      </c>
      <c r="D397">
        <v>5964.72</v>
      </c>
      <c r="E397">
        <v>136</v>
      </c>
      <c r="F397" s="1">
        <v>45362</v>
      </c>
      <c r="G397" t="str">
        <f>IF(COUNTIFS(Table1_3[Country],Table1_3[[#This Row],[Country]],Table1_3[Product],Table1_3[[#This Row],[Product]],Table1_3[Sales Person],Table1_3[[#This Row],[Sales Person]],Table1_3[Amount],"&lt;=100")&gt;=2,"Contract","Deal")</f>
        <v>Deal</v>
      </c>
    </row>
    <row r="398" spans="1:7" x14ac:dyDescent="0.3">
      <c r="A398" t="s">
        <v>28</v>
      </c>
      <c r="B398" t="s">
        <v>15</v>
      </c>
      <c r="C398" t="s">
        <v>20</v>
      </c>
      <c r="D398">
        <v>2835</v>
      </c>
      <c r="E398">
        <v>102</v>
      </c>
      <c r="F398" s="1">
        <v>44746</v>
      </c>
      <c r="G398" t="str">
        <f>IF(COUNTIFS(Table1_3[Country],Table1_3[[#This Row],[Country]],Table1_3[Product],Table1_3[[#This Row],[Product]],Table1_3[Sales Person],Table1_3[[#This Row],[Sales Person]],Table1_3[Amount],"&lt;=100")&gt;=2,"Contract","Deal")</f>
        <v>Deal</v>
      </c>
    </row>
    <row r="399" spans="1:7" x14ac:dyDescent="0.3">
      <c r="A399" t="s">
        <v>28</v>
      </c>
      <c r="B399" t="s">
        <v>15</v>
      </c>
      <c r="C399" t="s">
        <v>20</v>
      </c>
      <c r="D399">
        <v>3166.56</v>
      </c>
      <c r="E399">
        <v>98</v>
      </c>
      <c r="F399" s="1">
        <v>45111</v>
      </c>
      <c r="G399" t="str">
        <f>IF(COUNTIFS(Table1_3[Country],Table1_3[[#This Row],[Country]],Table1_3[Product],Table1_3[[#This Row],[Product]],Table1_3[Sales Person],Table1_3[[#This Row],[Sales Person]],Table1_3[Amount],"&lt;=100")&gt;=2,"Contract","Deal")</f>
        <v>Deal</v>
      </c>
    </row>
    <row r="400" spans="1:7" x14ac:dyDescent="0.3">
      <c r="A400" t="s">
        <v>28</v>
      </c>
      <c r="B400" t="s">
        <v>15</v>
      </c>
      <c r="C400" t="s">
        <v>20</v>
      </c>
      <c r="D400">
        <v>3356.17</v>
      </c>
      <c r="E400">
        <v>111</v>
      </c>
      <c r="F400" s="1">
        <v>45477</v>
      </c>
      <c r="G400" t="str">
        <f>IF(COUNTIFS(Table1_3[Country],Table1_3[[#This Row],[Country]],Table1_3[Product],Table1_3[[#This Row],[Product]],Table1_3[Sales Person],Table1_3[[#This Row],[Sales Person]],Table1_3[Amount],"&lt;=100")&gt;=2,"Contract","Deal")</f>
        <v>Deal</v>
      </c>
    </row>
    <row r="401" spans="1:7" x14ac:dyDescent="0.3">
      <c r="A401" t="s">
        <v>28</v>
      </c>
      <c r="B401" t="s">
        <v>15</v>
      </c>
      <c r="C401" t="s">
        <v>87</v>
      </c>
      <c r="D401">
        <v>12516</v>
      </c>
      <c r="E401">
        <v>212</v>
      </c>
      <c r="F401" s="1">
        <v>44565</v>
      </c>
      <c r="G401" t="str">
        <f>IF(COUNTIFS(Table1_3[Country],Table1_3[[#This Row],[Country]],Table1_3[Product],Table1_3[[#This Row],[Product]],Table1_3[Sales Person],Table1_3[[#This Row],[Sales Person]],Table1_3[Amount],"&lt;=100")&gt;=2,"Contract","Deal")</f>
        <v>Deal</v>
      </c>
    </row>
    <row r="402" spans="1:7" x14ac:dyDescent="0.3">
      <c r="A402" t="s">
        <v>28</v>
      </c>
      <c r="B402" t="s">
        <v>15</v>
      </c>
      <c r="C402" t="s">
        <v>87</v>
      </c>
      <c r="D402">
        <v>12870.47</v>
      </c>
      <c r="E402">
        <v>227</v>
      </c>
      <c r="F402" s="1">
        <v>44930</v>
      </c>
      <c r="G402" t="str">
        <f>IF(COUNTIFS(Table1_3[Country],Table1_3[[#This Row],[Country]],Table1_3[Product],Table1_3[[#This Row],[Product]],Table1_3[Sales Person],Table1_3[[#This Row],[Sales Person]],Table1_3[Amount],"&lt;=100")&gt;=2,"Contract","Deal")</f>
        <v>Deal</v>
      </c>
    </row>
    <row r="403" spans="1:7" x14ac:dyDescent="0.3">
      <c r="A403" t="s">
        <v>28</v>
      </c>
      <c r="B403" t="s">
        <v>15</v>
      </c>
      <c r="C403" t="s">
        <v>87</v>
      </c>
      <c r="D403">
        <v>14957.65</v>
      </c>
      <c r="E403">
        <v>206</v>
      </c>
      <c r="F403" s="1">
        <v>45295</v>
      </c>
      <c r="G403" t="str">
        <f>IF(COUNTIFS(Table1_3[Country],Table1_3[[#This Row],[Country]],Table1_3[Product],Table1_3[[#This Row],[Product]],Table1_3[Sales Person],Table1_3[[#This Row],[Sales Person]],Table1_3[Amount],"&lt;=100")&gt;=2,"Contract","Deal")</f>
        <v>Deal</v>
      </c>
    </row>
    <row r="404" spans="1:7" x14ac:dyDescent="0.3">
      <c r="A404" t="s">
        <v>28</v>
      </c>
      <c r="B404" t="s">
        <v>15</v>
      </c>
      <c r="C404" t="s">
        <v>75</v>
      </c>
      <c r="D404">
        <v>5124</v>
      </c>
      <c r="E404">
        <v>62</v>
      </c>
      <c r="F404" s="1">
        <v>44706</v>
      </c>
      <c r="G404" t="str">
        <f>IF(COUNTIFS(Table1_3[Country],Table1_3[[#This Row],[Country]],Table1_3[Product],Table1_3[[#This Row],[Product]],Table1_3[Sales Person],Table1_3[[#This Row],[Sales Person]],Table1_3[Amount],"&lt;=100")&gt;=2,"Contract","Deal")</f>
        <v>Deal</v>
      </c>
    </row>
    <row r="405" spans="1:7" x14ac:dyDescent="0.3">
      <c r="A405" t="s">
        <v>28</v>
      </c>
      <c r="B405" t="s">
        <v>15</v>
      </c>
      <c r="C405" t="s">
        <v>75</v>
      </c>
      <c r="D405">
        <v>5641.54</v>
      </c>
      <c r="E405">
        <v>61</v>
      </c>
      <c r="F405" s="1">
        <v>45071</v>
      </c>
      <c r="G405" t="str">
        <f>IF(COUNTIFS(Table1_3[Country],Table1_3[[#This Row],[Country]],Table1_3[Product],Table1_3[[#This Row],[Product]],Table1_3[Sales Person],Table1_3[[#This Row],[Sales Person]],Table1_3[Amount],"&lt;=100")&gt;=2,"Contract","Deal")</f>
        <v>Deal</v>
      </c>
    </row>
    <row r="406" spans="1:7" x14ac:dyDescent="0.3">
      <c r="A406" t="s">
        <v>28</v>
      </c>
      <c r="B406" t="s">
        <v>15</v>
      </c>
      <c r="C406" t="s">
        <v>75</v>
      </c>
      <c r="D406">
        <v>5532.85</v>
      </c>
      <c r="E406">
        <v>63</v>
      </c>
      <c r="F406" s="1">
        <v>45437</v>
      </c>
      <c r="G406" t="str">
        <f>IF(COUNTIFS(Table1_3[Country],Table1_3[[#This Row],[Country]],Table1_3[Product],Table1_3[[#This Row],[Product]],Table1_3[Sales Person],Table1_3[[#This Row],[Sales Person]],Table1_3[Amount],"&lt;=100")&gt;=2,"Contract","Deal")</f>
        <v>Deal</v>
      </c>
    </row>
    <row r="407" spans="1:7" x14ac:dyDescent="0.3">
      <c r="A407" t="s">
        <v>28</v>
      </c>
      <c r="B407" t="s">
        <v>15</v>
      </c>
      <c r="C407" t="s">
        <v>38</v>
      </c>
      <c r="D407">
        <v>6832</v>
      </c>
      <c r="E407">
        <v>156</v>
      </c>
      <c r="F407" s="1">
        <v>44769</v>
      </c>
      <c r="G407" t="str">
        <f>IF(COUNTIFS(Table1_3[Country],Table1_3[[#This Row],[Country]],Table1_3[Product],Table1_3[[#This Row],[Product]],Table1_3[Sales Person],Table1_3[[#This Row],[Sales Person]],Table1_3[Amount],"&lt;=100")&gt;=2,"Contract","Deal")</f>
        <v>Deal</v>
      </c>
    </row>
    <row r="408" spans="1:7" x14ac:dyDescent="0.3">
      <c r="A408" t="s">
        <v>28</v>
      </c>
      <c r="B408" t="s">
        <v>15</v>
      </c>
      <c r="C408" t="s">
        <v>38</v>
      </c>
      <c r="D408">
        <v>7262.12</v>
      </c>
      <c r="E408">
        <v>158</v>
      </c>
      <c r="F408" s="1">
        <v>45134</v>
      </c>
      <c r="G408" t="str">
        <f>IF(COUNTIFS(Table1_3[Country],Table1_3[[#This Row],[Country]],Table1_3[Product],Table1_3[[#This Row],[Product]],Table1_3[Sales Person],Table1_3[[#This Row],[Sales Person]],Table1_3[Amount],"&lt;=100")&gt;=2,"Contract","Deal")</f>
        <v>Deal</v>
      </c>
    </row>
    <row r="409" spans="1:7" x14ac:dyDescent="0.3">
      <c r="A409" t="s">
        <v>28</v>
      </c>
      <c r="B409" t="s">
        <v>15</v>
      </c>
      <c r="C409" t="s">
        <v>38</v>
      </c>
      <c r="D409">
        <v>7192.41</v>
      </c>
      <c r="E409">
        <v>159</v>
      </c>
      <c r="F409" s="1">
        <v>45500</v>
      </c>
      <c r="G409" t="str">
        <f>IF(COUNTIFS(Table1_3[Country],Table1_3[[#This Row],[Country]],Table1_3[Product],Table1_3[[#This Row],[Product]],Table1_3[Sales Person],Table1_3[[#This Row],[Sales Person]],Table1_3[Amount],"&lt;=100")&gt;=2,"Contract","Deal")</f>
        <v>Deal</v>
      </c>
    </row>
    <row r="410" spans="1:7" x14ac:dyDescent="0.3">
      <c r="A410" t="s">
        <v>28</v>
      </c>
      <c r="B410" t="s">
        <v>15</v>
      </c>
      <c r="C410" t="s">
        <v>36</v>
      </c>
      <c r="D410">
        <v>6888</v>
      </c>
      <c r="E410">
        <v>88</v>
      </c>
      <c r="F410" s="1">
        <v>44739</v>
      </c>
      <c r="G410" t="str">
        <f>IF(COUNTIFS(Table1_3[Country],Table1_3[[#This Row],[Country]],Table1_3[Product],Table1_3[[#This Row],[Product]],Table1_3[Sales Person],Table1_3[[#This Row],[Sales Person]],Table1_3[Amount],"&lt;=100")&gt;=2,"Contract","Deal")</f>
        <v>Deal</v>
      </c>
    </row>
    <row r="411" spans="1:7" x14ac:dyDescent="0.3">
      <c r="A411" t="s">
        <v>28</v>
      </c>
      <c r="B411" t="s">
        <v>15</v>
      </c>
      <c r="C411" t="s">
        <v>36</v>
      </c>
      <c r="D411">
        <v>7484.07</v>
      </c>
      <c r="E411">
        <v>94</v>
      </c>
      <c r="F411" s="1">
        <v>45104</v>
      </c>
      <c r="G411" t="str">
        <f>IF(COUNTIFS(Table1_3[Country],Table1_3[[#This Row],[Country]],Table1_3[Product],Table1_3[[#This Row],[Product]],Table1_3[Sales Person],Table1_3[[#This Row],[Sales Person]],Table1_3[Amount],"&lt;=100")&gt;=2,"Contract","Deal")</f>
        <v>Deal</v>
      </c>
    </row>
    <row r="412" spans="1:7" x14ac:dyDescent="0.3">
      <c r="A412" t="s">
        <v>28</v>
      </c>
      <c r="B412" t="s">
        <v>15</v>
      </c>
      <c r="C412" t="s">
        <v>36</v>
      </c>
      <c r="D412">
        <v>8222.65</v>
      </c>
      <c r="E412">
        <v>92</v>
      </c>
      <c r="F412" s="1">
        <v>45470</v>
      </c>
      <c r="G412" t="str">
        <f>IF(COUNTIFS(Table1_3[Country],Table1_3[[#This Row],[Country]],Table1_3[Product],Table1_3[[#This Row],[Product]],Table1_3[Sales Person],Table1_3[[#This Row],[Sales Person]],Table1_3[Amount],"&lt;=100")&gt;=2,"Contract","Deal")</f>
        <v>Deal</v>
      </c>
    </row>
    <row r="413" spans="1:7" x14ac:dyDescent="0.3">
      <c r="A413" t="s">
        <v>28</v>
      </c>
      <c r="B413" t="s">
        <v>15</v>
      </c>
      <c r="C413" t="s">
        <v>57</v>
      </c>
      <c r="D413">
        <v>8575</v>
      </c>
      <c r="E413">
        <v>23</v>
      </c>
      <c r="F413" s="1">
        <v>44718</v>
      </c>
      <c r="G413" t="str">
        <f>IF(COUNTIFS(Table1_3[Country],Table1_3[[#This Row],[Country]],Table1_3[Product],Table1_3[[#This Row],[Product]],Table1_3[Sales Person],Table1_3[[#This Row],[Sales Person]],Table1_3[Amount],"&lt;=100")&gt;=2,"Contract","Deal")</f>
        <v>Deal</v>
      </c>
    </row>
    <row r="414" spans="1:7" x14ac:dyDescent="0.3">
      <c r="A414" t="s">
        <v>28</v>
      </c>
      <c r="B414" t="s">
        <v>15</v>
      </c>
      <c r="C414" t="s">
        <v>57</v>
      </c>
      <c r="D414">
        <v>8558.59</v>
      </c>
      <c r="E414">
        <v>24</v>
      </c>
      <c r="F414" s="1">
        <v>45083</v>
      </c>
      <c r="G414" t="str">
        <f>IF(COUNTIFS(Table1_3[Country],Table1_3[[#This Row],[Country]],Table1_3[Product],Table1_3[[#This Row],[Product]],Table1_3[Sales Person],Table1_3[[#This Row],[Sales Person]],Table1_3[Amount],"&lt;=100")&gt;=2,"Contract","Deal")</f>
        <v>Deal</v>
      </c>
    </row>
    <row r="415" spans="1:7" x14ac:dyDescent="0.3">
      <c r="A415" t="s">
        <v>28</v>
      </c>
      <c r="B415" t="s">
        <v>15</v>
      </c>
      <c r="C415" t="s">
        <v>57</v>
      </c>
      <c r="D415">
        <v>9771.93</v>
      </c>
      <c r="E415">
        <v>22</v>
      </c>
      <c r="F415" s="1">
        <v>45449</v>
      </c>
      <c r="G415" t="str">
        <f>IF(COUNTIFS(Table1_3[Country],Table1_3[[#This Row],[Country]],Table1_3[Product],Table1_3[[#This Row],[Product]],Table1_3[Sales Person],Table1_3[[#This Row],[Sales Person]],Table1_3[Amount],"&lt;=100")&gt;=2,"Contract","Deal")</f>
        <v>Deal</v>
      </c>
    </row>
    <row r="416" spans="1:7" x14ac:dyDescent="0.3">
      <c r="A416" t="s">
        <v>28</v>
      </c>
      <c r="B416" t="s">
        <v>15</v>
      </c>
      <c r="C416" t="s">
        <v>46</v>
      </c>
      <c r="D416">
        <v>1981</v>
      </c>
      <c r="E416">
        <v>52</v>
      </c>
      <c r="F416" s="1">
        <v>44769</v>
      </c>
      <c r="G416" t="str">
        <f>IF(COUNTIFS(Table1_3[Country],Table1_3[[#This Row],[Country]],Table1_3[Product],Table1_3[[#This Row],[Product]],Table1_3[Sales Person],Table1_3[[#This Row],[Sales Person]],Table1_3[Amount],"&lt;=100")&gt;=2,"Contract","Deal")</f>
        <v>Deal</v>
      </c>
    </row>
    <row r="417" spans="1:7" x14ac:dyDescent="0.3">
      <c r="A417" t="s">
        <v>28</v>
      </c>
      <c r="B417" t="s">
        <v>15</v>
      </c>
      <c r="C417" t="s">
        <v>46</v>
      </c>
      <c r="D417">
        <v>2117.8200000000002</v>
      </c>
      <c r="E417">
        <v>56</v>
      </c>
      <c r="F417" s="1">
        <v>45134</v>
      </c>
      <c r="G417" t="str">
        <f>IF(COUNTIFS(Table1_3[Country],Table1_3[[#This Row],[Country]],Table1_3[Product],Table1_3[[#This Row],[Product]],Table1_3[Sales Person],Table1_3[[#This Row],[Sales Person]],Table1_3[Amount],"&lt;=100")&gt;=2,"Contract","Deal")</f>
        <v>Deal</v>
      </c>
    </row>
    <row r="418" spans="1:7" x14ac:dyDescent="0.3">
      <c r="A418" t="s">
        <v>28</v>
      </c>
      <c r="B418" t="s">
        <v>15</v>
      </c>
      <c r="C418" t="s">
        <v>46</v>
      </c>
      <c r="D418">
        <v>2356.21</v>
      </c>
      <c r="E418">
        <v>54</v>
      </c>
      <c r="F418" s="1">
        <v>45500</v>
      </c>
      <c r="G418" t="str">
        <f>IF(COUNTIFS(Table1_3[Country],Table1_3[[#This Row],[Country]],Table1_3[Product],Table1_3[[#This Row],[Product]],Table1_3[Sales Person],Table1_3[[#This Row],[Sales Person]],Table1_3[Amount],"&lt;=100")&gt;=2,"Contract","Deal")</f>
        <v>Deal</v>
      </c>
    </row>
    <row r="419" spans="1:7" x14ac:dyDescent="0.3">
      <c r="A419" t="s">
        <v>28</v>
      </c>
      <c r="B419" t="s">
        <v>15</v>
      </c>
      <c r="C419" t="s">
        <v>42</v>
      </c>
      <c r="D419">
        <v>4263</v>
      </c>
      <c r="E419">
        <v>264</v>
      </c>
      <c r="F419" s="1">
        <v>44757</v>
      </c>
      <c r="G419" t="str">
        <f>IF(COUNTIFS(Table1_3[Country],Table1_3[[#This Row],[Country]],Table1_3[Product],Table1_3[[#This Row],[Product]],Table1_3[Sales Person],Table1_3[[#This Row],[Sales Person]],Table1_3[Amount],"&lt;=100")&gt;=2,"Contract","Deal")</f>
        <v>Deal</v>
      </c>
    </row>
    <row r="420" spans="1:7" x14ac:dyDescent="0.3">
      <c r="A420" t="s">
        <v>28</v>
      </c>
      <c r="B420" t="s">
        <v>15</v>
      </c>
      <c r="C420" t="s">
        <v>42</v>
      </c>
      <c r="D420">
        <v>4479.6899999999996</v>
      </c>
      <c r="E420">
        <v>261</v>
      </c>
      <c r="F420" s="1">
        <v>45122</v>
      </c>
      <c r="G420" t="str">
        <f>IF(COUNTIFS(Table1_3[Country],Table1_3[[#This Row],[Country]],Table1_3[Product],Table1_3[[#This Row],[Product]],Table1_3[Sales Person],Table1_3[[#This Row],[Sales Person]],Table1_3[Amount],"&lt;=100")&gt;=2,"Contract","Deal")</f>
        <v>Deal</v>
      </c>
    </row>
    <row r="421" spans="1:7" x14ac:dyDescent="0.3">
      <c r="A421" t="s">
        <v>28</v>
      </c>
      <c r="B421" t="s">
        <v>15</v>
      </c>
      <c r="C421" t="s">
        <v>42</v>
      </c>
      <c r="D421">
        <v>4768.88</v>
      </c>
      <c r="E421">
        <v>281</v>
      </c>
      <c r="F421" s="1">
        <v>45488</v>
      </c>
      <c r="G421" t="str">
        <f>IF(COUNTIFS(Table1_3[Country],Table1_3[[#This Row],[Country]],Table1_3[Product],Table1_3[[#This Row],[Product]],Table1_3[Sales Person],Table1_3[[#This Row],[Sales Person]],Table1_3[Amount],"&lt;=100")&gt;=2,"Contract","Deal")</f>
        <v>Deal</v>
      </c>
    </row>
    <row r="422" spans="1:7" x14ac:dyDescent="0.3">
      <c r="A422" t="s">
        <v>28</v>
      </c>
      <c r="B422" t="s">
        <v>15</v>
      </c>
      <c r="C422" t="s">
        <v>13</v>
      </c>
      <c r="D422">
        <v>301</v>
      </c>
      <c r="E422">
        <v>205</v>
      </c>
      <c r="F422" s="1">
        <v>44792</v>
      </c>
      <c r="G422" t="str">
        <f>IF(COUNTIFS(Table1_3[Country],Table1_3[[#This Row],[Country]],Table1_3[Product],Table1_3[[#This Row],[Product]],Table1_3[Sales Person],Table1_3[[#This Row],[Sales Person]],Table1_3[Amount],"&lt;=100")&gt;=2,"Contract","Deal")</f>
        <v>Deal</v>
      </c>
    </row>
    <row r="423" spans="1:7" x14ac:dyDescent="0.3">
      <c r="A423" t="s">
        <v>28</v>
      </c>
      <c r="B423" t="s">
        <v>15</v>
      </c>
      <c r="C423" t="s">
        <v>13</v>
      </c>
      <c r="D423">
        <v>311.61</v>
      </c>
      <c r="E423">
        <v>204</v>
      </c>
      <c r="F423" s="1">
        <v>45157</v>
      </c>
      <c r="G423" t="str">
        <f>IF(COUNTIFS(Table1_3[Country],Table1_3[[#This Row],[Country]],Table1_3[Product],Table1_3[[#This Row],[Product]],Table1_3[Sales Person],Table1_3[[#This Row],[Sales Person]],Table1_3[Amount],"&lt;=100")&gt;=2,"Contract","Deal")</f>
        <v>Deal</v>
      </c>
    </row>
    <row r="424" spans="1:7" x14ac:dyDescent="0.3">
      <c r="A424" t="s">
        <v>28</v>
      </c>
      <c r="B424" t="s">
        <v>15</v>
      </c>
      <c r="C424" t="s">
        <v>13</v>
      </c>
      <c r="D424">
        <v>352.51</v>
      </c>
      <c r="E424">
        <v>196</v>
      </c>
      <c r="F424" s="1">
        <v>45523</v>
      </c>
      <c r="G424" t="str">
        <f>IF(COUNTIFS(Table1_3[Country],Table1_3[[#This Row],[Country]],Table1_3[Product],Table1_3[[#This Row],[Product]],Table1_3[Sales Person],Table1_3[[#This Row],[Sales Person]],Table1_3[Amount],"&lt;=100")&gt;=2,"Contract","Deal")</f>
        <v>Deal</v>
      </c>
    </row>
    <row r="425" spans="1:7" x14ac:dyDescent="0.3">
      <c r="A425" t="s">
        <v>28</v>
      </c>
      <c r="B425" t="s">
        <v>15</v>
      </c>
      <c r="C425" t="s">
        <v>50</v>
      </c>
      <c r="D425">
        <v>6223</v>
      </c>
      <c r="E425">
        <v>256</v>
      </c>
      <c r="F425" s="1">
        <v>44690</v>
      </c>
      <c r="G425" t="str">
        <f>IF(COUNTIFS(Table1_3[Country],Table1_3[[#This Row],[Country]],Table1_3[Product],Table1_3[[#This Row],[Product]],Table1_3[Sales Person],Table1_3[[#This Row],[Sales Person]],Table1_3[Amount],"&lt;=100")&gt;=2,"Contract","Deal")</f>
        <v>Deal</v>
      </c>
    </row>
    <row r="426" spans="1:7" x14ac:dyDescent="0.3">
      <c r="A426" t="s">
        <v>28</v>
      </c>
      <c r="B426" t="s">
        <v>15</v>
      </c>
      <c r="C426" t="s">
        <v>50</v>
      </c>
      <c r="D426">
        <v>6707.63</v>
      </c>
      <c r="E426">
        <v>269</v>
      </c>
      <c r="F426" s="1">
        <v>45055</v>
      </c>
      <c r="G426" t="str">
        <f>IF(COUNTIFS(Table1_3[Country],Table1_3[[#This Row],[Country]],Table1_3[Product],Table1_3[[#This Row],[Product]],Table1_3[Sales Person],Table1_3[[#This Row],[Sales Person]],Table1_3[Amount],"&lt;=100")&gt;=2,"Contract","Deal")</f>
        <v>Deal</v>
      </c>
    </row>
    <row r="427" spans="1:7" x14ac:dyDescent="0.3">
      <c r="A427" t="s">
        <v>28</v>
      </c>
      <c r="B427" t="s">
        <v>15</v>
      </c>
      <c r="C427" t="s">
        <v>50</v>
      </c>
      <c r="D427">
        <v>6867.13</v>
      </c>
      <c r="E427">
        <v>273</v>
      </c>
      <c r="F427" s="1">
        <v>45421</v>
      </c>
      <c r="G427" t="str">
        <f>IF(COUNTIFS(Table1_3[Country],Table1_3[[#This Row],[Country]],Table1_3[Product],Table1_3[[#This Row],[Product]],Table1_3[Sales Person],Table1_3[[#This Row],[Sales Person]],Table1_3[Amount],"&lt;=100")&gt;=2,"Contract","Deal")</f>
        <v>Deal</v>
      </c>
    </row>
    <row r="428" spans="1:7" x14ac:dyDescent="0.3">
      <c r="A428" t="s">
        <v>28</v>
      </c>
      <c r="B428" t="s">
        <v>15</v>
      </c>
      <c r="C428" t="s">
        <v>59</v>
      </c>
      <c r="D428">
        <v>4879</v>
      </c>
      <c r="E428">
        <v>22</v>
      </c>
      <c r="F428" s="1">
        <v>44798</v>
      </c>
      <c r="G428" t="str">
        <f>IF(COUNTIFS(Table1_3[Country],Table1_3[[#This Row],[Country]],Table1_3[Product],Table1_3[[#This Row],[Product]],Table1_3[Sales Person],Table1_3[[#This Row],[Sales Person]],Table1_3[Amount],"&lt;=100")&gt;=2,"Contract","Deal")</f>
        <v>Deal</v>
      </c>
    </row>
    <row r="429" spans="1:7" x14ac:dyDescent="0.3">
      <c r="A429" t="s">
        <v>28</v>
      </c>
      <c r="B429" t="s">
        <v>15</v>
      </c>
      <c r="C429" t="s">
        <v>59</v>
      </c>
      <c r="D429">
        <v>5347.12</v>
      </c>
      <c r="E429">
        <v>23</v>
      </c>
      <c r="F429" s="1">
        <v>45163</v>
      </c>
      <c r="G429" t="str">
        <f>IF(COUNTIFS(Table1_3[Country],Table1_3[[#This Row],[Country]],Table1_3[Product],Table1_3[[#This Row],[Product]],Table1_3[Sales Person],Table1_3[[#This Row],[Sales Person]],Table1_3[Amount],"&lt;=100")&gt;=2,"Contract","Deal")</f>
        <v>Deal</v>
      </c>
    </row>
    <row r="430" spans="1:7" x14ac:dyDescent="0.3">
      <c r="A430" t="s">
        <v>28</v>
      </c>
      <c r="B430" t="s">
        <v>15</v>
      </c>
      <c r="C430" t="s">
        <v>59</v>
      </c>
      <c r="D430">
        <v>5616.77</v>
      </c>
      <c r="E430">
        <v>23</v>
      </c>
      <c r="F430" s="1">
        <v>45529</v>
      </c>
      <c r="G430" t="str">
        <f>IF(COUNTIFS(Table1_3[Country],Table1_3[[#This Row],[Country]],Table1_3[Product],Table1_3[[#This Row],[Product]],Table1_3[Sales Person],Table1_3[[#This Row],[Sales Person]],Table1_3[Amount],"&lt;=100")&gt;=2,"Contract","Deal")</f>
        <v>Deal</v>
      </c>
    </row>
    <row r="431" spans="1:7" x14ac:dyDescent="0.3">
      <c r="A431" t="s">
        <v>28</v>
      </c>
      <c r="B431" t="s">
        <v>35</v>
      </c>
      <c r="C431" t="s">
        <v>11</v>
      </c>
      <c r="D431">
        <v>10241</v>
      </c>
      <c r="E431">
        <v>259</v>
      </c>
      <c r="F431" s="1">
        <v>44609</v>
      </c>
      <c r="G431" t="str">
        <f>IF(COUNTIFS(Table1_3[Country],Table1_3[[#This Row],[Country]],Table1_3[Product],Table1_3[[#This Row],[Product]],Table1_3[Sales Person],Table1_3[[#This Row],[Sales Person]],Table1_3[Amount],"&lt;=100")&gt;=2,"Contract","Deal")</f>
        <v>Deal</v>
      </c>
    </row>
    <row r="432" spans="1:7" x14ac:dyDescent="0.3">
      <c r="A432" t="s">
        <v>28</v>
      </c>
      <c r="B432" t="s">
        <v>35</v>
      </c>
      <c r="C432" t="s">
        <v>11</v>
      </c>
      <c r="D432">
        <v>10315.879999999999</v>
      </c>
      <c r="E432">
        <v>268</v>
      </c>
      <c r="F432" s="1">
        <v>44974</v>
      </c>
      <c r="G432" t="str">
        <f>IF(COUNTIFS(Table1_3[Country],Table1_3[[#This Row],[Country]],Table1_3[Product],Table1_3[[#This Row],[Product]],Table1_3[Sales Person],Table1_3[[#This Row],[Sales Person]],Table1_3[Amount],"&lt;=100")&gt;=2,"Contract","Deal")</f>
        <v>Deal</v>
      </c>
    </row>
    <row r="433" spans="1:7" x14ac:dyDescent="0.3">
      <c r="A433" t="s">
        <v>28</v>
      </c>
      <c r="B433" t="s">
        <v>35</v>
      </c>
      <c r="C433" t="s">
        <v>11</v>
      </c>
      <c r="D433">
        <v>12163.59</v>
      </c>
      <c r="E433">
        <v>264</v>
      </c>
      <c r="F433" s="1">
        <v>45339</v>
      </c>
      <c r="G433" t="str">
        <f>IF(COUNTIFS(Table1_3[Country],Table1_3[[#This Row],[Country]],Table1_3[Product],Table1_3[[#This Row],[Product]],Table1_3[Sales Person],Table1_3[[#This Row],[Sales Person]],Table1_3[Amount],"&lt;=100")&gt;=2,"Contract","Deal")</f>
        <v>Deal</v>
      </c>
    </row>
    <row r="434" spans="1:7" x14ac:dyDescent="0.3">
      <c r="A434" t="s">
        <v>28</v>
      </c>
      <c r="B434" t="s">
        <v>35</v>
      </c>
      <c r="C434" t="s">
        <v>20</v>
      </c>
      <c r="D434">
        <v>16793</v>
      </c>
      <c r="E434">
        <v>416</v>
      </c>
      <c r="F434" s="1">
        <v>44699</v>
      </c>
      <c r="G434" t="str">
        <f>IF(COUNTIFS(Table1_3[Country],Table1_3[[#This Row],[Country]],Table1_3[Product],Table1_3[[#This Row],[Product]],Table1_3[Sales Person],Table1_3[[#This Row],[Sales Person]],Table1_3[Amount],"&lt;=100")&gt;=2,"Contract","Deal")</f>
        <v>Deal</v>
      </c>
    </row>
    <row r="435" spans="1:7" x14ac:dyDescent="0.3">
      <c r="A435" t="s">
        <v>28</v>
      </c>
      <c r="B435" t="s">
        <v>35</v>
      </c>
      <c r="C435" t="s">
        <v>20</v>
      </c>
      <c r="D435">
        <v>17675.28</v>
      </c>
      <c r="E435">
        <v>446</v>
      </c>
      <c r="F435" s="1">
        <v>45064</v>
      </c>
      <c r="G435" t="str">
        <f>IF(COUNTIFS(Table1_3[Country],Table1_3[[#This Row],[Country]],Table1_3[Product],Table1_3[[#This Row],[Product]],Table1_3[Sales Person],Table1_3[[#This Row],[Sales Person]],Table1_3[Amount],"&lt;=100")&gt;=2,"Contract","Deal")</f>
        <v>Deal</v>
      </c>
    </row>
    <row r="436" spans="1:7" x14ac:dyDescent="0.3">
      <c r="A436" t="s">
        <v>28</v>
      </c>
      <c r="B436" t="s">
        <v>35</v>
      </c>
      <c r="C436" t="s">
        <v>20</v>
      </c>
      <c r="D436">
        <v>17718.25</v>
      </c>
      <c r="E436">
        <v>430</v>
      </c>
      <c r="F436" s="1">
        <v>45430</v>
      </c>
      <c r="G436" t="str">
        <f>IF(COUNTIFS(Table1_3[Country],Table1_3[[#This Row],[Country]],Table1_3[Product],Table1_3[[#This Row],[Product]],Table1_3[Sales Person],Table1_3[[#This Row],[Sales Person]],Table1_3[Amount],"&lt;=100")&gt;=2,"Contract","Deal")</f>
        <v>Deal</v>
      </c>
    </row>
    <row r="437" spans="1:7" x14ac:dyDescent="0.3">
      <c r="A437" t="s">
        <v>28</v>
      </c>
      <c r="B437" t="s">
        <v>35</v>
      </c>
      <c r="C437" t="s">
        <v>65</v>
      </c>
      <c r="D437">
        <v>4781</v>
      </c>
      <c r="E437">
        <v>125</v>
      </c>
      <c r="F437" s="1">
        <v>44664</v>
      </c>
      <c r="G437" t="str">
        <f>IF(COUNTIFS(Table1_3[Country],Table1_3[[#This Row],[Country]],Table1_3[Product],Table1_3[[#This Row],[Product]],Table1_3[Sales Person],Table1_3[[#This Row],[Sales Person]],Table1_3[Amount],"&lt;=100")&gt;=2,"Contract","Deal")</f>
        <v>Deal</v>
      </c>
    </row>
    <row r="438" spans="1:7" x14ac:dyDescent="0.3">
      <c r="A438" t="s">
        <v>28</v>
      </c>
      <c r="B438" t="s">
        <v>35</v>
      </c>
      <c r="C438" t="s">
        <v>65</v>
      </c>
      <c r="D438">
        <v>5026.8100000000004</v>
      </c>
      <c r="E438">
        <v>123</v>
      </c>
      <c r="F438" s="1">
        <v>45029</v>
      </c>
      <c r="G438" t="str">
        <f>IF(COUNTIFS(Table1_3[Country],Table1_3[[#This Row],[Country]],Table1_3[Product],Table1_3[[#This Row],[Product]],Table1_3[Sales Person],Table1_3[[#This Row],[Sales Person]],Table1_3[Amount],"&lt;=100")&gt;=2,"Contract","Deal")</f>
        <v>Deal</v>
      </c>
    </row>
    <row r="439" spans="1:7" x14ac:dyDescent="0.3">
      <c r="A439" t="s">
        <v>28</v>
      </c>
      <c r="B439" t="s">
        <v>35</v>
      </c>
      <c r="C439" t="s">
        <v>65</v>
      </c>
      <c r="D439">
        <v>5439.43</v>
      </c>
      <c r="E439">
        <v>125</v>
      </c>
      <c r="F439" s="1">
        <v>45395</v>
      </c>
      <c r="G439" t="str">
        <f>IF(COUNTIFS(Table1_3[Country],Table1_3[[#This Row],[Country]],Table1_3[Product],Table1_3[[#This Row],[Product]],Table1_3[Sales Person],Table1_3[[#This Row],[Sales Person]],Table1_3[Amount],"&lt;=100")&gt;=2,"Contract","Deal")</f>
        <v>Deal</v>
      </c>
    </row>
    <row r="440" spans="1:7" x14ac:dyDescent="0.3">
      <c r="A440" t="s">
        <v>28</v>
      </c>
      <c r="B440" t="s">
        <v>35</v>
      </c>
      <c r="C440" t="s">
        <v>60</v>
      </c>
      <c r="D440">
        <v>6930</v>
      </c>
      <c r="E440">
        <v>182</v>
      </c>
      <c r="F440" s="1">
        <v>44782</v>
      </c>
      <c r="G440" t="str">
        <f>IF(COUNTIFS(Table1_3[Country],Table1_3[[#This Row],[Country]],Table1_3[Product],Table1_3[[#This Row],[Product]],Table1_3[Sales Person],Table1_3[[#This Row],[Sales Person]],Table1_3[Amount],"&lt;=100")&gt;=2,"Contract","Deal")</f>
        <v>Deal</v>
      </c>
    </row>
    <row r="441" spans="1:7" x14ac:dyDescent="0.3">
      <c r="A441" t="s">
        <v>28</v>
      </c>
      <c r="B441" t="s">
        <v>35</v>
      </c>
      <c r="C441" t="s">
        <v>60</v>
      </c>
      <c r="D441">
        <v>7442.69</v>
      </c>
      <c r="E441">
        <v>179</v>
      </c>
      <c r="F441" s="1">
        <v>45147</v>
      </c>
      <c r="G441" t="str">
        <f>IF(COUNTIFS(Table1_3[Country],Table1_3[[#This Row],[Country]],Table1_3[Product],Table1_3[[#This Row],[Product]],Table1_3[Sales Person],Table1_3[[#This Row],[Sales Person]],Table1_3[Amount],"&lt;=100")&gt;=2,"Contract","Deal")</f>
        <v>Deal</v>
      </c>
    </row>
    <row r="442" spans="1:7" x14ac:dyDescent="0.3">
      <c r="A442" t="s">
        <v>28</v>
      </c>
      <c r="B442" t="s">
        <v>35</v>
      </c>
      <c r="C442" t="s">
        <v>60</v>
      </c>
      <c r="D442">
        <v>7308.24</v>
      </c>
      <c r="E442">
        <v>178</v>
      </c>
      <c r="F442" s="1">
        <v>45513</v>
      </c>
      <c r="G442" t="str">
        <f>IF(COUNTIFS(Table1_3[Country],Table1_3[[#This Row],[Country]],Table1_3[Product],Table1_3[[#This Row],[Product]],Table1_3[Sales Person],Table1_3[[#This Row],[Sales Person]],Table1_3[Amount],"&lt;=100")&gt;=2,"Contract","Deal")</f>
        <v>Deal</v>
      </c>
    </row>
    <row r="443" spans="1:7" x14ac:dyDescent="0.3">
      <c r="A443" t="s">
        <v>28</v>
      </c>
      <c r="B443" t="s">
        <v>35</v>
      </c>
      <c r="C443" t="s">
        <v>8</v>
      </c>
      <c r="D443">
        <v>5033</v>
      </c>
      <c r="E443">
        <v>178</v>
      </c>
      <c r="F443" s="1">
        <v>44589</v>
      </c>
      <c r="G443" t="str">
        <f>IF(COUNTIFS(Table1_3[Country],Table1_3[[#This Row],[Country]],Table1_3[Product],Table1_3[[#This Row],[Product]],Table1_3[Sales Person],Table1_3[[#This Row],[Sales Person]],Table1_3[Amount],"&lt;=100")&gt;=2,"Contract","Deal")</f>
        <v>Deal</v>
      </c>
    </row>
    <row r="444" spans="1:7" x14ac:dyDescent="0.3">
      <c r="A444" t="s">
        <v>28</v>
      </c>
      <c r="B444" t="s">
        <v>35</v>
      </c>
      <c r="C444" t="s">
        <v>8</v>
      </c>
      <c r="D444">
        <v>5061.37</v>
      </c>
      <c r="E444">
        <v>179</v>
      </c>
      <c r="F444" s="1">
        <v>44954</v>
      </c>
      <c r="G444" t="str">
        <f>IF(COUNTIFS(Table1_3[Country],Table1_3[[#This Row],[Country]],Table1_3[Product],Table1_3[[#This Row],[Product]],Table1_3[Sales Person],Table1_3[[#This Row],[Sales Person]],Table1_3[Amount],"&lt;=100")&gt;=2,"Contract","Deal")</f>
        <v>Deal</v>
      </c>
    </row>
    <row r="445" spans="1:7" x14ac:dyDescent="0.3">
      <c r="A445" t="s">
        <v>28</v>
      </c>
      <c r="B445" t="s">
        <v>35</v>
      </c>
      <c r="C445" t="s">
        <v>8</v>
      </c>
      <c r="D445">
        <v>5475.65</v>
      </c>
      <c r="E445">
        <v>194</v>
      </c>
      <c r="F445" s="1">
        <v>45319</v>
      </c>
      <c r="G445" t="str">
        <f>IF(COUNTIFS(Table1_3[Country],Table1_3[[#This Row],[Country]],Table1_3[Product],Table1_3[[#This Row],[Product]],Table1_3[Sales Person],Table1_3[[#This Row],[Sales Person]],Table1_3[Amount],"&lt;=100")&gt;=2,"Contract","Deal")</f>
        <v>Deal</v>
      </c>
    </row>
    <row r="446" spans="1:7" x14ac:dyDescent="0.3">
      <c r="A446" t="s">
        <v>28</v>
      </c>
      <c r="B446" t="s">
        <v>35</v>
      </c>
      <c r="C446" t="s">
        <v>73</v>
      </c>
      <c r="D446">
        <v>2800</v>
      </c>
      <c r="E446">
        <v>45</v>
      </c>
      <c r="F446" s="1">
        <v>44726</v>
      </c>
      <c r="G446" t="str">
        <f>IF(COUNTIFS(Table1_3[Country],Table1_3[[#This Row],[Country]],Table1_3[Product],Table1_3[[#This Row],[Product]],Table1_3[Sales Person],Table1_3[[#This Row],[Sales Person]],Table1_3[Amount],"&lt;=100")&gt;=2,"Contract","Deal")</f>
        <v>Deal</v>
      </c>
    </row>
    <row r="447" spans="1:7" x14ac:dyDescent="0.3">
      <c r="A447" t="s">
        <v>28</v>
      </c>
      <c r="B447" t="s">
        <v>35</v>
      </c>
      <c r="C447" t="s">
        <v>73</v>
      </c>
      <c r="D447">
        <v>2994.76</v>
      </c>
      <c r="E447">
        <v>47</v>
      </c>
      <c r="F447" s="1">
        <v>45091</v>
      </c>
      <c r="G447" t="str">
        <f>IF(COUNTIFS(Table1_3[Country],Table1_3[[#This Row],[Country]],Table1_3[Product],Table1_3[[#This Row],[Product]],Table1_3[Sales Person],Table1_3[[#This Row],[Sales Person]],Table1_3[Amount],"&lt;=100")&gt;=2,"Contract","Deal")</f>
        <v>Deal</v>
      </c>
    </row>
    <row r="448" spans="1:7" x14ac:dyDescent="0.3">
      <c r="A448" t="s">
        <v>28</v>
      </c>
      <c r="B448" t="s">
        <v>35</v>
      </c>
      <c r="C448" t="s">
        <v>73</v>
      </c>
      <c r="D448">
        <v>3172.23</v>
      </c>
      <c r="E448">
        <v>46</v>
      </c>
      <c r="F448" s="1">
        <v>45457</v>
      </c>
      <c r="G448" t="str">
        <f>IF(COUNTIFS(Table1_3[Country],Table1_3[[#This Row],[Country]],Table1_3[Product],Table1_3[[#This Row],[Product]],Table1_3[Sales Person],Table1_3[[#This Row],[Sales Person]],Table1_3[Amount],"&lt;=100")&gt;=2,"Contract","Deal")</f>
        <v>Deal</v>
      </c>
    </row>
    <row r="449" spans="1:7" x14ac:dyDescent="0.3">
      <c r="A449" t="s">
        <v>28</v>
      </c>
      <c r="B449" t="s">
        <v>35</v>
      </c>
      <c r="C449" t="s">
        <v>18</v>
      </c>
      <c r="D449">
        <v>5691</v>
      </c>
      <c r="E449">
        <v>495</v>
      </c>
      <c r="F449" s="1">
        <v>44694</v>
      </c>
      <c r="G449" t="str">
        <f>IF(COUNTIFS(Table1_3[Country],Table1_3[[#This Row],[Country]],Table1_3[Product],Table1_3[[#This Row],[Product]],Table1_3[Sales Person],Table1_3[[#This Row],[Sales Person]],Table1_3[Amount],"&lt;=100")&gt;=2,"Contract","Deal")</f>
        <v>Deal</v>
      </c>
    </row>
    <row r="450" spans="1:7" x14ac:dyDescent="0.3">
      <c r="A450" t="s">
        <v>28</v>
      </c>
      <c r="B450" t="s">
        <v>35</v>
      </c>
      <c r="C450" t="s">
        <v>18</v>
      </c>
      <c r="D450">
        <v>6417.05</v>
      </c>
      <c r="E450">
        <v>497</v>
      </c>
      <c r="F450" s="1">
        <v>45059</v>
      </c>
      <c r="G450" t="str">
        <f>IF(COUNTIFS(Table1_3[Country],Table1_3[[#This Row],[Country]],Table1_3[Product],Table1_3[[#This Row],[Product]],Table1_3[Sales Person],Table1_3[[#This Row],[Sales Person]],Table1_3[Amount],"&lt;=100")&gt;=2,"Contract","Deal")</f>
        <v>Deal</v>
      </c>
    </row>
    <row r="451" spans="1:7" x14ac:dyDescent="0.3">
      <c r="A451" t="s">
        <v>28</v>
      </c>
      <c r="B451" t="s">
        <v>35</v>
      </c>
      <c r="C451" t="s">
        <v>18</v>
      </c>
      <c r="D451">
        <v>6051.65</v>
      </c>
      <c r="E451">
        <v>490</v>
      </c>
      <c r="F451" s="1">
        <v>45425</v>
      </c>
      <c r="G451" t="str">
        <f>IF(COUNTIFS(Table1_3[Country],Table1_3[[#This Row],[Country]],Table1_3[Product],Table1_3[[#This Row],[Product]],Table1_3[Sales Person],Table1_3[[#This Row],[Sales Person]],Table1_3[Amount],"&lt;=100")&gt;=2,"Contract","Deal")</f>
        <v>Deal</v>
      </c>
    </row>
    <row r="452" spans="1:7" x14ac:dyDescent="0.3">
      <c r="A452" t="s">
        <v>28</v>
      </c>
      <c r="B452" t="s">
        <v>35</v>
      </c>
      <c r="C452" t="s">
        <v>50</v>
      </c>
      <c r="D452">
        <v>8106</v>
      </c>
      <c r="E452">
        <v>101</v>
      </c>
      <c r="F452" s="1">
        <v>44624</v>
      </c>
      <c r="G452" t="str">
        <f>IF(COUNTIFS(Table1_3[Country],Table1_3[[#This Row],[Country]],Table1_3[Product],Table1_3[[#This Row],[Product]],Table1_3[Sales Person],Table1_3[[#This Row],[Sales Person]],Table1_3[Amount],"&lt;=100")&gt;=2,"Contract","Deal")</f>
        <v>Deal</v>
      </c>
    </row>
    <row r="453" spans="1:7" x14ac:dyDescent="0.3">
      <c r="A453" t="s">
        <v>28</v>
      </c>
      <c r="B453" t="s">
        <v>35</v>
      </c>
      <c r="C453" t="s">
        <v>50</v>
      </c>
      <c r="D453">
        <v>8929.8799999999992</v>
      </c>
      <c r="E453">
        <v>100</v>
      </c>
      <c r="F453" s="1">
        <v>44989</v>
      </c>
      <c r="G453" t="str">
        <f>IF(COUNTIFS(Table1_3[Country],Table1_3[[#This Row],[Country]],Table1_3[Product],Table1_3[[#This Row],[Product]],Table1_3[Sales Person],Table1_3[[#This Row],[Sales Person]],Table1_3[Amount],"&lt;=100")&gt;=2,"Contract","Deal")</f>
        <v>Deal</v>
      </c>
    </row>
    <row r="454" spans="1:7" x14ac:dyDescent="0.3">
      <c r="A454" t="s">
        <v>28</v>
      </c>
      <c r="B454" t="s">
        <v>35</v>
      </c>
      <c r="C454" t="s">
        <v>50</v>
      </c>
      <c r="D454">
        <v>8993.24</v>
      </c>
      <c r="E454">
        <v>97</v>
      </c>
      <c r="F454" s="1">
        <v>45355</v>
      </c>
      <c r="G454" t="str">
        <f>IF(COUNTIFS(Table1_3[Country],Table1_3[[#This Row],[Country]],Table1_3[Product],Table1_3[[#This Row],[Product]],Table1_3[Sales Person],Table1_3[[#This Row],[Sales Person]],Table1_3[Amount],"&lt;=100")&gt;=2,"Contract","Deal")</f>
        <v>Deal</v>
      </c>
    </row>
    <row r="455" spans="1:7" x14ac:dyDescent="0.3">
      <c r="A455" t="s">
        <v>28</v>
      </c>
      <c r="B455" t="s">
        <v>10</v>
      </c>
      <c r="C455" t="s">
        <v>100</v>
      </c>
      <c r="D455">
        <v>4641</v>
      </c>
      <c r="E455">
        <v>413</v>
      </c>
      <c r="F455" s="1">
        <v>44665</v>
      </c>
      <c r="G455" t="str">
        <f>IF(COUNTIFS(Table1_3[Country],Table1_3[[#This Row],[Country]],Table1_3[Product],Table1_3[[#This Row],[Product]],Table1_3[Sales Person],Table1_3[[#This Row],[Sales Person]],Table1_3[Amount],"&lt;=100")&gt;=2,"Contract","Deal")</f>
        <v>Deal</v>
      </c>
    </row>
    <row r="456" spans="1:7" x14ac:dyDescent="0.3">
      <c r="A456" t="s">
        <v>28</v>
      </c>
      <c r="B456" t="s">
        <v>10</v>
      </c>
      <c r="C456" t="s">
        <v>100</v>
      </c>
      <c r="D456">
        <v>5071.49</v>
      </c>
      <c r="E456">
        <v>439</v>
      </c>
      <c r="F456" s="1">
        <v>45030</v>
      </c>
      <c r="G456" t="str">
        <f>IF(COUNTIFS(Table1_3[Country],Table1_3[[#This Row],[Country]],Table1_3[Product],Table1_3[[#This Row],[Product]],Table1_3[Sales Person],Table1_3[[#This Row],[Sales Person]],Table1_3[Amount],"&lt;=100")&gt;=2,"Contract","Deal")</f>
        <v>Deal</v>
      </c>
    </row>
    <row r="457" spans="1:7" x14ac:dyDescent="0.3">
      <c r="A457" t="s">
        <v>28</v>
      </c>
      <c r="B457" t="s">
        <v>10</v>
      </c>
      <c r="C457" t="s">
        <v>100</v>
      </c>
      <c r="D457">
        <v>4888.37</v>
      </c>
      <c r="E457">
        <v>435</v>
      </c>
      <c r="F457" s="1">
        <v>45396</v>
      </c>
      <c r="G457" t="str">
        <f>IF(COUNTIFS(Table1_3[Country],Table1_3[[#This Row],[Country]],Table1_3[Product],Table1_3[[#This Row],[Product]],Table1_3[Sales Person],Table1_3[[#This Row],[Sales Person]],Table1_3[Amount],"&lt;=100")&gt;=2,"Contract","Deal")</f>
        <v>Deal</v>
      </c>
    </row>
    <row r="458" spans="1:7" x14ac:dyDescent="0.3">
      <c r="A458" t="s">
        <v>28</v>
      </c>
      <c r="B458" t="s">
        <v>10</v>
      </c>
      <c r="C458" t="s">
        <v>11</v>
      </c>
      <c r="D458">
        <v>18032</v>
      </c>
      <c r="E458">
        <v>205</v>
      </c>
      <c r="F458" s="1">
        <v>44782</v>
      </c>
      <c r="G458" t="str">
        <f>IF(COUNTIFS(Table1_3[Country],Table1_3[[#This Row],[Country]],Table1_3[Product],Table1_3[[#This Row],[Product]],Table1_3[Sales Person],Table1_3[[#This Row],[Sales Person]],Table1_3[Amount],"&lt;=100")&gt;=2,"Contract","Deal")</f>
        <v>Deal</v>
      </c>
    </row>
    <row r="459" spans="1:7" x14ac:dyDescent="0.3">
      <c r="A459" t="s">
        <v>28</v>
      </c>
      <c r="B459" t="s">
        <v>10</v>
      </c>
      <c r="C459" t="s">
        <v>11</v>
      </c>
      <c r="D459">
        <v>18894.919999999998</v>
      </c>
      <c r="E459">
        <v>201</v>
      </c>
      <c r="F459" s="1">
        <v>45147</v>
      </c>
      <c r="G459" t="str">
        <f>IF(COUNTIFS(Table1_3[Country],Table1_3[[#This Row],[Country]],Table1_3[Product],Table1_3[[#This Row],[Product]],Table1_3[Sales Person],Table1_3[[#This Row],[Sales Person]],Table1_3[Amount],"&lt;=100")&gt;=2,"Contract","Deal")</f>
        <v>Deal</v>
      </c>
    </row>
    <row r="460" spans="1:7" x14ac:dyDescent="0.3">
      <c r="A460" t="s">
        <v>28</v>
      </c>
      <c r="B460" t="s">
        <v>10</v>
      </c>
      <c r="C460" t="s">
        <v>11</v>
      </c>
      <c r="D460">
        <v>21044.07</v>
      </c>
      <c r="E460">
        <v>210</v>
      </c>
      <c r="F460" s="1">
        <v>45513</v>
      </c>
      <c r="G460" t="str">
        <f>IF(COUNTIFS(Table1_3[Country],Table1_3[[#This Row],[Country]],Table1_3[Product],Table1_3[[#This Row],[Product]],Table1_3[Sales Person],Table1_3[[#This Row],[Sales Person]],Table1_3[Amount],"&lt;=100")&gt;=2,"Contract","Deal")</f>
        <v>Deal</v>
      </c>
    </row>
    <row r="461" spans="1:7" x14ac:dyDescent="0.3">
      <c r="A461" t="s">
        <v>28</v>
      </c>
      <c r="B461" t="s">
        <v>10</v>
      </c>
      <c r="C461" t="s">
        <v>23</v>
      </c>
      <c r="D461">
        <v>5747</v>
      </c>
      <c r="E461">
        <v>45</v>
      </c>
      <c r="F461" s="1">
        <v>44728</v>
      </c>
      <c r="G461" t="str">
        <f>IF(COUNTIFS(Table1_3[Country],Table1_3[[#This Row],[Country]],Table1_3[Product],Table1_3[[#This Row],[Product]],Table1_3[Sales Person],Table1_3[[#This Row],[Sales Person]],Table1_3[Amount],"&lt;=100")&gt;=2,"Contract","Deal")</f>
        <v>Deal</v>
      </c>
    </row>
    <row r="462" spans="1:7" x14ac:dyDescent="0.3">
      <c r="A462" t="s">
        <v>28</v>
      </c>
      <c r="B462" t="s">
        <v>10</v>
      </c>
      <c r="C462" t="s">
        <v>23</v>
      </c>
      <c r="D462">
        <v>5744.07</v>
      </c>
      <c r="E462">
        <v>49</v>
      </c>
      <c r="F462" s="1">
        <v>45093</v>
      </c>
      <c r="G462" t="str">
        <f>IF(COUNTIFS(Table1_3[Country],Table1_3[[#This Row],[Country]],Table1_3[Product],Table1_3[[#This Row],[Product]],Table1_3[Sales Person],Table1_3[[#This Row],[Sales Person]],Table1_3[Amount],"&lt;=100")&gt;=2,"Contract","Deal")</f>
        <v>Deal</v>
      </c>
    </row>
    <row r="463" spans="1:7" x14ac:dyDescent="0.3">
      <c r="A463" t="s">
        <v>28</v>
      </c>
      <c r="B463" t="s">
        <v>10</v>
      </c>
      <c r="C463" t="s">
        <v>23</v>
      </c>
      <c r="D463">
        <v>6555.46</v>
      </c>
      <c r="E463">
        <v>45</v>
      </c>
      <c r="F463" s="1">
        <v>45459</v>
      </c>
      <c r="G463" t="str">
        <f>IF(COUNTIFS(Table1_3[Country],Table1_3[[#This Row],[Country]],Table1_3[Product],Table1_3[[#This Row],[Product]],Table1_3[Sales Person],Table1_3[[#This Row],[Sales Person]],Table1_3[Amount],"&lt;=100")&gt;=2,"Contract","Deal")</f>
        <v>Deal</v>
      </c>
    </row>
    <row r="464" spans="1:7" x14ac:dyDescent="0.3">
      <c r="A464" t="s">
        <v>28</v>
      </c>
      <c r="B464" t="s">
        <v>10</v>
      </c>
      <c r="C464" t="s">
        <v>65</v>
      </c>
      <c r="D464">
        <v>2170</v>
      </c>
      <c r="E464">
        <v>218</v>
      </c>
      <c r="F464" s="1">
        <v>44574</v>
      </c>
      <c r="G464" t="str">
        <f>IF(COUNTIFS(Table1_3[Country],Table1_3[[#This Row],[Country]],Table1_3[Product],Table1_3[[#This Row],[Product]],Table1_3[Sales Person],Table1_3[[#This Row],[Sales Person]],Table1_3[Amount],"&lt;=100")&gt;=2,"Contract","Deal")</f>
        <v>Deal</v>
      </c>
    </row>
    <row r="465" spans="1:7" x14ac:dyDescent="0.3">
      <c r="A465" t="s">
        <v>28</v>
      </c>
      <c r="B465" t="s">
        <v>10</v>
      </c>
      <c r="C465" t="s">
        <v>65</v>
      </c>
      <c r="D465">
        <v>2378.08</v>
      </c>
      <c r="E465">
        <v>222</v>
      </c>
      <c r="F465" s="1">
        <v>44939</v>
      </c>
      <c r="G465" t="str">
        <f>IF(COUNTIFS(Table1_3[Country],Table1_3[[#This Row],[Country]],Table1_3[Product],Table1_3[[#This Row],[Product]],Table1_3[Sales Person],Table1_3[[#This Row],[Sales Person]],Table1_3[Amount],"&lt;=100")&gt;=2,"Contract","Deal")</f>
        <v>Deal</v>
      </c>
    </row>
    <row r="466" spans="1:7" x14ac:dyDescent="0.3">
      <c r="A466" t="s">
        <v>28</v>
      </c>
      <c r="B466" t="s">
        <v>10</v>
      </c>
      <c r="C466" t="s">
        <v>65</v>
      </c>
      <c r="D466">
        <v>2303.17</v>
      </c>
      <c r="E466">
        <v>225</v>
      </c>
      <c r="F466" s="1">
        <v>45304</v>
      </c>
      <c r="G466" t="str">
        <f>IF(COUNTIFS(Table1_3[Country],Table1_3[[#This Row],[Country]],Table1_3[Product],Table1_3[[#This Row],[Product]],Table1_3[Sales Person],Table1_3[[#This Row],[Sales Person]],Table1_3[Amount],"&lt;=100")&gt;=2,"Contract","Deal")</f>
        <v>Deal</v>
      </c>
    </row>
    <row r="467" spans="1:7" x14ac:dyDescent="0.3">
      <c r="A467" t="s">
        <v>28</v>
      </c>
      <c r="B467" t="s">
        <v>10</v>
      </c>
      <c r="C467" t="s">
        <v>90</v>
      </c>
      <c r="D467">
        <v>1540</v>
      </c>
      <c r="E467">
        <v>100</v>
      </c>
      <c r="F467" s="1">
        <v>44617</v>
      </c>
      <c r="G467" t="str">
        <f>IF(COUNTIFS(Table1_3[Country],Table1_3[[#This Row],[Country]],Table1_3[Product],Table1_3[[#This Row],[Product]],Table1_3[Sales Person],Table1_3[[#This Row],[Sales Person]],Table1_3[Amount],"&lt;=100")&gt;=2,"Contract","Deal")</f>
        <v>Deal</v>
      </c>
    </row>
    <row r="468" spans="1:7" x14ac:dyDescent="0.3">
      <c r="A468" t="s">
        <v>28</v>
      </c>
      <c r="B468" t="s">
        <v>10</v>
      </c>
      <c r="C468" t="s">
        <v>90</v>
      </c>
      <c r="D468">
        <v>1643.45</v>
      </c>
      <c r="E468">
        <v>110</v>
      </c>
      <c r="F468" s="1">
        <v>44982</v>
      </c>
      <c r="G468" t="str">
        <f>IF(COUNTIFS(Table1_3[Country],Table1_3[[#This Row],[Country]],Table1_3[Product],Table1_3[[#This Row],[Product]],Table1_3[Sales Person],Table1_3[[#This Row],[Sales Person]],Table1_3[Amount],"&lt;=100")&gt;=2,"Contract","Deal")</f>
        <v>Deal</v>
      </c>
    </row>
    <row r="469" spans="1:7" x14ac:dyDescent="0.3">
      <c r="A469" t="s">
        <v>28</v>
      </c>
      <c r="B469" t="s">
        <v>10</v>
      </c>
      <c r="C469" t="s">
        <v>90</v>
      </c>
      <c r="D469">
        <v>1742.37</v>
      </c>
      <c r="E469">
        <v>106</v>
      </c>
      <c r="F469" s="1">
        <v>45347</v>
      </c>
      <c r="G469" t="str">
        <f>IF(COUNTIFS(Table1_3[Country],Table1_3[[#This Row],[Country]],Table1_3[Product],Table1_3[[#This Row],[Product]],Table1_3[Sales Person],Table1_3[[#This Row],[Sales Person]],Table1_3[Amount],"&lt;=100")&gt;=2,"Contract","Deal")</f>
        <v>Deal</v>
      </c>
    </row>
    <row r="470" spans="1:7" x14ac:dyDescent="0.3">
      <c r="A470" t="s">
        <v>28</v>
      </c>
      <c r="B470" t="s">
        <v>10</v>
      </c>
      <c r="C470" t="s">
        <v>36</v>
      </c>
      <c r="D470">
        <v>1351</v>
      </c>
      <c r="E470">
        <v>61</v>
      </c>
      <c r="F470" s="1">
        <v>44680</v>
      </c>
      <c r="G470" t="str">
        <f>IF(COUNTIFS(Table1_3[Country],Table1_3[[#This Row],[Country]],Table1_3[Product],Table1_3[[#This Row],[Product]],Table1_3[Sales Person],Table1_3[[#This Row],[Sales Person]],Table1_3[Amount],"&lt;=100")&gt;=2,"Contract","Deal")</f>
        <v>Deal</v>
      </c>
    </row>
    <row r="471" spans="1:7" x14ac:dyDescent="0.3">
      <c r="A471" t="s">
        <v>28</v>
      </c>
      <c r="B471" t="s">
        <v>10</v>
      </c>
      <c r="C471" t="s">
        <v>36</v>
      </c>
      <c r="D471">
        <v>1511.51</v>
      </c>
      <c r="E471">
        <v>58</v>
      </c>
      <c r="F471" s="1">
        <v>45045</v>
      </c>
      <c r="G471" t="str">
        <f>IF(COUNTIFS(Table1_3[Country],Table1_3[[#This Row],[Country]],Table1_3[Product],Table1_3[[#This Row],[Product]],Table1_3[Sales Person],Table1_3[[#This Row],[Sales Person]],Table1_3[Amount],"&lt;=100")&gt;=2,"Contract","Deal")</f>
        <v>Deal</v>
      </c>
    </row>
    <row r="472" spans="1:7" x14ac:dyDescent="0.3">
      <c r="A472" t="s">
        <v>28</v>
      </c>
      <c r="B472" t="s">
        <v>10</v>
      </c>
      <c r="C472" t="s">
        <v>36</v>
      </c>
      <c r="D472">
        <v>1447.58</v>
      </c>
      <c r="E472">
        <v>67</v>
      </c>
      <c r="F472" s="1">
        <v>45411</v>
      </c>
      <c r="G472" t="str">
        <f>IF(COUNTIFS(Table1_3[Country],Table1_3[[#This Row],[Country]],Table1_3[Product],Table1_3[[#This Row],[Product]],Table1_3[Sales Person],Table1_3[[#This Row],[Sales Person]],Table1_3[Amount],"&lt;=100")&gt;=2,"Contract","Deal")</f>
        <v>Deal</v>
      </c>
    </row>
    <row r="473" spans="1:7" x14ac:dyDescent="0.3">
      <c r="A473" t="s">
        <v>28</v>
      </c>
      <c r="B473" t="s">
        <v>10</v>
      </c>
      <c r="C473" t="s">
        <v>46</v>
      </c>
      <c r="D473">
        <v>13503</v>
      </c>
      <c r="E473">
        <v>251</v>
      </c>
      <c r="F473" s="1">
        <v>44614</v>
      </c>
      <c r="G473" t="str">
        <f>IF(COUNTIFS(Table1_3[Country],Table1_3[[#This Row],[Country]],Table1_3[Product],Table1_3[[#This Row],[Product]],Table1_3[Sales Person],Table1_3[[#This Row],[Sales Person]],Table1_3[Amount],"&lt;=100")&gt;=2,"Contract","Deal")</f>
        <v>Deal</v>
      </c>
    </row>
    <row r="474" spans="1:7" x14ac:dyDescent="0.3">
      <c r="A474" t="s">
        <v>28</v>
      </c>
      <c r="B474" t="s">
        <v>10</v>
      </c>
      <c r="C474" t="s">
        <v>46</v>
      </c>
      <c r="D474">
        <v>15583</v>
      </c>
      <c r="E474">
        <v>248</v>
      </c>
      <c r="F474" s="1">
        <v>44979</v>
      </c>
      <c r="G474" t="str">
        <f>IF(COUNTIFS(Table1_3[Country],Table1_3[[#This Row],[Country]],Table1_3[Product],Table1_3[[#This Row],[Product]],Table1_3[Sales Person],Table1_3[[#This Row],[Sales Person]],Table1_3[Amount],"&lt;=100")&gt;=2,"Contract","Deal")</f>
        <v>Deal</v>
      </c>
    </row>
    <row r="475" spans="1:7" x14ac:dyDescent="0.3">
      <c r="A475" t="s">
        <v>28</v>
      </c>
      <c r="B475" t="s">
        <v>10</v>
      </c>
      <c r="C475" t="s">
        <v>46</v>
      </c>
      <c r="D475">
        <v>14190.78</v>
      </c>
      <c r="E475">
        <v>269</v>
      </c>
      <c r="F475" s="1">
        <v>45344</v>
      </c>
      <c r="G475" t="str">
        <f>IF(COUNTIFS(Table1_3[Country],Table1_3[[#This Row],[Country]],Table1_3[Product],Table1_3[[#This Row],[Product]],Table1_3[Sales Person],Table1_3[[#This Row],[Sales Person]],Table1_3[Amount],"&lt;=100")&gt;=2,"Contract","Deal")</f>
        <v>Deal</v>
      </c>
    </row>
    <row r="476" spans="1:7" x14ac:dyDescent="0.3">
      <c r="A476" t="s">
        <v>28</v>
      </c>
      <c r="B476" t="s">
        <v>10</v>
      </c>
      <c r="C476" t="s">
        <v>73</v>
      </c>
      <c r="D476">
        <v>6328</v>
      </c>
      <c r="E476">
        <v>164</v>
      </c>
      <c r="F476" s="1">
        <v>44711</v>
      </c>
      <c r="G476" t="str">
        <f>IF(COUNTIFS(Table1_3[Country],Table1_3[[#This Row],[Country]],Table1_3[Product],Table1_3[[#This Row],[Product]],Table1_3[Sales Person],Table1_3[[#This Row],[Sales Person]],Table1_3[Amount],"&lt;=100")&gt;=2,"Contract","Deal")</f>
        <v>Deal</v>
      </c>
    </row>
    <row r="477" spans="1:7" x14ac:dyDescent="0.3">
      <c r="A477" t="s">
        <v>28</v>
      </c>
      <c r="B477" t="s">
        <v>10</v>
      </c>
      <c r="C477" t="s">
        <v>73</v>
      </c>
      <c r="D477">
        <v>6833.28</v>
      </c>
      <c r="E477">
        <v>157</v>
      </c>
      <c r="F477" s="1">
        <v>45076</v>
      </c>
      <c r="G477" t="str">
        <f>IF(COUNTIFS(Table1_3[Country],Table1_3[[#This Row],[Country]],Table1_3[Product],Table1_3[[#This Row],[Product]],Table1_3[Sales Person],Table1_3[[#This Row],[Sales Person]],Table1_3[Amount],"&lt;=100")&gt;=2,"Contract","Deal")</f>
        <v>Deal</v>
      </c>
    </row>
    <row r="478" spans="1:7" x14ac:dyDescent="0.3">
      <c r="A478" t="s">
        <v>28</v>
      </c>
      <c r="B478" t="s">
        <v>10</v>
      </c>
      <c r="C478" t="s">
        <v>73</v>
      </c>
      <c r="D478">
        <v>7623.58</v>
      </c>
      <c r="E478">
        <v>162</v>
      </c>
      <c r="F478" s="1">
        <v>45442</v>
      </c>
      <c r="G478" t="str">
        <f>IF(COUNTIFS(Table1_3[Country],Table1_3[[#This Row],[Country]],Table1_3[Product],Table1_3[[#This Row],[Product]],Table1_3[Sales Person],Table1_3[[#This Row],[Sales Person]],Table1_3[Amount],"&lt;=100")&gt;=2,"Contract","Deal")</f>
        <v>Deal</v>
      </c>
    </row>
    <row r="479" spans="1:7" x14ac:dyDescent="0.3">
      <c r="A479" t="s">
        <v>28</v>
      </c>
      <c r="B479" t="s">
        <v>10</v>
      </c>
      <c r="C479" t="s">
        <v>18</v>
      </c>
      <c r="D479">
        <v>5964</v>
      </c>
      <c r="E479">
        <v>26</v>
      </c>
      <c r="F479" s="1">
        <v>44708</v>
      </c>
      <c r="G479" t="str">
        <f>IF(COUNTIFS(Table1_3[Country],Table1_3[[#This Row],[Country]],Table1_3[Product],Table1_3[[#This Row],[Product]],Table1_3[Sales Person],Table1_3[[#This Row],[Sales Person]],Table1_3[Amount],"&lt;=100")&gt;=2,"Contract","Deal")</f>
        <v>Deal</v>
      </c>
    </row>
    <row r="480" spans="1:7" x14ac:dyDescent="0.3">
      <c r="A480" t="s">
        <v>28</v>
      </c>
      <c r="B480" t="s">
        <v>10</v>
      </c>
      <c r="C480" t="s">
        <v>18</v>
      </c>
      <c r="D480">
        <v>6345.02</v>
      </c>
      <c r="E480">
        <v>28</v>
      </c>
      <c r="F480" s="1">
        <v>45073</v>
      </c>
      <c r="G480" t="str">
        <f>IF(COUNTIFS(Table1_3[Country],Table1_3[[#This Row],[Country]],Table1_3[Product],Table1_3[[#This Row],[Product]],Table1_3[Sales Person],Table1_3[[#This Row],[Sales Person]],Table1_3[Amount],"&lt;=100")&gt;=2,"Contract","Deal")</f>
        <v>Deal</v>
      </c>
    </row>
    <row r="481" spans="1:7" x14ac:dyDescent="0.3">
      <c r="A481" t="s">
        <v>28</v>
      </c>
      <c r="B481" t="s">
        <v>10</v>
      </c>
      <c r="C481" t="s">
        <v>18</v>
      </c>
      <c r="D481">
        <v>7091.66</v>
      </c>
      <c r="E481">
        <v>28</v>
      </c>
      <c r="F481" s="1">
        <v>45439</v>
      </c>
      <c r="G481" t="str">
        <f>IF(COUNTIFS(Table1_3[Country],Table1_3[[#This Row],[Country]],Table1_3[Product],Table1_3[[#This Row],[Product]],Table1_3[Sales Person],Table1_3[[#This Row],[Sales Person]],Table1_3[Amount],"&lt;=100")&gt;=2,"Contract","Deal")</f>
        <v>Deal</v>
      </c>
    </row>
    <row r="482" spans="1:7" x14ac:dyDescent="0.3">
      <c r="A482" t="s">
        <v>28</v>
      </c>
      <c r="B482" t="s">
        <v>10</v>
      </c>
      <c r="C482" t="s">
        <v>50</v>
      </c>
      <c r="D482">
        <v>1302</v>
      </c>
      <c r="E482">
        <v>33</v>
      </c>
      <c r="F482" s="1">
        <v>44589</v>
      </c>
      <c r="G482" t="str">
        <f>IF(COUNTIFS(Table1_3[Country],Table1_3[[#This Row],[Country]],Table1_3[Product],Table1_3[[#This Row],[Product]],Table1_3[Sales Person],Table1_3[[#This Row],[Sales Person]],Table1_3[Amount],"&lt;=100")&gt;=2,"Contract","Deal")</f>
        <v>Deal</v>
      </c>
    </row>
    <row r="483" spans="1:7" x14ac:dyDescent="0.3">
      <c r="A483" t="s">
        <v>28</v>
      </c>
      <c r="B483" t="s">
        <v>10</v>
      </c>
      <c r="C483" t="s">
        <v>50</v>
      </c>
      <c r="D483">
        <v>1463.67</v>
      </c>
      <c r="E483">
        <v>34</v>
      </c>
      <c r="F483" s="1">
        <v>44954</v>
      </c>
      <c r="G483" t="str">
        <f>IF(COUNTIFS(Table1_3[Country],Table1_3[[#This Row],[Country]],Table1_3[Product],Table1_3[[#This Row],[Product]],Table1_3[Sales Person],Table1_3[[#This Row],[Sales Person]],Table1_3[Amount],"&lt;=100")&gt;=2,"Contract","Deal")</f>
        <v>Deal</v>
      </c>
    </row>
    <row r="484" spans="1:7" x14ac:dyDescent="0.3">
      <c r="A484" t="s">
        <v>28</v>
      </c>
      <c r="B484" t="s">
        <v>10</v>
      </c>
      <c r="C484" t="s">
        <v>50</v>
      </c>
      <c r="D484">
        <v>1408.28</v>
      </c>
      <c r="E484">
        <v>35</v>
      </c>
      <c r="F484" s="1">
        <v>45319</v>
      </c>
      <c r="G484" t="str">
        <f>IF(COUNTIFS(Table1_3[Country],Table1_3[[#This Row],[Country]],Table1_3[Product],Table1_3[[#This Row],[Product]],Table1_3[Sales Person],Table1_3[[#This Row],[Sales Person]],Table1_3[Amount],"&lt;=100")&gt;=2,"Contract","Deal")</f>
        <v>Deal</v>
      </c>
    </row>
    <row r="485" spans="1:7" x14ac:dyDescent="0.3">
      <c r="A485" t="s">
        <v>28</v>
      </c>
      <c r="B485" t="s">
        <v>25</v>
      </c>
      <c r="C485" t="s">
        <v>100</v>
      </c>
      <c r="D485">
        <v>7231</v>
      </c>
      <c r="E485">
        <v>130</v>
      </c>
      <c r="F485" s="1">
        <v>44727</v>
      </c>
      <c r="G485" t="str">
        <f>IF(COUNTIFS(Table1_3[Country],Table1_3[[#This Row],[Country]],Table1_3[Product],Table1_3[[#This Row],[Product]],Table1_3[Sales Person],Table1_3[[#This Row],[Sales Person]],Table1_3[Amount],"&lt;=100")&gt;=2,"Contract","Deal")</f>
        <v>Deal</v>
      </c>
    </row>
    <row r="486" spans="1:7" x14ac:dyDescent="0.3">
      <c r="A486" t="s">
        <v>28</v>
      </c>
      <c r="B486" t="s">
        <v>25</v>
      </c>
      <c r="C486" t="s">
        <v>100</v>
      </c>
      <c r="D486">
        <v>7900.42</v>
      </c>
      <c r="E486">
        <v>143</v>
      </c>
      <c r="F486" s="1">
        <v>45092</v>
      </c>
      <c r="G486" t="str">
        <f>IF(COUNTIFS(Table1_3[Country],Table1_3[[#This Row],[Country]],Table1_3[Product],Table1_3[[#This Row],[Product]],Table1_3[Sales Person],Table1_3[[#This Row],[Sales Person]],Table1_3[Amount],"&lt;=100")&gt;=2,"Contract","Deal")</f>
        <v>Deal</v>
      </c>
    </row>
    <row r="487" spans="1:7" x14ac:dyDescent="0.3">
      <c r="A487" t="s">
        <v>28</v>
      </c>
      <c r="B487" t="s">
        <v>25</v>
      </c>
      <c r="C487" t="s">
        <v>100</v>
      </c>
      <c r="D487">
        <v>7624.41</v>
      </c>
      <c r="E487">
        <v>139</v>
      </c>
      <c r="F487" s="1">
        <v>45458</v>
      </c>
      <c r="G487" t="str">
        <f>IF(COUNTIFS(Table1_3[Country],Table1_3[[#This Row],[Country]],Table1_3[Product],Table1_3[[#This Row],[Product]],Table1_3[Sales Person],Table1_3[[#This Row],[Sales Person]],Table1_3[Amount],"&lt;=100")&gt;=2,"Contract","Deal")</f>
        <v>Deal</v>
      </c>
    </row>
    <row r="488" spans="1:7" x14ac:dyDescent="0.3">
      <c r="A488" t="s">
        <v>28</v>
      </c>
      <c r="B488" t="s">
        <v>25</v>
      </c>
      <c r="C488" t="s">
        <v>87</v>
      </c>
      <c r="D488">
        <v>5978</v>
      </c>
      <c r="E488">
        <v>24</v>
      </c>
      <c r="F488" s="1">
        <v>44754</v>
      </c>
      <c r="G488" t="str">
        <f>IF(COUNTIFS(Table1_3[Country],Table1_3[[#This Row],[Country]],Table1_3[Product],Table1_3[[#This Row],[Product]],Table1_3[Sales Person],Table1_3[[#This Row],[Sales Person]],Table1_3[Amount],"&lt;=100")&gt;=2,"Contract","Deal")</f>
        <v>Deal</v>
      </c>
    </row>
    <row r="489" spans="1:7" x14ac:dyDescent="0.3">
      <c r="A489" t="s">
        <v>28</v>
      </c>
      <c r="B489" t="s">
        <v>25</v>
      </c>
      <c r="C489" t="s">
        <v>87</v>
      </c>
      <c r="D489">
        <v>6297.06</v>
      </c>
      <c r="E489">
        <v>26</v>
      </c>
      <c r="F489" s="1">
        <v>45119</v>
      </c>
      <c r="G489" t="str">
        <f>IF(COUNTIFS(Table1_3[Country],Table1_3[[#This Row],[Country]],Table1_3[Product],Table1_3[[#This Row],[Product]],Table1_3[Sales Person],Table1_3[[#This Row],[Sales Person]],Table1_3[Amount],"&lt;=100")&gt;=2,"Contract","Deal")</f>
        <v>Deal</v>
      </c>
    </row>
    <row r="490" spans="1:7" x14ac:dyDescent="0.3">
      <c r="A490" t="s">
        <v>28</v>
      </c>
      <c r="B490" t="s">
        <v>25</v>
      </c>
      <c r="C490" t="s">
        <v>87</v>
      </c>
      <c r="D490">
        <v>6790.41</v>
      </c>
      <c r="E490">
        <v>26</v>
      </c>
      <c r="F490" s="1">
        <v>45485</v>
      </c>
      <c r="G490" t="str">
        <f>IF(COUNTIFS(Table1_3[Country],Table1_3[[#This Row],[Country]],Table1_3[Product],Table1_3[[#This Row],[Product]],Table1_3[Sales Person],Table1_3[[#This Row],[Sales Person]],Table1_3[Amount],"&lt;=100")&gt;=2,"Contract","Deal")</f>
        <v>Deal</v>
      </c>
    </row>
    <row r="491" spans="1:7" x14ac:dyDescent="0.3">
      <c r="A491" t="s">
        <v>28</v>
      </c>
      <c r="B491" t="s">
        <v>25</v>
      </c>
      <c r="C491" t="s">
        <v>38</v>
      </c>
      <c r="D491">
        <v>1582</v>
      </c>
      <c r="E491">
        <v>100</v>
      </c>
      <c r="F491" s="1">
        <v>44718</v>
      </c>
      <c r="G491" t="str">
        <f>IF(COUNTIFS(Table1_3[Country],Table1_3[[#This Row],[Country]],Table1_3[Product],Table1_3[[#This Row],[Product]],Table1_3[Sales Person],Table1_3[[#This Row],[Sales Person]],Table1_3[Amount],"&lt;=100")&gt;=2,"Contract","Deal")</f>
        <v>Deal</v>
      </c>
    </row>
    <row r="492" spans="1:7" x14ac:dyDescent="0.3">
      <c r="A492" t="s">
        <v>28</v>
      </c>
      <c r="B492" t="s">
        <v>25</v>
      </c>
      <c r="C492" t="s">
        <v>38</v>
      </c>
      <c r="D492">
        <v>1614.17</v>
      </c>
      <c r="E492">
        <v>106</v>
      </c>
      <c r="F492" s="1">
        <v>45083</v>
      </c>
      <c r="G492" t="str">
        <f>IF(COUNTIFS(Table1_3[Country],Table1_3[[#This Row],[Country]],Table1_3[Product],Table1_3[[#This Row],[Product]],Table1_3[Sales Person],Table1_3[[#This Row],[Sales Person]],Table1_3[Amount],"&lt;=100")&gt;=2,"Contract","Deal")</f>
        <v>Deal</v>
      </c>
    </row>
    <row r="493" spans="1:7" x14ac:dyDescent="0.3">
      <c r="A493" t="s">
        <v>28</v>
      </c>
      <c r="B493" t="s">
        <v>25</v>
      </c>
      <c r="C493" t="s">
        <v>38</v>
      </c>
      <c r="D493">
        <v>1666.46</v>
      </c>
      <c r="E493">
        <v>98</v>
      </c>
      <c r="F493" s="1">
        <v>45449</v>
      </c>
      <c r="G493" t="str">
        <f>IF(COUNTIFS(Table1_3[Country],Table1_3[[#This Row],[Country]],Table1_3[Product],Table1_3[[#This Row],[Product]],Table1_3[Sales Person],Table1_3[[#This Row],[Sales Person]],Table1_3[Amount],"&lt;=100")&gt;=2,"Contract","Deal")</f>
        <v>Deal</v>
      </c>
    </row>
    <row r="494" spans="1:7" x14ac:dyDescent="0.3">
      <c r="A494" t="s">
        <v>28</v>
      </c>
      <c r="B494" t="s">
        <v>25</v>
      </c>
      <c r="C494" t="s">
        <v>36</v>
      </c>
      <c r="D494">
        <v>4690</v>
      </c>
      <c r="E494">
        <v>299</v>
      </c>
      <c r="F494" s="1">
        <v>44753</v>
      </c>
      <c r="G494" t="str">
        <f>IF(COUNTIFS(Table1_3[Country],Table1_3[[#This Row],[Country]],Table1_3[Product],Table1_3[[#This Row],[Product]],Table1_3[Sales Person],Table1_3[[#This Row],[Sales Person]],Table1_3[Amount],"&lt;=100")&gt;=2,"Contract","Deal")</f>
        <v>Deal</v>
      </c>
    </row>
    <row r="495" spans="1:7" x14ac:dyDescent="0.3">
      <c r="A495" t="s">
        <v>28</v>
      </c>
      <c r="B495" t="s">
        <v>25</v>
      </c>
      <c r="C495" t="s">
        <v>36</v>
      </c>
      <c r="D495">
        <v>4981.78</v>
      </c>
      <c r="E495">
        <v>299</v>
      </c>
      <c r="F495" s="1">
        <v>45118</v>
      </c>
      <c r="G495" t="str">
        <f>IF(COUNTIFS(Table1_3[Country],Table1_3[[#This Row],[Country]],Table1_3[Product],Table1_3[[#This Row],[Product]],Table1_3[Sales Person],Table1_3[[#This Row],[Sales Person]],Table1_3[Amount],"&lt;=100")&gt;=2,"Contract","Deal")</f>
        <v>Deal</v>
      </c>
    </row>
    <row r="496" spans="1:7" x14ac:dyDescent="0.3">
      <c r="A496" t="s">
        <v>28</v>
      </c>
      <c r="B496" t="s">
        <v>25</v>
      </c>
      <c r="C496" t="s">
        <v>36</v>
      </c>
      <c r="D496">
        <v>5270.33</v>
      </c>
      <c r="E496">
        <v>323</v>
      </c>
      <c r="F496" s="1">
        <v>45484</v>
      </c>
      <c r="G496" t="str">
        <f>IF(COUNTIFS(Table1_3[Country],Table1_3[[#This Row],[Country]],Table1_3[Product],Table1_3[[#This Row],[Product]],Table1_3[Sales Person],Table1_3[[#This Row],[Sales Person]],Table1_3[Amount],"&lt;=100")&gt;=2,"Contract","Deal")</f>
        <v>Deal</v>
      </c>
    </row>
    <row r="497" spans="1:7" x14ac:dyDescent="0.3">
      <c r="A497" t="s">
        <v>28</v>
      </c>
      <c r="B497" t="s">
        <v>25</v>
      </c>
      <c r="C497" t="s">
        <v>60</v>
      </c>
      <c r="D497">
        <v>14980</v>
      </c>
      <c r="E497">
        <v>42</v>
      </c>
      <c r="F497" s="1">
        <v>44726</v>
      </c>
      <c r="G497" t="str">
        <f>IF(COUNTIFS(Table1_3[Country],Table1_3[[#This Row],[Country]],Table1_3[Product],Table1_3[[#This Row],[Product]],Table1_3[Sales Person],Table1_3[[#This Row],[Sales Person]],Table1_3[Amount],"&lt;=100")&gt;=2,"Contract","Deal")</f>
        <v>Deal</v>
      </c>
    </row>
    <row r="498" spans="1:7" x14ac:dyDescent="0.3">
      <c r="A498" t="s">
        <v>28</v>
      </c>
      <c r="B498" t="s">
        <v>25</v>
      </c>
      <c r="C498" t="s">
        <v>60</v>
      </c>
      <c r="D498">
        <v>17222.86</v>
      </c>
      <c r="E498">
        <v>44</v>
      </c>
      <c r="F498" s="1">
        <v>45091</v>
      </c>
      <c r="G498" t="str">
        <f>IF(COUNTIFS(Table1_3[Country],Table1_3[[#This Row],[Country]],Table1_3[Product],Table1_3[[#This Row],[Product]],Table1_3[Sales Person],Table1_3[[#This Row],[Sales Person]],Table1_3[Amount],"&lt;=100")&gt;=2,"Contract","Deal")</f>
        <v>Deal</v>
      </c>
    </row>
    <row r="499" spans="1:7" x14ac:dyDescent="0.3">
      <c r="A499" t="s">
        <v>28</v>
      </c>
      <c r="B499" t="s">
        <v>25</v>
      </c>
      <c r="C499" t="s">
        <v>60</v>
      </c>
      <c r="D499">
        <v>16807.37</v>
      </c>
      <c r="E499">
        <v>44</v>
      </c>
      <c r="F499" s="1">
        <v>45457</v>
      </c>
      <c r="G499" t="str">
        <f>IF(COUNTIFS(Table1_3[Country],Table1_3[[#This Row],[Country]],Table1_3[Product],Table1_3[[#This Row],[Product]],Table1_3[Sales Person],Table1_3[[#This Row],[Sales Person]],Table1_3[Amount],"&lt;=100")&gt;=2,"Contract","Deal")</f>
        <v>Deal</v>
      </c>
    </row>
    <row r="500" spans="1:7" x14ac:dyDescent="0.3">
      <c r="A500" t="s">
        <v>28</v>
      </c>
      <c r="B500" t="s">
        <v>25</v>
      </c>
      <c r="C500" t="s">
        <v>8</v>
      </c>
      <c r="D500">
        <v>63</v>
      </c>
      <c r="E500">
        <v>181</v>
      </c>
      <c r="F500" s="1">
        <v>44774</v>
      </c>
      <c r="G500" t="str">
        <f>IF(COUNTIFS(Table1_3[Country],Table1_3[[#This Row],[Country]],Table1_3[Product],Table1_3[[#This Row],[Product]],Table1_3[Sales Person],Table1_3[[#This Row],[Sales Person]],Table1_3[Amount],"&lt;=100")&gt;=2,"Contract","Deal")</f>
        <v>Contract</v>
      </c>
    </row>
    <row r="501" spans="1:7" x14ac:dyDescent="0.3">
      <c r="A501" t="s">
        <v>28</v>
      </c>
      <c r="B501" t="s">
        <v>25</v>
      </c>
      <c r="C501" t="s">
        <v>8</v>
      </c>
      <c r="D501">
        <v>66.349999999999994</v>
      </c>
      <c r="E501">
        <v>197</v>
      </c>
      <c r="F501" s="1">
        <v>45139</v>
      </c>
      <c r="G501" t="str">
        <f>IF(COUNTIFS(Table1_3[Country],Table1_3[[#This Row],[Country]],Table1_3[Product],Table1_3[[#This Row],[Product]],Table1_3[Sales Person],Table1_3[[#This Row],[Sales Person]],Table1_3[Amount],"&lt;=100")&gt;=2,"Contract","Deal")</f>
        <v>Contract</v>
      </c>
    </row>
    <row r="502" spans="1:7" x14ac:dyDescent="0.3">
      <c r="A502" t="s">
        <v>28</v>
      </c>
      <c r="B502" t="s">
        <v>25</v>
      </c>
      <c r="C502" t="s">
        <v>8</v>
      </c>
      <c r="D502">
        <v>71.41</v>
      </c>
      <c r="E502">
        <v>188</v>
      </c>
      <c r="F502" s="1">
        <v>45505</v>
      </c>
      <c r="G502" t="str">
        <f>IF(COUNTIFS(Table1_3[Country],Table1_3[[#This Row],[Country]],Table1_3[Product],Table1_3[[#This Row],[Product]],Table1_3[Sales Person],Table1_3[[#This Row],[Sales Person]],Table1_3[Amount],"&lt;=100")&gt;=2,"Contract","Deal")</f>
        <v>Contract</v>
      </c>
    </row>
    <row r="503" spans="1:7" x14ac:dyDescent="0.3">
      <c r="A503" t="s">
        <v>28</v>
      </c>
      <c r="B503" t="s">
        <v>25</v>
      </c>
      <c r="C503" t="s">
        <v>42</v>
      </c>
      <c r="D503">
        <v>637</v>
      </c>
      <c r="E503">
        <v>313</v>
      </c>
      <c r="F503" s="1">
        <v>44578</v>
      </c>
      <c r="G503" t="str">
        <f>IF(COUNTIFS(Table1_3[Country],Table1_3[[#This Row],[Country]],Table1_3[Product],Table1_3[[#This Row],[Product]],Table1_3[Sales Person],Table1_3[[#This Row],[Sales Person]],Table1_3[Amount],"&lt;=100")&gt;=2,"Contract","Deal")</f>
        <v>Deal</v>
      </c>
    </row>
    <row r="504" spans="1:7" x14ac:dyDescent="0.3">
      <c r="A504" t="s">
        <v>28</v>
      </c>
      <c r="B504" t="s">
        <v>25</v>
      </c>
      <c r="C504" t="s">
        <v>42</v>
      </c>
      <c r="D504">
        <v>689.4</v>
      </c>
      <c r="E504">
        <v>331</v>
      </c>
      <c r="F504" s="1">
        <v>44943</v>
      </c>
      <c r="G504" t="str">
        <f>IF(COUNTIFS(Table1_3[Country],Table1_3[[#This Row],[Country]],Table1_3[Product],Table1_3[[#This Row],[Product]],Table1_3[Sales Person],Table1_3[[#This Row],[Sales Person]],Table1_3[Amount],"&lt;=100")&gt;=2,"Contract","Deal")</f>
        <v>Deal</v>
      </c>
    </row>
    <row r="505" spans="1:7" x14ac:dyDescent="0.3">
      <c r="A505" t="s">
        <v>28</v>
      </c>
      <c r="B505" t="s">
        <v>25</v>
      </c>
      <c r="C505" t="s">
        <v>42</v>
      </c>
      <c r="D505">
        <v>677.38</v>
      </c>
      <c r="E505">
        <v>327</v>
      </c>
      <c r="F505" s="1">
        <v>45308</v>
      </c>
      <c r="G505" t="str">
        <f>IF(COUNTIFS(Table1_3[Country],Table1_3[[#This Row],[Country]],Table1_3[Product],Table1_3[[#This Row],[Product]],Table1_3[Sales Person],Table1_3[[#This Row],[Sales Person]],Table1_3[Amount],"&lt;=100")&gt;=2,"Contract","Deal")</f>
        <v>Deal</v>
      </c>
    </row>
    <row r="506" spans="1:7" x14ac:dyDescent="0.3">
      <c r="A506" t="s">
        <v>28</v>
      </c>
      <c r="B506" t="s">
        <v>25</v>
      </c>
      <c r="C506" t="s">
        <v>18</v>
      </c>
      <c r="D506">
        <v>1015</v>
      </c>
      <c r="E506">
        <v>27</v>
      </c>
      <c r="F506" s="1">
        <v>44579</v>
      </c>
      <c r="G506" t="str">
        <f>IF(COUNTIFS(Table1_3[Country],Table1_3[[#This Row],[Country]],Table1_3[Product],Table1_3[[#This Row],[Product]],Table1_3[Sales Person],Table1_3[[#This Row],[Sales Person]],Table1_3[Amount],"&lt;=100")&gt;=2,"Contract","Deal")</f>
        <v>Deal</v>
      </c>
    </row>
    <row r="507" spans="1:7" x14ac:dyDescent="0.3">
      <c r="A507" t="s">
        <v>28</v>
      </c>
      <c r="B507" t="s">
        <v>25</v>
      </c>
      <c r="C507" t="s">
        <v>18</v>
      </c>
      <c r="D507">
        <v>1124.27</v>
      </c>
      <c r="E507">
        <v>26</v>
      </c>
      <c r="F507" s="1">
        <v>44944</v>
      </c>
      <c r="G507" t="str">
        <f>IF(COUNTIFS(Table1_3[Country],Table1_3[[#This Row],[Country]],Table1_3[Product],Table1_3[[#This Row],[Product]],Table1_3[Sales Person],Table1_3[[#This Row],[Sales Person]],Table1_3[Amount],"&lt;=100")&gt;=2,"Contract","Deal")</f>
        <v>Deal</v>
      </c>
    </row>
    <row r="508" spans="1:7" x14ac:dyDescent="0.3">
      <c r="A508" t="s">
        <v>28</v>
      </c>
      <c r="B508" t="s">
        <v>25</v>
      </c>
      <c r="C508" t="s">
        <v>18</v>
      </c>
      <c r="D508">
        <v>1108.18</v>
      </c>
      <c r="E508">
        <v>27</v>
      </c>
      <c r="F508" s="1">
        <v>45309</v>
      </c>
      <c r="G508" t="str">
        <f>IF(COUNTIFS(Table1_3[Country],Table1_3[[#This Row],[Country]],Table1_3[Product],Table1_3[[#This Row],[Product]],Table1_3[Sales Person],Table1_3[[#This Row],[Sales Person]],Table1_3[Amount],"&lt;=100")&gt;=2,"Contract","Deal")</f>
        <v>Deal</v>
      </c>
    </row>
    <row r="509" spans="1:7" x14ac:dyDescent="0.3">
      <c r="A509" t="s">
        <v>28</v>
      </c>
      <c r="B509" t="s">
        <v>25</v>
      </c>
      <c r="C509" t="s">
        <v>59</v>
      </c>
      <c r="D509">
        <v>5509</v>
      </c>
      <c r="E509">
        <v>321</v>
      </c>
      <c r="F509" s="1">
        <v>44727</v>
      </c>
      <c r="G509" t="str">
        <f>IF(COUNTIFS(Table1_3[Country],Table1_3[[#This Row],[Country]],Table1_3[Product],Table1_3[[#This Row],[Product]],Table1_3[Sales Person],Table1_3[[#This Row],[Sales Person]],Table1_3[Amount],"&lt;=100")&gt;=2,"Contract","Deal")</f>
        <v>Deal</v>
      </c>
    </row>
    <row r="510" spans="1:7" x14ac:dyDescent="0.3">
      <c r="A510" t="s">
        <v>28</v>
      </c>
      <c r="B510" t="s">
        <v>25</v>
      </c>
      <c r="C510" t="s">
        <v>59</v>
      </c>
      <c r="D510">
        <v>5774.92</v>
      </c>
      <c r="E510">
        <v>325</v>
      </c>
      <c r="F510" s="1">
        <v>45092</v>
      </c>
      <c r="G510" t="str">
        <f>IF(COUNTIFS(Table1_3[Country],Table1_3[[#This Row],[Country]],Table1_3[Product],Table1_3[[#This Row],[Product]],Table1_3[Sales Person],Table1_3[[#This Row],[Sales Person]],Table1_3[Amount],"&lt;=100")&gt;=2,"Contract","Deal")</f>
        <v>Deal</v>
      </c>
    </row>
    <row r="511" spans="1:7" x14ac:dyDescent="0.3">
      <c r="A511" t="s">
        <v>28</v>
      </c>
      <c r="B511" t="s">
        <v>25</v>
      </c>
      <c r="C511" t="s">
        <v>59</v>
      </c>
      <c r="D511">
        <v>6287.25</v>
      </c>
      <c r="E511">
        <v>340</v>
      </c>
      <c r="F511" s="1">
        <v>45458</v>
      </c>
      <c r="G511" t="str">
        <f>IF(COUNTIFS(Table1_3[Country],Table1_3[[#This Row],[Country]],Table1_3[Product],Table1_3[[#This Row],[Product]],Table1_3[Sales Person],Table1_3[[#This Row],[Sales Person]],Table1_3[Amount],"&lt;=100")&gt;=2,"Contract","Deal")</f>
        <v>Deal</v>
      </c>
    </row>
    <row r="512" spans="1:7" x14ac:dyDescent="0.3">
      <c r="A512" t="s">
        <v>28</v>
      </c>
      <c r="B512" t="s">
        <v>7</v>
      </c>
      <c r="C512" t="s">
        <v>65</v>
      </c>
      <c r="D512">
        <v>105</v>
      </c>
      <c r="E512">
        <v>125</v>
      </c>
      <c r="F512" s="1">
        <v>44706</v>
      </c>
      <c r="G512" t="str">
        <f>IF(COUNTIFS(Table1_3[Country],Table1_3[[#This Row],[Country]],Table1_3[Product],Table1_3[[#This Row],[Product]],Table1_3[Sales Person],Table1_3[[#This Row],[Sales Person]],Table1_3[Amount],"&lt;=100")&gt;=2,"Contract","Deal")</f>
        <v>Deal</v>
      </c>
    </row>
    <row r="513" spans="1:7" x14ac:dyDescent="0.3">
      <c r="A513" t="s">
        <v>28</v>
      </c>
      <c r="B513" t="s">
        <v>7</v>
      </c>
      <c r="C513" t="s">
        <v>65</v>
      </c>
      <c r="D513">
        <v>107.24</v>
      </c>
      <c r="E513">
        <v>129</v>
      </c>
      <c r="F513" s="1">
        <v>45071</v>
      </c>
      <c r="G513" t="str">
        <f>IF(COUNTIFS(Table1_3[Country],Table1_3[[#This Row],[Country]],Table1_3[Product],Table1_3[[#This Row],[Product]],Table1_3[Sales Person],Table1_3[[#This Row],[Sales Person]],Table1_3[Amount],"&lt;=100")&gt;=2,"Contract","Deal")</f>
        <v>Deal</v>
      </c>
    </row>
    <row r="514" spans="1:7" x14ac:dyDescent="0.3">
      <c r="A514" t="s">
        <v>28</v>
      </c>
      <c r="B514" t="s">
        <v>7</v>
      </c>
      <c r="C514" t="s">
        <v>65</v>
      </c>
      <c r="D514">
        <v>115.9</v>
      </c>
      <c r="E514">
        <v>120</v>
      </c>
      <c r="F514" s="1">
        <v>45437</v>
      </c>
      <c r="G514" t="str">
        <f>IF(COUNTIFS(Table1_3[Country],Table1_3[[#This Row],[Country]],Table1_3[Product],Table1_3[[#This Row],[Product]],Table1_3[Sales Person],Table1_3[[#This Row],[Sales Person]],Table1_3[Amount],"&lt;=100")&gt;=2,"Contract","Deal")</f>
        <v>Deal</v>
      </c>
    </row>
    <row r="515" spans="1:7" x14ac:dyDescent="0.3">
      <c r="A515" t="s">
        <v>28</v>
      </c>
      <c r="B515" t="s">
        <v>7</v>
      </c>
      <c r="C515" t="s">
        <v>90</v>
      </c>
      <c r="D515">
        <v>2681</v>
      </c>
      <c r="E515">
        <v>149</v>
      </c>
      <c r="F515" s="1">
        <v>44624</v>
      </c>
      <c r="G515" t="str">
        <f>IF(COUNTIFS(Table1_3[Country],Table1_3[[#This Row],[Country]],Table1_3[Product],Table1_3[[#This Row],[Product]],Table1_3[Sales Person],Table1_3[[#This Row],[Sales Person]],Table1_3[Amount],"&lt;=100")&gt;=2,"Contract","Deal")</f>
        <v>Deal</v>
      </c>
    </row>
    <row r="516" spans="1:7" x14ac:dyDescent="0.3">
      <c r="A516" t="s">
        <v>28</v>
      </c>
      <c r="B516" t="s">
        <v>7</v>
      </c>
      <c r="C516" t="s">
        <v>90</v>
      </c>
      <c r="D516">
        <v>2882.76</v>
      </c>
      <c r="E516">
        <v>145</v>
      </c>
      <c r="F516" s="1">
        <v>44989</v>
      </c>
      <c r="G516" t="str">
        <f>IF(COUNTIFS(Table1_3[Country],Table1_3[[#This Row],[Country]],Table1_3[Product],Table1_3[[#This Row],[Product]],Table1_3[Sales Person],Table1_3[[#This Row],[Sales Person]],Table1_3[Amount],"&lt;=100")&gt;=2,"Contract","Deal")</f>
        <v>Deal</v>
      </c>
    </row>
    <row r="517" spans="1:7" x14ac:dyDescent="0.3">
      <c r="A517" t="s">
        <v>28</v>
      </c>
      <c r="B517" t="s">
        <v>7</v>
      </c>
      <c r="C517" t="s">
        <v>90</v>
      </c>
      <c r="D517">
        <v>3106.11</v>
      </c>
      <c r="E517">
        <v>159</v>
      </c>
      <c r="F517" s="1">
        <v>45355</v>
      </c>
      <c r="G517" t="str">
        <f>IF(COUNTIFS(Table1_3[Country],Table1_3[[#This Row],[Country]],Table1_3[Product],Table1_3[[#This Row],[Product]],Table1_3[Sales Person],Table1_3[[#This Row],[Sales Person]],Table1_3[Amount],"&lt;=100")&gt;=2,"Contract","Deal")</f>
        <v>Deal</v>
      </c>
    </row>
    <row r="518" spans="1:7" x14ac:dyDescent="0.3">
      <c r="A518" t="s">
        <v>28</v>
      </c>
      <c r="B518" t="s">
        <v>7</v>
      </c>
      <c r="C518" t="s">
        <v>38</v>
      </c>
      <c r="D518">
        <v>5754</v>
      </c>
      <c r="E518">
        <v>133</v>
      </c>
      <c r="F518" s="1">
        <v>44588</v>
      </c>
      <c r="G518" t="str">
        <f>IF(COUNTIFS(Table1_3[Country],Table1_3[[#This Row],[Country]],Table1_3[Product],Table1_3[[#This Row],[Product]],Table1_3[Sales Person],Table1_3[[#This Row],[Sales Person]],Table1_3[Amount],"&lt;=100")&gt;=2,"Contract","Deal")</f>
        <v>Deal</v>
      </c>
    </row>
    <row r="519" spans="1:7" x14ac:dyDescent="0.3">
      <c r="A519" t="s">
        <v>28</v>
      </c>
      <c r="B519" t="s">
        <v>7</v>
      </c>
      <c r="C519" t="s">
        <v>38</v>
      </c>
      <c r="D519">
        <v>6337.94</v>
      </c>
      <c r="E519">
        <v>128</v>
      </c>
      <c r="F519" s="1">
        <v>44953</v>
      </c>
      <c r="G519" t="str">
        <f>IF(COUNTIFS(Table1_3[Country],Table1_3[[#This Row],[Country]],Table1_3[Product],Table1_3[[#This Row],[Product]],Table1_3[Sales Person],Table1_3[[#This Row],[Sales Person]],Table1_3[Amount],"&lt;=100")&gt;=2,"Contract","Deal")</f>
        <v>Deal</v>
      </c>
    </row>
    <row r="520" spans="1:7" x14ac:dyDescent="0.3">
      <c r="A520" t="s">
        <v>28</v>
      </c>
      <c r="B520" t="s">
        <v>7</v>
      </c>
      <c r="C520" t="s">
        <v>38</v>
      </c>
      <c r="D520">
        <v>6498.96</v>
      </c>
      <c r="E520">
        <v>143</v>
      </c>
      <c r="F520" s="1">
        <v>45318</v>
      </c>
      <c r="G520" t="str">
        <f>IF(COUNTIFS(Table1_3[Country],Table1_3[[#This Row],[Country]],Table1_3[Product],Table1_3[[#This Row],[Product]],Table1_3[Sales Person],Table1_3[[#This Row],[Sales Person]],Table1_3[Amount],"&lt;=100")&gt;=2,"Contract","Deal")</f>
        <v>Deal</v>
      </c>
    </row>
    <row r="521" spans="1:7" x14ac:dyDescent="0.3">
      <c r="A521" t="s">
        <v>28</v>
      </c>
      <c r="B521" t="s">
        <v>7</v>
      </c>
      <c r="C521" t="s">
        <v>60</v>
      </c>
      <c r="D521">
        <v>70</v>
      </c>
      <c r="E521">
        <v>103</v>
      </c>
      <c r="F521" s="1">
        <v>44740</v>
      </c>
      <c r="G521" t="str">
        <f>IF(COUNTIFS(Table1_3[Country],Table1_3[[#This Row],[Country]],Table1_3[Product],Table1_3[[#This Row],[Product]],Table1_3[Sales Person],Table1_3[[#This Row],[Sales Person]],Table1_3[Amount],"&lt;=100")&gt;=2,"Contract","Deal")</f>
        <v>Contract</v>
      </c>
    </row>
    <row r="522" spans="1:7" x14ac:dyDescent="0.3">
      <c r="A522" t="s">
        <v>28</v>
      </c>
      <c r="B522" t="s">
        <v>7</v>
      </c>
      <c r="C522" t="s">
        <v>60</v>
      </c>
      <c r="D522">
        <v>80.62</v>
      </c>
      <c r="E522">
        <v>103</v>
      </c>
      <c r="F522" s="1">
        <v>45105</v>
      </c>
      <c r="G522" t="str">
        <f>IF(COUNTIFS(Table1_3[Country],Table1_3[[#This Row],[Country]],Table1_3[Product],Table1_3[[#This Row],[Product]],Table1_3[Sales Person],Table1_3[[#This Row],[Sales Person]],Table1_3[Amount],"&lt;=100")&gt;=2,"Contract","Deal")</f>
        <v>Contract</v>
      </c>
    </row>
    <row r="523" spans="1:7" x14ac:dyDescent="0.3">
      <c r="A523" t="s">
        <v>28</v>
      </c>
      <c r="B523" t="s">
        <v>7</v>
      </c>
      <c r="C523" t="s">
        <v>60</v>
      </c>
      <c r="D523">
        <v>73.91</v>
      </c>
      <c r="E523">
        <v>101</v>
      </c>
      <c r="F523" s="1">
        <v>45471</v>
      </c>
      <c r="G523" t="str">
        <f>IF(COUNTIFS(Table1_3[Country],Table1_3[[#This Row],[Country]],Table1_3[Product],Table1_3[[#This Row],[Product]],Table1_3[Sales Person],Table1_3[[#This Row],[Sales Person]],Table1_3[Amount],"&lt;=100")&gt;=2,"Contract","Deal")</f>
        <v>Contract</v>
      </c>
    </row>
    <row r="524" spans="1:7" x14ac:dyDescent="0.3">
      <c r="A524" t="s">
        <v>28</v>
      </c>
      <c r="B524" t="s">
        <v>7</v>
      </c>
      <c r="C524" t="s">
        <v>13</v>
      </c>
      <c r="D524">
        <v>15330</v>
      </c>
      <c r="E524">
        <v>30</v>
      </c>
      <c r="F524" s="1">
        <v>44571</v>
      </c>
      <c r="G524" t="str">
        <f>IF(COUNTIFS(Table1_3[Country],Table1_3[[#This Row],[Country]],Table1_3[Product],Table1_3[[#This Row],[Product]],Table1_3[Sales Person],Table1_3[[#This Row],[Sales Person]],Table1_3[Amount],"&lt;=100")&gt;=2,"Contract","Deal")</f>
        <v>Deal</v>
      </c>
    </row>
    <row r="525" spans="1:7" x14ac:dyDescent="0.3">
      <c r="A525" t="s">
        <v>28</v>
      </c>
      <c r="B525" t="s">
        <v>7</v>
      </c>
      <c r="C525" t="s">
        <v>13</v>
      </c>
      <c r="D525">
        <v>15337.23</v>
      </c>
      <c r="E525">
        <v>31</v>
      </c>
      <c r="F525" s="1">
        <v>44936</v>
      </c>
      <c r="G525" t="str">
        <f>IF(COUNTIFS(Table1_3[Country],Table1_3[[#This Row],[Country]],Table1_3[Product],Table1_3[[#This Row],[Product]],Table1_3[Sales Person],Table1_3[[#This Row],[Sales Person]],Table1_3[Amount],"&lt;=100")&gt;=2,"Contract","Deal")</f>
        <v>Deal</v>
      </c>
    </row>
    <row r="526" spans="1:7" x14ac:dyDescent="0.3">
      <c r="A526" t="s">
        <v>28</v>
      </c>
      <c r="B526" t="s">
        <v>7</v>
      </c>
      <c r="C526" t="s">
        <v>13</v>
      </c>
      <c r="D526">
        <v>17346.79</v>
      </c>
      <c r="E526">
        <v>32</v>
      </c>
      <c r="F526" s="1">
        <v>45301</v>
      </c>
      <c r="G526" t="str">
        <f>IF(COUNTIFS(Table1_3[Country],Table1_3[[#This Row],[Country]],Table1_3[Product],Table1_3[[#This Row],[Product]],Table1_3[Sales Person],Table1_3[[#This Row],[Sales Person]],Table1_3[Amount],"&lt;=100")&gt;=2,"Contract","Deal")</f>
        <v>Deal</v>
      </c>
    </row>
    <row r="527" spans="1:7" x14ac:dyDescent="0.3">
      <c r="A527" t="s">
        <v>28</v>
      </c>
      <c r="B527" t="s">
        <v>7</v>
      </c>
      <c r="C527" t="s">
        <v>50</v>
      </c>
      <c r="D527">
        <v>2352</v>
      </c>
      <c r="E527">
        <v>58</v>
      </c>
      <c r="F527" s="1">
        <v>44706</v>
      </c>
      <c r="G527" t="str">
        <f>IF(COUNTIFS(Table1_3[Country],Table1_3[[#This Row],[Country]],Table1_3[Product],Table1_3[[#This Row],[Product]],Table1_3[Sales Person],Table1_3[[#This Row],[Sales Person]],Table1_3[Amount],"&lt;=100")&gt;=2,"Contract","Deal")</f>
        <v>Deal</v>
      </c>
    </row>
    <row r="528" spans="1:7" x14ac:dyDescent="0.3">
      <c r="A528" t="s">
        <v>28</v>
      </c>
      <c r="B528" t="s">
        <v>7</v>
      </c>
      <c r="C528" t="s">
        <v>50</v>
      </c>
      <c r="D528">
        <v>2462.14</v>
      </c>
      <c r="E528">
        <v>60</v>
      </c>
      <c r="F528" s="1">
        <v>45071</v>
      </c>
      <c r="G528" t="str">
        <f>IF(COUNTIFS(Table1_3[Country],Table1_3[[#This Row],[Country]],Table1_3[Product],Table1_3[[#This Row],[Product]],Table1_3[Sales Person],Table1_3[[#This Row],[Sales Person]],Table1_3[Amount],"&lt;=100")&gt;=2,"Contract","Deal")</f>
        <v>Deal</v>
      </c>
    </row>
    <row r="529" spans="1:7" x14ac:dyDescent="0.3">
      <c r="A529" t="s">
        <v>28</v>
      </c>
      <c r="B529" t="s">
        <v>7</v>
      </c>
      <c r="C529" t="s">
        <v>50</v>
      </c>
      <c r="D529">
        <v>2639.55</v>
      </c>
      <c r="E529">
        <v>59</v>
      </c>
      <c r="F529" s="1">
        <v>45437</v>
      </c>
      <c r="G529" t="str">
        <f>IF(COUNTIFS(Table1_3[Country],Table1_3[[#This Row],[Country]],Table1_3[Product],Table1_3[[#This Row],[Product]],Table1_3[Sales Person],Table1_3[[#This Row],[Sales Person]],Table1_3[Amount],"&lt;=100")&gt;=2,"Contract","Deal")</f>
        <v>Deal</v>
      </c>
    </row>
    <row r="530" spans="1:7" x14ac:dyDescent="0.3">
      <c r="A530" t="s">
        <v>28</v>
      </c>
      <c r="B530" t="s">
        <v>7</v>
      </c>
      <c r="C530" t="s">
        <v>59</v>
      </c>
      <c r="D530">
        <v>5299</v>
      </c>
      <c r="E530">
        <v>167</v>
      </c>
      <c r="F530" s="1">
        <v>44663</v>
      </c>
      <c r="G530" t="str">
        <f>IF(COUNTIFS(Table1_3[Country],Table1_3[[#This Row],[Country]],Table1_3[Product],Table1_3[[#This Row],[Product]],Table1_3[Sales Person],Table1_3[[#This Row],[Sales Person]],Table1_3[Amount],"&lt;=100")&gt;=2,"Contract","Deal")</f>
        <v>Deal</v>
      </c>
    </row>
    <row r="531" spans="1:7" x14ac:dyDescent="0.3">
      <c r="A531" t="s">
        <v>28</v>
      </c>
      <c r="B531" t="s">
        <v>7</v>
      </c>
      <c r="C531" t="s">
        <v>59</v>
      </c>
      <c r="D531">
        <v>5837.17</v>
      </c>
      <c r="E531">
        <v>173</v>
      </c>
      <c r="F531" s="1">
        <v>45028</v>
      </c>
      <c r="G531" t="str">
        <f>IF(COUNTIFS(Table1_3[Country],Table1_3[[#This Row],[Country]],Table1_3[Product],Table1_3[[#This Row],[Product]],Table1_3[Sales Person],Table1_3[[#This Row],[Sales Person]],Table1_3[Amount],"&lt;=100")&gt;=2,"Contract","Deal")</f>
        <v>Deal</v>
      </c>
    </row>
    <row r="532" spans="1:7" x14ac:dyDescent="0.3">
      <c r="A532" t="s">
        <v>28</v>
      </c>
      <c r="B532" t="s">
        <v>7</v>
      </c>
      <c r="C532" t="s">
        <v>59</v>
      </c>
      <c r="D532">
        <v>5799.09</v>
      </c>
      <c r="E532">
        <v>169</v>
      </c>
      <c r="F532" s="1">
        <v>45394</v>
      </c>
      <c r="G532" t="str">
        <f>IF(COUNTIFS(Table1_3[Country],Table1_3[[#This Row],[Country]],Table1_3[Product],Table1_3[[#This Row],[Product]],Table1_3[Sales Person],Table1_3[[#This Row],[Sales Person]],Table1_3[Amount],"&lt;=100")&gt;=2,"Contract","Deal")</f>
        <v>Deal</v>
      </c>
    </row>
    <row r="533" spans="1:7" x14ac:dyDescent="0.3">
      <c r="A533" t="s">
        <v>28</v>
      </c>
      <c r="B533" t="s">
        <v>32</v>
      </c>
      <c r="C533" t="s">
        <v>100</v>
      </c>
      <c r="D533">
        <v>1694</v>
      </c>
      <c r="E533">
        <v>21</v>
      </c>
      <c r="F533" s="1">
        <v>44665</v>
      </c>
      <c r="G533" t="str">
        <f>IF(COUNTIFS(Table1_3[Country],Table1_3[[#This Row],[Country]],Table1_3[Product],Table1_3[[#This Row],[Product]],Table1_3[Sales Person],Table1_3[[#This Row],[Sales Person]],Table1_3[Amount],"&lt;=100")&gt;=2,"Contract","Deal")</f>
        <v>Deal</v>
      </c>
    </row>
    <row r="534" spans="1:7" x14ac:dyDescent="0.3">
      <c r="A534" t="s">
        <v>28</v>
      </c>
      <c r="B534" t="s">
        <v>32</v>
      </c>
      <c r="C534" t="s">
        <v>100</v>
      </c>
      <c r="D534">
        <v>1863.2</v>
      </c>
      <c r="E534">
        <v>22</v>
      </c>
      <c r="F534" s="1">
        <v>45030</v>
      </c>
      <c r="G534" t="str">
        <f>IF(COUNTIFS(Table1_3[Country],Table1_3[[#This Row],[Country]],Table1_3[Product],Table1_3[[#This Row],[Product]],Table1_3[Sales Person],Table1_3[[#This Row],[Sales Person]],Table1_3[Amount],"&lt;=100")&gt;=2,"Contract","Deal")</f>
        <v>Deal</v>
      </c>
    </row>
    <row r="535" spans="1:7" x14ac:dyDescent="0.3">
      <c r="A535" t="s">
        <v>28</v>
      </c>
      <c r="B535" t="s">
        <v>32</v>
      </c>
      <c r="C535" t="s">
        <v>100</v>
      </c>
      <c r="D535">
        <v>1898.07</v>
      </c>
      <c r="E535">
        <v>22</v>
      </c>
      <c r="F535" s="1">
        <v>45396</v>
      </c>
      <c r="G535" t="str">
        <f>IF(COUNTIFS(Table1_3[Country],Table1_3[[#This Row],[Country]],Table1_3[Product],Table1_3[[#This Row],[Product]],Table1_3[Sales Person],Table1_3[[#This Row],[Sales Person]],Table1_3[Amount],"&lt;=100")&gt;=2,"Contract","Deal")</f>
        <v>Deal</v>
      </c>
    </row>
    <row r="536" spans="1:7" x14ac:dyDescent="0.3">
      <c r="A536" t="s">
        <v>28</v>
      </c>
      <c r="B536" t="s">
        <v>32</v>
      </c>
      <c r="C536" t="s">
        <v>20</v>
      </c>
      <c r="D536">
        <v>6769</v>
      </c>
      <c r="E536">
        <v>353</v>
      </c>
      <c r="F536" s="1">
        <v>44767</v>
      </c>
      <c r="G536" t="str">
        <f>IF(COUNTIFS(Table1_3[Country],Table1_3[[#This Row],[Country]],Table1_3[Product],Table1_3[[#This Row],[Product]],Table1_3[Sales Person],Table1_3[[#This Row],[Sales Person]],Table1_3[Amount],"&lt;=100")&gt;=2,"Contract","Deal")</f>
        <v>Deal</v>
      </c>
    </row>
    <row r="537" spans="1:7" x14ac:dyDescent="0.3">
      <c r="A537" t="s">
        <v>28</v>
      </c>
      <c r="B537" t="s">
        <v>32</v>
      </c>
      <c r="C537" t="s">
        <v>20</v>
      </c>
      <c r="D537">
        <v>7323.82</v>
      </c>
      <c r="E537">
        <v>339</v>
      </c>
      <c r="F537" s="1">
        <v>45132</v>
      </c>
      <c r="G537" t="str">
        <f>IF(COUNTIFS(Table1_3[Country],Table1_3[[#This Row],[Country]],Table1_3[Product],Table1_3[[#This Row],[Product]],Table1_3[Sales Person],Table1_3[[#This Row],[Sales Person]],Table1_3[Amount],"&lt;=100")&gt;=2,"Contract","Deal")</f>
        <v>Deal</v>
      </c>
    </row>
    <row r="538" spans="1:7" x14ac:dyDescent="0.3">
      <c r="A538" t="s">
        <v>28</v>
      </c>
      <c r="B538" t="s">
        <v>32</v>
      </c>
      <c r="C538" t="s">
        <v>20</v>
      </c>
      <c r="D538">
        <v>7650.76</v>
      </c>
      <c r="E538">
        <v>358</v>
      </c>
      <c r="F538" s="1">
        <v>45498</v>
      </c>
      <c r="G538" t="str">
        <f>IF(COUNTIFS(Table1_3[Country],Table1_3[[#This Row],[Country]],Table1_3[Product],Table1_3[[#This Row],[Product]],Table1_3[Sales Person],Table1_3[[#This Row],[Sales Person]],Table1_3[Amount],"&lt;=100")&gt;=2,"Contract","Deal")</f>
        <v>Deal</v>
      </c>
    </row>
    <row r="539" spans="1:7" x14ac:dyDescent="0.3">
      <c r="A539" t="s">
        <v>28</v>
      </c>
      <c r="B539" t="s">
        <v>32</v>
      </c>
      <c r="C539" t="s">
        <v>60</v>
      </c>
      <c r="D539">
        <v>1904</v>
      </c>
      <c r="E539">
        <v>8</v>
      </c>
      <c r="F539" s="1">
        <v>44795</v>
      </c>
      <c r="G539" t="str">
        <f>IF(COUNTIFS(Table1_3[Country],Table1_3[[#This Row],[Country]],Table1_3[Product],Table1_3[[#This Row],[Product]],Table1_3[Sales Person],Table1_3[[#This Row],[Sales Person]],Table1_3[Amount],"&lt;=100")&gt;=2,"Contract","Deal")</f>
        <v>Deal</v>
      </c>
    </row>
    <row r="540" spans="1:7" x14ac:dyDescent="0.3">
      <c r="A540" t="s">
        <v>28</v>
      </c>
      <c r="B540" t="s">
        <v>32</v>
      </c>
      <c r="C540" t="s">
        <v>60</v>
      </c>
      <c r="D540">
        <v>2069.48</v>
      </c>
      <c r="E540">
        <v>8</v>
      </c>
      <c r="F540" s="1">
        <v>45160</v>
      </c>
      <c r="G540" t="str">
        <f>IF(COUNTIFS(Table1_3[Country],Table1_3[[#This Row],[Country]],Table1_3[Product],Table1_3[[#This Row],[Product]],Table1_3[Sales Person],Table1_3[[#This Row],[Sales Person]],Table1_3[Amount],"&lt;=100")&gt;=2,"Contract","Deal")</f>
        <v>Deal</v>
      </c>
    </row>
    <row r="541" spans="1:7" x14ac:dyDescent="0.3">
      <c r="A541" t="s">
        <v>28</v>
      </c>
      <c r="B541" t="s">
        <v>32</v>
      </c>
      <c r="C541" t="s">
        <v>60</v>
      </c>
      <c r="D541">
        <v>2095.7800000000002</v>
      </c>
      <c r="E541">
        <v>8</v>
      </c>
      <c r="F541" s="1">
        <v>45526</v>
      </c>
      <c r="G541" t="str">
        <f>IF(COUNTIFS(Table1_3[Country],Table1_3[[#This Row],[Country]],Table1_3[Product],Table1_3[[#This Row],[Product]],Table1_3[Sales Person],Table1_3[[#This Row],[Sales Person]],Table1_3[Amount],"&lt;=100")&gt;=2,"Contract","Deal")</f>
        <v>Deal</v>
      </c>
    </row>
    <row r="542" spans="1:7" x14ac:dyDescent="0.3">
      <c r="A542" t="s">
        <v>28</v>
      </c>
      <c r="B542" t="s">
        <v>32</v>
      </c>
      <c r="C542" t="s">
        <v>46</v>
      </c>
      <c r="D542">
        <v>14301</v>
      </c>
      <c r="E542">
        <v>130</v>
      </c>
      <c r="F542" s="1">
        <v>44749</v>
      </c>
      <c r="G542" t="str">
        <f>IF(COUNTIFS(Table1_3[Country],Table1_3[[#This Row],[Country]],Table1_3[Product],Table1_3[[#This Row],[Product]],Table1_3[Sales Person],Table1_3[[#This Row],[Sales Person]],Table1_3[Amount],"&lt;=100")&gt;=2,"Contract","Deal")</f>
        <v>Deal</v>
      </c>
    </row>
    <row r="543" spans="1:7" x14ac:dyDescent="0.3">
      <c r="A543" t="s">
        <v>28</v>
      </c>
      <c r="B543" t="s">
        <v>32</v>
      </c>
      <c r="C543" t="s">
        <v>46</v>
      </c>
      <c r="D543">
        <v>14460.51</v>
      </c>
      <c r="E543">
        <v>124</v>
      </c>
      <c r="F543" s="1">
        <v>45114</v>
      </c>
      <c r="G543" t="str">
        <f>IF(COUNTIFS(Table1_3[Country],Table1_3[[#This Row],[Country]],Table1_3[Product],Table1_3[[#This Row],[Product]],Table1_3[Sales Person],Table1_3[[#This Row],[Sales Person]],Table1_3[Amount],"&lt;=100")&gt;=2,"Contract","Deal")</f>
        <v>Deal</v>
      </c>
    </row>
    <row r="544" spans="1:7" x14ac:dyDescent="0.3">
      <c r="A544" t="s">
        <v>28</v>
      </c>
      <c r="B544" t="s">
        <v>32</v>
      </c>
      <c r="C544" t="s">
        <v>46</v>
      </c>
      <c r="D544">
        <v>16001.54</v>
      </c>
      <c r="E544">
        <v>133</v>
      </c>
      <c r="F544" s="1">
        <v>45480</v>
      </c>
      <c r="G544" t="str">
        <f>IF(COUNTIFS(Table1_3[Country],Table1_3[[#This Row],[Country]],Table1_3[Product],Table1_3[[#This Row],[Product]],Table1_3[Sales Person],Table1_3[[#This Row],[Sales Person]],Table1_3[Amount],"&lt;=100")&gt;=2,"Contract","Deal")</f>
        <v>Deal</v>
      </c>
    </row>
    <row r="545" spans="1:7" x14ac:dyDescent="0.3">
      <c r="A545" t="s">
        <v>28</v>
      </c>
      <c r="B545" t="s">
        <v>32</v>
      </c>
      <c r="C545" t="s">
        <v>8</v>
      </c>
      <c r="D545">
        <v>10577</v>
      </c>
      <c r="E545">
        <v>150</v>
      </c>
      <c r="F545" s="1">
        <v>44706</v>
      </c>
      <c r="G545" t="str">
        <f>IF(COUNTIFS(Table1_3[Country],Table1_3[[#This Row],[Country]],Table1_3[Product],Table1_3[[#This Row],[Product]],Table1_3[Sales Person],Table1_3[[#This Row],[Sales Person]],Table1_3[Amount],"&lt;=100")&gt;=2,"Contract","Deal")</f>
        <v>Deal</v>
      </c>
    </row>
    <row r="546" spans="1:7" x14ac:dyDescent="0.3">
      <c r="A546" t="s">
        <v>28</v>
      </c>
      <c r="B546" t="s">
        <v>32</v>
      </c>
      <c r="C546" t="s">
        <v>8</v>
      </c>
      <c r="D546">
        <v>11426.56</v>
      </c>
      <c r="E546">
        <v>151</v>
      </c>
      <c r="F546" s="1">
        <v>45071</v>
      </c>
      <c r="G546" t="str">
        <f>IF(COUNTIFS(Table1_3[Country],Table1_3[[#This Row],[Country]],Table1_3[Product],Table1_3[[#This Row],[Product]],Table1_3[Sales Person],Table1_3[[#This Row],[Sales Person]],Table1_3[Amount],"&lt;=100")&gt;=2,"Contract","Deal")</f>
        <v>Deal</v>
      </c>
    </row>
    <row r="547" spans="1:7" x14ac:dyDescent="0.3">
      <c r="A547" t="s">
        <v>28</v>
      </c>
      <c r="B547" t="s">
        <v>32</v>
      </c>
      <c r="C547" t="s">
        <v>8</v>
      </c>
      <c r="D547">
        <v>12476.68</v>
      </c>
      <c r="E547">
        <v>162</v>
      </c>
      <c r="F547" s="1">
        <v>45437</v>
      </c>
      <c r="G547" t="str">
        <f>IF(COUNTIFS(Table1_3[Country],Table1_3[[#This Row],[Country]],Table1_3[Product],Table1_3[[#This Row],[Product]],Table1_3[Sales Person],Table1_3[[#This Row],[Sales Person]],Table1_3[Amount],"&lt;=100")&gt;=2,"Contract","Deal")</f>
        <v>Deal</v>
      </c>
    </row>
    <row r="548" spans="1:7" x14ac:dyDescent="0.3">
      <c r="A548" t="s">
        <v>28</v>
      </c>
      <c r="B548" t="s">
        <v>32</v>
      </c>
      <c r="C548" t="s">
        <v>33</v>
      </c>
      <c r="D548">
        <v>6020</v>
      </c>
      <c r="E548">
        <v>147</v>
      </c>
      <c r="F548" s="1">
        <v>44589</v>
      </c>
      <c r="G548" t="str">
        <f>IF(COUNTIFS(Table1_3[Country],Table1_3[[#This Row],[Country]],Table1_3[Product],Table1_3[[#This Row],[Product]],Table1_3[Sales Person],Table1_3[[#This Row],[Sales Person]],Table1_3[Amount],"&lt;=100")&gt;=2,"Contract","Deal")</f>
        <v>Deal</v>
      </c>
    </row>
    <row r="549" spans="1:7" x14ac:dyDescent="0.3">
      <c r="A549" t="s">
        <v>28</v>
      </c>
      <c r="B549" t="s">
        <v>32</v>
      </c>
      <c r="C549" t="s">
        <v>33</v>
      </c>
      <c r="D549">
        <v>6276.91</v>
      </c>
      <c r="E549">
        <v>157</v>
      </c>
      <c r="F549" s="1">
        <v>44954</v>
      </c>
      <c r="G549" t="str">
        <f>IF(COUNTIFS(Table1_3[Country],Table1_3[[#This Row],[Country]],Table1_3[Product],Table1_3[[#This Row],[Product]],Table1_3[Sales Person],Table1_3[[#This Row],[Sales Person]],Table1_3[Amount],"&lt;=100")&gt;=2,"Contract","Deal")</f>
        <v>Deal</v>
      </c>
    </row>
    <row r="550" spans="1:7" x14ac:dyDescent="0.3">
      <c r="A550" t="s">
        <v>28</v>
      </c>
      <c r="B550" t="s">
        <v>32</v>
      </c>
      <c r="C550" t="s">
        <v>33</v>
      </c>
      <c r="D550">
        <v>7185.5</v>
      </c>
      <c r="E550">
        <v>152</v>
      </c>
      <c r="F550" s="1">
        <v>45319</v>
      </c>
      <c r="G550" t="str">
        <f>IF(COUNTIFS(Table1_3[Country],Table1_3[[#This Row],[Country]],Table1_3[Product],Table1_3[[#This Row],[Product]],Table1_3[Sales Person],Table1_3[[#This Row],[Sales Person]],Table1_3[Amount],"&lt;=100")&gt;=2,"Contract","Deal")</f>
        <v>Deal</v>
      </c>
    </row>
    <row r="551" spans="1:7" x14ac:dyDescent="0.3">
      <c r="A551" t="s">
        <v>28</v>
      </c>
      <c r="B551" t="s">
        <v>32</v>
      </c>
      <c r="C551" t="s">
        <v>42</v>
      </c>
      <c r="D551">
        <v>16233</v>
      </c>
      <c r="E551">
        <v>138</v>
      </c>
      <c r="F551" s="1">
        <v>44706</v>
      </c>
      <c r="G551" t="str">
        <f>IF(COUNTIFS(Table1_3[Country],Table1_3[[#This Row],[Country]],Table1_3[Product],Table1_3[[#This Row],[Product]],Table1_3[Sales Person],Table1_3[[#This Row],[Sales Person]],Table1_3[Amount],"&lt;=100")&gt;=2,"Contract","Deal")</f>
        <v>Deal</v>
      </c>
    </row>
    <row r="552" spans="1:7" x14ac:dyDescent="0.3">
      <c r="A552" t="s">
        <v>28</v>
      </c>
      <c r="B552" t="s">
        <v>32</v>
      </c>
      <c r="C552" t="s">
        <v>42</v>
      </c>
      <c r="D552">
        <v>17383.080000000002</v>
      </c>
      <c r="E552">
        <v>145</v>
      </c>
      <c r="F552" s="1">
        <v>45071</v>
      </c>
      <c r="G552" t="str">
        <f>IF(COUNTIFS(Table1_3[Country],Table1_3[[#This Row],[Country]],Table1_3[Product],Table1_3[[#This Row],[Product]],Table1_3[Sales Person],Table1_3[[#This Row],[Sales Person]],Table1_3[Amount],"&lt;=100")&gt;=2,"Contract","Deal")</f>
        <v>Deal</v>
      </c>
    </row>
    <row r="553" spans="1:7" x14ac:dyDescent="0.3">
      <c r="A553" t="s">
        <v>28</v>
      </c>
      <c r="B553" t="s">
        <v>32</v>
      </c>
      <c r="C553" t="s">
        <v>42</v>
      </c>
      <c r="D553">
        <v>17415.669999999998</v>
      </c>
      <c r="E553">
        <v>148</v>
      </c>
      <c r="F553" s="1">
        <v>45437</v>
      </c>
      <c r="G553" t="str">
        <f>IF(COUNTIFS(Table1_3[Country],Table1_3[[#This Row],[Country]],Table1_3[Product],Table1_3[[#This Row],[Product]],Table1_3[Sales Person],Table1_3[[#This Row],[Sales Person]],Table1_3[Amount],"&lt;=100")&gt;=2,"Contract","Deal")</f>
        <v>Deal</v>
      </c>
    </row>
    <row r="554" spans="1:7" x14ac:dyDescent="0.3">
      <c r="A554" t="s">
        <v>28</v>
      </c>
      <c r="B554" t="s">
        <v>32</v>
      </c>
      <c r="C554" t="s">
        <v>73</v>
      </c>
      <c r="D554">
        <v>672</v>
      </c>
      <c r="E554">
        <v>194</v>
      </c>
      <c r="F554" s="1">
        <v>44573</v>
      </c>
      <c r="G554" t="str">
        <f>IF(COUNTIFS(Table1_3[Country],Table1_3[[#This Row],[Country]],Table1_3[Product],Table1_3[[#This Row],[Product]],Table1_3[Sales Person],Table1_3[[#This Row],[Sales Person]],Table1_3[Amount],"&lt;=100")&gt;=2,"Contract","Deal")</f>
        <v>Deal</v>
      </c>
    </row>
    <row r="555" spans="1:7" x14ac:dyDescent="0.3">
      <c r="A555" t="s">
        <v>28</v>
      </c>
      <c r="B555" t="s">
        <v>32</v>
      </c>
      <c r="C555" t="s">
        <v>73</v>
      </c>
      <c r="D555">
        <v>683.63</v>
      </c>
      <c r="E555">
        <v>202</v>
      </c>
      <c r="F555" s="1">
        <v>44938</v>
      </c>
      <c r="G555" t="str">
        <f>IF(COUNTIFS(Table1_3[Country],Table1_3[[#This Row],[Country]],Table1_3[Product],Table1_3[[#This Row],[Product]],Table1_3[Sales Person],Table1_3[[#This Row],[Sales Person]],Table1_3[Amount],"&lt;=100")&gt;=2,"Contract","Deal")</f>
        <v>Deal</v>
      </c>
    </row>
    <row r="556" spans="1:7" x14ac:dyDescent="0.3">
      <c r="A556" t="s">
        <v>28</v>
      </c>
      <c r="B556" t="s">
        <v>32</v>
      </c>
      <c r="C556" t="s">
        <v>73</v>
      </c>
      <c r="D556">
        <v>807.26</v>
      </c>
      <c r="E556">
        <v>198</v>
      </c>
      <c r="F556" s="1">
        <v>45303</v>
      </c>
      <c r="G556" t="str">
        <f>IF(COUNTIFS(Table1_3[Country],Table1_3[[#This Row],[Country]],Table1_3[Product],Table1_3[[#This Row],[Product]],Table1_3[Sales Person],Table1_3[[#This Row],[Sales Person]],Table1_3[Amount],"&lt;=100")&gt;=2,"Contract","Deal")</f>
        <v>Deal</v>
      </c>
    </row>
    <row r="557" spans="1:7" x14ac:dyDescent="0.3">
      <c r="A557" t="s">
        <v>71</v>
      </c>
      <c r="B557" t="s">
        <v>15</v>
      </c>
      <c r="C557" t="s">
        <v>100</v>
      </c>
      <c r="D557">
        <v>6048</v>
      </c>
      <c r="E557">
        <v>477</v>
      </c>
      <c r="F557" s="1">
        <v>44680</v>
      </c>
      <c r="G557" t="str">
        <f>IF(COUNTIFS(Table1_3[Country],Table1_3[[#This Row],[Country]],Table1_3[Product],Table1_3[[#This Row],[Product]],Table1_3[Sales Person],Table1_3[[#This Row],[Sales Person]],Table1_3[Amount],"&lt;=100")&gt;=2,"Contract","Deal")</f>
        <v>Deal</v>
      </c>
    </row>
    <row r="558" spans="1:7" x14ac:dyDescent="0.3">
      <c r="A558" t="s">
        <v>71</v>
      </c>
      <c r="B558" t="s">
        <v>15</v>
      </c>
      <c r="C558" t="s">
        <v>100</v>
      </c>
      <c r="D558">
        <v>6249.31</v>
      </c>
      <c r="E558">
        <v>509</v>
      </c>
      <c r="F558" s="1">
        <v>45045</v>
      </c>
      <c r="G558" t="str">
        <f>IF(COUNTIFS(Table1_3[Country],Table1_3[[#This Row],[Country]],Table1_3[Product],Table1_3[[#This Row],[Product]],Table1_3[Sales Person],Table1_3[[#This Row],[Sales Person]],Table1_3[Amount],"&lt;=100")&gt;=2,"Contract","Deal")</f>
        <v>Deal</v>
      </c>
    </row>
    <row r="559" spans="1:7" x14ac:dyDescent="0.3">
      <c r="A559" t="s">
        <v>71</v>
      </c>
      <c r="B559" t="s">
        <v>15</v>
      </c>
      <c r="C559" t="s">
        <v>100</v>
      </c>
      <c r="D559">
        <v>6999.62</v>
      </c>
      <c r="E559">
        <v>500</v>
      </c>
      <c r="F559" s="1">
        <v>45411</v>
      </c>
      <c r="G559" t="str">
        <f>IF(COUNTIFS(Table1_3[Country],Table1_3[[#This Row],[Country]],Table1_3[Product],Table1_3[[#This Row],[Product]],Table1_3[Sales Person],Table1_3[[#This Row],[Sales Person]],Table1_3[Amount],"&lt;=100")&gt;=2,"Contract","Deal")</f>
        <v>Deal</v>
      </c>
    </row>
    <row r="560" spans="1:7" x14ac:dyDescent="0.3">
      <c r="A560" t="s">
        <v>71</v>
      </c>
      <c r="B560" t="s">
        <v>15</v>
      </c>
      <c r="C560" t="s">
        <v>11</v>
      </c>
      <c r="D560">
        <v>3654</v>
      </c>
      <c r="E560">
        <v>14</v>
      </c>
      <c r="F560" s="1">
        <v>44700</v>
      </c>
      <c r="G560" t="str">
        <f>IF(COUNTIFS(Table1_3[Country],Table1_3[[#This Row],[Country]],Table1_3[Product],Table1_3[[#This Row],[Product]],Table1_3[Sales Person],Table1_3[[#This Row],[Sales Person]],Table1_3[Amount],"&lt;=100")&gt;=2,"Contract","Deal")</f>
        <v>Deal</v>
      </c>
    </row>
    <row r="561" spans="1:7" x14ac:dyDescent="0.3">
      <c r="A561" t="s">
        <v>71</v>
      </c>
      <c r="B561" t="s">
        <v>15</v>
      </c>
      <c r="C561" t="s">
        <v>11</v>
      </c>
      <c r="D561">
        <v>3790.51</v>
      </c>
      <c r="E561">
        <v>14</v>
      </c>
      <c r="F561" s="1">
        <v>45065</v>
      </c>
      <c r="G561" t="str">
        <f>IF(COUNTIFS(Table1_3[Country],Table1_3[[#This Row],[Country]],Table1_3[Product],Table1_3[[#This Row],[Product]],Table1_3[Sales Person],Table1_3[[#This Row],[Sales Person]],Table1_3[Amount],"&lt;=100")&gt;=2,"Contract","Deal")</f>
        <v>Deal</v>
      </c>
    </row>
    <row r="562" spans="1:7" x14ac:dyDescent="0.3">
      <c r="A562" t="s">
        <v>71</v>
      </c>
      <c r="B562" t="s">
        <v>15</v>
      </c>
      <c r="C562" t="s">
        <v>11</v>
      </c>
      <c r="D562">
        <v>4247.49</v>
      </c>
      <c r="E562">
        <v>14</v>
      </c>
      <c r="F562" s="1">
        <v>45431</v>
      </c>
      <c r="G562" t="str">
        <f>IF(COUNTIFS(Table1_3[Country],Table1_3[[#This Row],[Country]],Table1_3[Product],Table1_3[[#This Row],[Product]],Table1_3[Sales Person],Table1_3[[#This Row],[Sales Person]],Table1_3[Amount],"&lt;=100")&gt;=2,"Contract","Deal")</f>
        <v>Deal</v>
      </c>
    </row>
    <row r="563" spans="1:7" x14ac:dyDescent="0.3">
      <c r="A563" t="s">
        <v>71</v>
      </c>
      <c r="B563" t="s">
        <v>15</v>
      </c>
      <c r="C563" t="s">
        <v>20</v>
      </c>
      <c r="D563">
        <v>4669</v>
      </c>
      <c r="E563">
        <v>101</v>
      </c>
      <c r="F563" s="1">
        <v>44579</v>
      </c>
      <c r="G563" t="str">
        <f>IF(COUNTIFS(Table1_3[Country],Table1_3[[#This Row],[Country]],Table1_3[Product],Table1_3[[#This Row],[Product]],Table1_3[Sales Person],Table1_3[[#This Row],[Sales Person]],Table1_3[Amount],"&lt;=100")&gt;=2,"Contract","Deal")</f>
        <v>Deal</v>
      </c>
    </row>
    <row r="564" spans="1:7" x14ac:dyDescent="0.3">
      <c r="A564" t="s">
        <v>71</v>
      </c>
      <c r="B564" t="s">
        <v>15</v>
      </c>
      <c r="C564" t="s">
        <v>20</v>
      </c>
      <c r="D564">
        <v>4977.55</v>
      </c>
      <c r="E564">
        <v>97</v>
      </c>
      <c r="F564" s="1">
        <v>44944</v>
      </c>
      <c r="G564" t="str">
        <f>IF(COUNTIFS(Table1_3[Country],Table1_3[[#This Row],[Country]],Table1_3[Product],Table1_3[[#This Row],[Product]],Table1_3[Sales Person],Table1_3[[#This Row],[Sales Person]],Table1_3[Amount],"&lt;=100")&gt;=2,"Contract","Deal")</f>
        <v>Deal</v>
      </c>
    </row>
    <row r="565" spans="1:7" x14ac:dyDescent="0.3">
      <c r="A565" t="s">
        <v>71</v>
      </c>
      <c r="B565" t="s">
        <v>15</v>
      </c>
      <c r="C565" t="s">
        <v>20</v>
      </c>
      <c r="D565">
        <v>5346.62</v>
      </c>
      <c r="E565">
        <v>109</v>
      </c>
      <c r="F565" s="1">
        <v>45309</v>
      </c>
      <c r="G565" t="str">
        <f>IF(COUNTIFS(Table1_3[Country],Table1_3[[#This Row],[Country]],Table1_3[Product],Table1_3[[#This Row],[Product]],Table1_3[Sales Person],Table1_3[[#This Row],[Sales Person]],Table1_3[Amount],"&lt;=100")&gt;=2,"Contract","Deal")</f>
        <v>Deal</v>
      </c>
    </row>
    <row r="566" spans="1:7" x14ac:dyDescent="0.3">
      <c r="A566" t="s">
        <v>71</v>
      </c>
      <c r="B566" t="s">
        <v>15</v>
      </c>
      <c r="C566" t="s">
        <v>90</v>
      </c>
      <c r="D566">
        <v>3178</v>
      </c>
      <c r="E566">
        <v>16</v>
      </c>
      <c r="F566" s="1">
        <v>44683</v>
      </c>
      <c r="G566" t="str">
        <f>IF(COUNTIFS(Table1_3[Country],Table1_3[[#This Row],[Country]],Table1_3[Product],Table1_3[[#This Row],[Product]],Table1_3[Sales Person],Table1_3[[#This Row],[Sales Person]],Table1_3[Amount],"&lt;=100")&gt;=2,"Contract","Deal")</f>
        <v>Deal</v>
      </c>
    </row>
    <row r="567" spans="1:7" x14ac:dyDescent="0.3">
      <c r="A567" t="s">
        <v>71</v>
      </c>
      <c r="B567" t="s">
        <v>15</v>
      </c>
      <c r="C567" t="s">
        <v>90</v>
      </c>
      <c r="D567">
        <v>3242.04</v>
      </c>
      <c r="E567">
        <v>15</v>
      </c>
      <c r="F567" s="1">
        <v>45048</v>
      </c>
      <c r="G567" t="str">
        <f>IF(COUNTIFS(Table1_3[Country],Table1_3[[#This Row],[Country]],Table1_3[Product],Table1_3[[#This Row],[Product]],Table1_3[Sales Person],Table1_3[[#This Row],[Sales Person]],Table1_3[Amount],"&lt;=100")&gt;=2,"Contract","Deal")</f>
        <v>Deal</v>
      </c>
    </row>
    <row r="568" spans="1:7" x14ac:dyDescent="0.3">
      <c r="A568" t="s">
        <v>71</v>
      </c>
      <c r="B568" t="s">
        <v>15</v>
      </c>
      <c r="C568" t="s">
        <v>90</v>
      </c>
      <c r="D568">
        <v>3538.27</v>
      </c>
      <c r="E568">
        <v>16</v>
      </c>
      <c r="F568" s="1">
        <v>45414</v>
      </c>
      <c r="G568" t="str">
        <f>IF(COUNTIFS(Table1_3[Country],Table1_3[[#This Row],[Country]],Table1_3[Product],Table1_3[[#This Row],[Product]],Table1_3[Sales Person],Table1_3[[#This Row],[Sales Person]],Table1_3[Amount],"&lt;=100")&gt;=2,"Contract","Deal")</f>
        <v>Deal</v>
      </c>
    </row>
    <row r="569" spans="1:7" x14ac:dyDescent="0.3">
      <c r="A569" t="s">
        <v>71</v>
      </c>
      <c r="B569" t="s">
        <v>15</v>
      </c>
      <c r="C569" t="s">
        <v>60</v>
      </c>
      <c r="D569">
        <v>637</v>
      </c>
      <c r="E569">
        <v>169</v>
      </c>
      <c r="F569" s="1">
        <v>44637</v>
      </c>
      <c r="G569" t="str">
        <f>IF(COUNTIFS(Table1_3[Country],Table1_3[[#This Row],[Country]],Table1_3[Product],Table1_3[[#This Row],[Product]],Table1_3[Sales Person],Table1_3[[#This Row],[Sales Person]],Table1_3[Amount],"&lt;=100")&gt;=2,"Contract","Deal")</f>
        <v>Deal</v>
      </c>
    </row>
    <row r="570" spans="1:7" x14ac:dyDescent="0.3">
      <c r="A570" t="s">
        <v>71</v>
      </c>
      <c r="B570" t="s">
        <v>15</v>
      </c>
      <c r="C570" t="s">
        <v>60</v>
      </c>
      <c r="D570">
        <v>703.4</v>
      </c>
      <c r="E570">
        <v>181</v>
      </c>
      <c r="F570" s="1">
        <v>45002</v>
      </c>
      <c r="G570" t="str">
        <f>IF(COUNTIFS(Table1_3[Country],Table1_3[[#This Row],[Country]],Table1_3[Product],Table1_3[[#This Row],[Product]],Table1_3[Sales Person],Table1_3[[#This Row],[Sales Person]],Table1_3[Amount],"&lt;=100")&gt;=2,"Contract","Deal")</f>
        <v>Deal</v>
      </c>
    </row>
    <row r="571" spans="1:7" x14ac:dyDescent="0.3">
      <c r="A571" t="s">
        <v>71</v>
      </c>
      <c r="B571" t="s">
        <v>15</v>
      </c>
      <c r="C571" t="s">
        <v>60</v>
      </c>
      <c r="D571">
        <v>681.71</v>
      </c>
      <c r="E571">
        <v>170</v>
      </c>
      <c r="F571" s="1">
        <v>45368</v>
      </c>
      <c r="G571" t="str">
        <f>IF(COUNTIFS(Table1_3[Country],Table1_3[[#This Row],[Country]],Table1_3[Product],Table1_3[[#This Row],[Product]],Table1_3[Sales Person],Table1_3[[#This Row],[Sales Person]],Table1_3[Amount],"&lt;=100")&gt;=2,"Contract","Deal")</f>
        <v>Deal</v>
      </c>
    </row>
    <row r="572" spans="1:7" x14ac:dyDescent="0.3">
      <c r="A572" t="s">
        <v>71</v>
      </c>
      <c r="B572" t="s">
        <v>15</v>
      </c>
      <c r="C572" t="s">
        <v>73</v>
      </c>
      <c r="D572">
        <v>6342</v>
      </c>
      <c r="E572">
        <v>178</v>
      </c>
      <c r="F572" s="1">
        <v>44796</v>
      </c>
      <c r="G572" t="str">
        <f>IF(COUNTIFS(Table1_3[Country],Table1_3[[#This Row],[Country]],Table1_3[Product],Table1_3[[#This Row],[Product]],Table1_3[Sales Person],Table1_3[[#This Row],[Sales Person]],Table1_3[Amount],"&lt;=100")&gt;=2,"Contract","Deal")</f>
        <v>Deal</v>
      </c>
    </row>
    <row r="573" spans="1:7" x14ac:dyDescent="0.3">
      <c r="A573" t="s">
        <v>71</v>
      </c>
      <c r="B573" t="s">
        <v>15</v>
      </c>
      <c r="C573" t="s">
        <v>73</v>
      </c>
      <c r="D573">
        <v>6984.06</v>
      </c>
      <c r="E573">
        <v>174</v>
      </c>
      <c r="F573" s="1">
        <v>45161</v>
      </c>
      <c r="G573" t="str">
        <f>IF(COUNTIFS(Table1_3[Country],Table1_3[[#This Row],[Country]],Table1_3[Product],Table1_3[[#This Row],[Product]],Table1_3[Sales Person],Table1_3[[#This Row],[Sales Person]],Table1_3[Amount],"&lt;=100")&gt;=2,"Contract","Deal")</f>
        <v>Deal</v>
      </c>
    </row>
    <row r="574" spans="1:7" x14ac:dyDescent="0.3">
      <c r="A574" t="s">
        <v>71</v>
      </c>
      <c r="B574" t="s">
        <v>15</v>
      </c>
      <c r="C574" t="s">
        <v>73</v>
      </c>
      <c r="D574">
        <v>6641.89</v>
      </c>
      <c r="E574">
        <v>188</v>
      </c>
      <c r="F574" s="1">
        <v>45527</v>
      </c>
      <c r="G574" t="str">
        <f>IF(COUNTIFS(Table1_3[Country],Table1_3[[#This Row],[Country]],Table1_3[Product],Table1_3[[#This Row],[Product]],Table1_3[Sales Person],Table1_3[[#This Row],[Sales Person]],Table1_3[Amount],"&lt;=100")&gt;=2,"Contract","Deal")</f>
        <v>Deal</v>
      </c>
    </row>
    <row r="575" spans="1:7" x14ac:dyDescent="0.3">
      <c r="A575" t="s">
        <v>71</v>
      </c>
      <c r="B575" t="s">
        <v>15</v>
      </c>
      <c r="C575" t="s">
        <v>18</v>
      </c>
      <c r="D575">
        <v>7406</v>
      </c>
      <c r="E575">
        <v>118</v>
      </c>
      <c r="F575" s="1">
        <v>44623</v>
      </c>
      <c r="G575" t="str">
        <f>IF(COUNTIFS(Table1_3[Country],Table1_3[[#This Row],[Country]],Table1_3[Product],Table1_3[[#This Row],[Product]],Table1_3[Sales Person],Table1_3[[#This Row],[Sales Person]],Table1_3[Amount],"&lt;=100")&gt;=2,"Contract","Deal")</f>
        <v>Deal</v>
      </c>
    </row>
    <row r="576" spans="1:7" x14ac:dyDescent="0.3">
      <c r="A576" t="s">
        <v>71</v>
      </c>
      <c r="B576" t="s">
        <v>15</v>
      </c>
      <c r="C576" t="s">
        <v>18</v>
      </c>
      <c r="D576">
        <v>8220.25</v>
      </c>
      <c r="E576">
        <v>125</v>
      </c>
      <c r="F576" s="1">
        <v>44988</v>
      </c>
      <c r="G576" t="str">
        <f>IF(COUNTIFS(Table1_3[Country],Table1_3[[#This Row],[Country]],Table1_3[Product],Table1_3[[#This Row],[Product]],Table1_3[Sales Person],Table1_3[[#This Row],[Sales Person]],Table1_3[Amount],"&lt;=100")&gt;=2,"Contract","Deal")</f>
        <v>Deal</v>
      </c>
    </row>
    <row r="577" spans="1:7" x14ac:dyDescent="0.3">
      <c r="A577" t="s">
        <v>71</v>
      </c>
      <c r="B577" t="s">
        <v>15</v>
      </c>
      <c r="C577" t="s">
        <v>18</v>
      </c>
      <c r="D577">
        <v>8263.11</v>
      </c>
      <c r="E577">
        <v>129</v>
      </c>
      <c r="F577" s="1">
        <v>45354</v>
      </c>
      <c r="G577" t="str">
        <f>IF(COUNTIFS(Table1_3[Country],Table1_3[[#This Row],[Country]],Table1_3[Product],Table1_3[[#This Row],[Product]],Table1_3[Sales Person],Table1_3[[#This Row],[Sales Person]],Table1_3[Amount],"&lt;=100")&gt;=2,"Contract","Deal")</f>
        <v>Deal</v>
      </c>
    </row>
    <row r="578" spans="1:7" x14ac:dyDescent="0.3">
      <c r="A578" t="s">
        <v>71</v>
      </c>
      <c r="B578" t="s">
        <v>35</v>
      </c>
      <c r="C578" t="s">
        <v>100</v>
      </c>
      <c r="D578">
        <v>9716</v>
      </c>
      <c r="E578">
        <v>151</v>
      </c>
      <c r="F578" s="1">
        <v>44769</v>
      </c>
      <c r="G578" t="str">
        <f>IF(COUNTIFS(Table1_3[Country],Table1_3[[#This Row],[Country]],Table1_3[Product],Table1_3[[#This Row],[Product]],Table1_3[Sales Person],Table1_3[[#This Row],[Sales Person]],Table1_3[Amount],"&lt;=100")&gt;=2,"Contract","Deal")</f>
        <v>Deal</v>
      </c>
    </row>
    <row r="579" spans="1:7" x14ac:dyDescent="0.3">
      <c r="A579" t="s">
        <v>71</v>
      </c>
      <c r="B579" t="s">
        <v>35</v>
      </c>
      <c r="C579" t="s">
        <v>100</v>
      </c>
      <c r="D579">
        <v>10095.709999999999</v>
      </c>
      <c r="E579">
        <v>151</v>
      </c>
      <c r="F579" s="1">
        <v>45134</v>
      </c>
      <c r="G579" t="str">
        <f>IF(COUNTIFS(Table1_3[Country],Table1_3[[#This Row],[Country]],Table1_3[Product],Table1_3[[#This Row],[Product]],Table1_3[Sales Person],Table1_3[[#This Row],[Sales Person]],Table1_3[Amount],"&lt;=100")&gt;=2,"Contract","Deal")</f>
        <v>Deal</v>
      </c>
    </row>
    <row r="580" spans="1:7" x14ac:dyDescent="0.3">
      <c r="A580" t="s">
        <v>71</v>
      </c>
      <c r="B580" t="s">
        <v>35</v>
      </c>
      <c r="C580" t="s">
        <v>100</v>
      </c>
      <c r="D580">
        <v>10791.08</v>
      </c>
      <c r="E580">
        <v>166</v>
      </c>
      <c r="F580" s="1">
        <v>45500</v>
      </c>
      <c r="G580" t="str">
        <f>IF(COUNTIFS(Table1_3[Country],Table1_3[[#This Row],[Country]],Table1_3[Product],Table1_3[[#This Row],[Product]],Table1_3[Sales Person],Table1_3[[#This Row],[Sales Person]],Table1_3[Amount],"&lt;=100")&gt;=2,"Contract","Deal")</f>
        <v>Deal</v>
      </c>
    </row>
    <row r="581" spans="1:7" x14ac:dyDescent="0.3">
      <c r="A581" t="s">
        <v>71</v>
      </c>
      <c r="B581" t="s">
        <v>35</v>
      </c>
      <c r="C581" t="s">
        <v>38</v>
      </c>
      <c r="D581">
        <v>12481</v>
      </c>
      <c r="E581">
        <v>264</v>
      </c>
      <c r="F581" s="1">
        <v>44623</v>
      </c>
      <c r="G581" t="str">
        <f>IF(COUNTIFS(Table1_3[Country],Table1_3[[#This Row],[Country]],Table1_3[Product],Table1_3[[#This Row],[Product]],Table1_3[Sales Person],Table1_3[[#This Row],[Sales Person]],Table1_3[Amount],"&lt;=100")&gt;=2,"Contract","Deal")</f>
        <v>Deal</v>
      </c>
    </row>
    <row r="582" spans="1:7" x14ac:dyDescent="0.3">
      <c r="A582" t="s">
        <v>71</v>
      </c>
      <c r="B582" t="s">
        <v>35</v>
      </c>
      <c r="C582" t="s">
        <v>38</v>
      </c>
      <c r="D582">
        <v>13555.26</v>
      </c>
      <c r="E582">
        <v>279</v>
      </c>
      <c r="F582" s="1">
        <v>44988</v>
      </c>
      <c r="G582" t="str">
        <f>IF(COUNTIFS(Table1_3[Country],Table1_3[[#This Row],[Country]],Table1_3[Product],Table1_3[[#This Row],[Product]],Table1_3[Sales Person],Table1_3[[#This Row],[Sales Person]],Table1_3[Amount],"&lt;=100")&gt;=2,"Contract","Deal")</f>
        <v>Deal</v>
      </c>
    </row>
    <row r="583" spans="1:7" x14ac:dyDescent="0.3">
      <c r="A583" t="s">
        <v>71</v>
      </c>
      <c r="B583" t="s">
        <v>35</v>
      </c>
      <c r="C583" t="s">
        <v>38</v>
      </c>
      <c r="D583">
        <v>13524.05</v>
      </c>
      <c r="E583">
        <v>253</v>
      </c>
      <c r="F583" s="1">
        <v>45354</v>
      </c>
      <c r="G583" t="str">
        <f>IF(COUNTIFS(Table1_3[Country],Table1_3[[#This Row],[Country]],Table1_3[Product],Table1_3[[#This Row],[Product]],Table1_3[Sales Person],Table1_3[[#This Row],[Sales Person]],Table1_3[Amount],"&lt;=100")&gt;=2,"Contract","Deal")</f>
        <v>Deal</v>
      </c>
    </row>
    <row r="584" spans="1:7" x14ac:dyDescent="0.3">
      <c r="A584" t="s">
        <v>71</v>
      </c>
      <c r="B584" t="s">
        <v>35</v>
      </c>
      <c r="C584" t="s">
        <v>33</v>
      </c>
      <c r="D584">
        <v>7770</v>
      </c>
      <c r="E584">
        <v>54</v>
      </c>
      <c r="F584" s="1">
        <v>44609</v>
      </c>
      <c r="G584" t="str">
        <f>IF(COUNTIFS(Table1_3[Country],Table1_3[[#This Row],[Country]],Table1_3[Product],Table1_3[[#This Row],[Product]],Table1_3[Sales Person],Table1_3[[#This Row],[Sales Person]],Table1_3[Amount],"&lt;=100")&gt;=2,"Contract","Deal")</f>
        <v>Deal</v>
      </c>
    </row>
    <row r="585" spans="1:7" x14ac:dyDescent="0.3">
      <c r="A585" t="s">
        <v>71</v>
      </c>
      <c r="B585" t="s">
        <v>35</v>
      </c>
      <c r="C585" t="s">
        <v>33</v>
      </c>
      <c r="D585">
        <v>8671.2099999999991</v>
      </c>
      <c r="E585">
        <v>52</v>
      </c>
      <c r="F585" s="1">
        <v>44974</v>
      </c>
      <c r="G585" t="str">
        <f>IF(COUNTIFS(Table1_3[Country],Table1_3[[#This Row],[Country]],Table1_3[Product],Table1_3[[#This Row],[Product]],Table1_3[Sales Person],Table1_3[[#This Row],[Sales Person]],Table1_3[Amount],"&lt;=100")&gt;=2,"Contract","Deal")</f>
        <v>Deal</v>
      </c>
    </row>
    <row r="586" spans="1:7" x14ac:dyDescent="0.3">
      <c r="A586" t="s">
        <v>71</v>
      </c>
      <c r="B586" t="s">
        <v>35</v>
      </c>
      <c r="C586" t="s">
        <v>33</v>
      </c>
      <c r="D586">
        <v>9056.1</v>
      </c>
      <c r="E586">
        <v>58</v>
      </c>
      <c r="F586" s="1">
        <v>45339</v>
      </c>
      <c r="G586" t="str">
        <f>IF(COUNTIFS(Table1_3[Country],Table1_3[[#This Row],[Country]],Table1_3[Product],Table1_3[[#This Row],[Product]],Table1_3[Sales Person],Table1_3[[#This Row],[Sales Person]],Table1_3[Amount],"&lt;=100")&gt;=2,"Contract","Deal")</f>
        <v>Deal</v>
      </c>
    </row>
    <row r="587" spans="1:7" x14ac:dyDescent="0.3">
      <c r="A587" t="s">
        <v>71</v>
      </c>
      <c r="B587" t="s">
        <v>10</v>
      </c>
      <c r="C587" t="s">
        <v>26</v>
      </c>
      <c r="D587">
        <v>9275</v>
      </c>
      <c r="E587">
        <v>411</v>
      </c>
      <c r="F587" s="1">
        <v>44746</v>
      </c>
      <c r="G587" t="str">
        <f>IF(COUNTIFS(Table1_3[Country],Table1_3[[#This Row],[Country]],Table1_3[Product],Table1_3[[#This Row],[Product]],Table1_3[Sales Person],Table1_3[[#This Row],[Sales Person]],Table1_3[Amount],"&lt;=100")&gt;=2,"Contract","Deal")</f>
        <v>Deal</v>
      </c>
    </row>
    <row r="588" spans="1:7" x14ac:dyDescent="0.3">
      <c r="A588" t="s">
        <v>71</v>
      </c>
      <c r="B588" t="s">
        <v>10</v>
      </c>
      <c r="C588" t="s">
        <v>26</v>
      </c>
      <c r="D588">
        <v>10539.54</v>
      </c>
      <c r="E588">
        <v>398</v>
      </c>
      <c r="F588" s="1">
        <v>45111</v>
      </c>
      <c r="G588" t="str">
        <f>IF(COUNTIFS(Table1_3[Country],Table1_3[[#This Row],[Country]],Table1_3[Product],Table1_3[[#This Row],[Product]],Table1_3[Sales Person],Table1_3[[#This Row],[Sales Person]],Table1_3[Amount],"&lt;=100")&gt;=2,"Contract","Deal")</f>
        <v>Deal</v>
      </c>
    </row>
    <row r="589" spans="1:7" x14ac:dyDescent="0.3">
      <c r="A589" t="s">
        <v>71</v>
      </c>
      <c r="B589" t="s">
        <v>10</v>
      </c>
      <c r="C589" t="s">
        <v>26</v>
      </c>
      <c r="D589">
        <v>10590.61</v>
      </c>
      <c r="E589">
        <v>430</v>
      </c>
      <c r="F589" s="1">
        <v>45477</v>
      </c>
      <c r="G589" t="str">
        <f>IF(COUNTIFS(Table1_3[Country],Table1_3[[#This Row],[Country]],Table1_3[Product],Table1_3[[#This Row],[Product]],Table1_3[Sales Person],Table1_3[[#This Row],[Sales Person]],Table1_3[Amount],"&lt;=100")&gt;=2,"Contract","Deal")</f>
        <v>Deal</v>
      </c>
    </row>
    <row r="590" spans="1:7" x14ac:dyDescent="0.3">
      <c r="A590" t="s">
        <v>71</v>
      </c>
      <c r="B590" t="s">
        <v>10</v>
      </c>
      <c r="C590" t="s">
        <v>11</v>
      </c>
      <c r="D590">
        <v>9023</v>
      </c>
      <c r="E590">
        <v>51</v>
      </c>
      <c r="F590" s="1">
        <v>44685</v>
      </c>
      <c r="G590" t="str">
        <f>IF(COUNTIFS(Table1_3[Country],Table1_3[[#This Row],[Country]],Table1_3[Product],Table1_3[[#This Row],[Product]],Table1_3[Sales Person],Table1_3[[#This Row],[Sales Person]],Table1_3[Amount],"&lt;=100")&gt;=2,"Contract","Deal")</f>
        <v>Deal</v>
      </c>
    </row>
    <row r="591" spans="1:7" x14ac:dyDescent="0.3">
      <c r="A591" t="s">
        <v>71</v>
      </c>
      <c r="B591" t="s">
        <v>10</v>
      </c>
      <c r="C591" t="s">
        <v>11</v>
      </c>
      <c r="D591">
        <v>9523.65</v>
      </c>
      <c r="E591">
        <v>55</v>
      </c>
      <c r="F591" s="1">
        <v>45050</v>
      </c>
      <c r="G591" t="str">
        <f>IF(COUNTIFS(Table1_3[Country],Table1_3[[#This Row],[Country]],Table1_3[Product],Table1_3[[#This Row],[Product]],Table1_3[Sales Person],Table1_3[[#This Row],[Sales Person]],Table1_3[Amount],"&lt;=100")&gt;=2,"Contract","Deal")</f>
        <v>Deal</v>
      </c>
    </row>
    <row r="592" spans="1:7" x14ac:dyDescent="0.3">
      <c r="A592" t="s">
        <v>71</v>
      </c>
      <c r="B592" t="s">
        <v>10</v>
      </c>
      <c r="C592" t="s">
        <v>11</v>
      </c>
      <c r="D592">
        <v>9986.0499999999993</v>
      </c>
      <c r="E592">
        <v>54</v>
      </c>
      <c r="F592" s="1">
        <v>45416</v>
      </c>
      <c r="G592" t="str">
        <f>IF(COUNTIFS(Table1_3[Country],Table1_3[[#This Row],[Country]],Table1_3[Product],Table1_3[[#This Row],[Product]],Table1_3[Sales Person],Table1_3[[#This Row],[Sales Person]],Table1_3[Amount],"&lt;=100")&gt;=2,"Contract","Deal")</f>
        <v>Deal</v>
      </c>
    </row>
    <row r="593" spans="1:7" x14ac:dyDescent="0.3">
      <c r="A593" t="s">
        <v>71</v>
      </c>
      <c r="B593" t="s">
        <v>10</v>
      </c>
      <c r="C593" t="s">
        <v>20</v>
      </c>
      <c r="D593">
        <v>203</v>
      </c>
      <c r="E593">
        <v>207</v>
      </c>
      <c r="F593" s="1">
        <v>44775</v>
      </c>
      <c r="G593" t="str">
        <f>IF(COUNTIFS(Table1_3[Country],Table1_3[[#This Row],[Country]],Table1_3[Product],Table1_3[[#This Row],[Product]],Table1_3[Sales Person],Table1_3[[#This Row],[Sales Person]],Table1_3[Amount],"&lt;=100")&gt;=2,"Contract","Deal")</f>
        <v>Deal</v>
      </c>
    </row>
    <row r="594" spans="1:7" x14ac:dyDescent="0.3">
      <c r="A594" t="s">
        <v>71</v>
      </c>
      <c r="B594" t="s">
        <v>10</v>
      </c>
      <c r="C594" t="s">
        <v>20</v>
      </c>
      <c r="D594">
        <v>207.87</v>
      </c>
      <c r="E594">
        <v>216</v>
      </c>
      <c r="F594" s="1">
        <v>45140</v>
      </c>
      <c r="G594" t="str">
        <f>IF(COUNTIFS(Table1_3[Country],Table1_3[[#This Row],[Country]],Table1_3[Product],Table1_3[[#This Row],[Product]],Table1_3[Sales Person],Table1_3[[#This Row],[Sales Person]],Table1_3[Amount],"&lt;=100")&gt;=2,"Contract","Deal")</f>
        <v>Deal</v>
      </c>
    </row>
    <row r="595" spans="1:7" x14ac:dyDescent="0.3">
      <c r="A595" t="s">
        <v>71</v>
      </c>
      <c r="B595" t="s">
        <v>10</v>
      </c>
      <c r="C595" t="s">
        <v>20</v>
      </c>
      <c r="D595">
        <v>227.55</v>
      </c>
      <c r="E595">
        <v>225</v>
      </c>
      <c r="F595" s="1">
        <v>45506</v>
      </c>
      <c r="G595" t="str">
        <f>IF(COUNTIFS(Table1_3[Country],Table1_3[[#This Row],[Country]],Table1_3[Product],Table1_3[[#This Row],[Product]],Table1_3[Sales Person],Table1_3[[#This Row],[Sales Person]],Table1_3[Amount],"&lt;=100")&gt;=2,"Contract","Deal")</f>
        <v>Deal</v>
      </c>
    </row>
    <row r="596" spans="1:7" x14ac:dyDescent="0.3">
      <c r="A596" t="s">
        <v>71</v>
      </c>
      <c r="B596" t="s">
        <v>10</v>
      </c>
      <c r="C596" t="s">
        <v>38</v>
      </c>
      <c r="D596">
        <v>469</v>
      </c>
      <c r="E596">
        <v>163</v>
      </c>
      <c r="F596" s="1">
        <v>44781</v>
      </c>
      <c r="G596" t="str">
        <f>IF(COUNTIFS(Table1_3[Country],Table1_3[[#This Row],[Country]],Table1_3[Product],Table1_3[[#This Row],[Product]],Table1_3[Sales Person],Table1_3[[#This Row],[Sales Person]],Table1_3[Amount],"&lt;=100")&gt;=2,"Contract","Deal")</f>
        <v>Deal</v>
      </c>
    </row>
    <row r="597" spans="1:7" x14ac:dyDescent="0.3">
      <c r="A597" t="s">
        <v>71</v>
      </c>
      <c r="B597" t="s">
        <v>10</v>
      </c>
      <c r="C597" t="s">
        <v>38</v>
      </c>
      <c r="D597">
        <v>492.13</v>
      </c>
      <c r="E597">
        <v>164</v>
      </c>
      <c r="F597" s="1">
        <v>45146</v>
      </c>
      <c r="G597" t="str">
        <f>IF(COUNTIFS(Table1_3[Country],Table1_3[[#This Row],[Country]],Table1_3[Product],Table1_3[[#This Row],[Product]],Table1_3[Sales Person],Table1_3[[#This Row],[Sales Person]],Table1_3[Amount],"&lt;=100")&gt;=2,"Contract","Deal")</f>
        <v>Deal</v>
      </c>
    </row>
    <row r="598" spans="1:7" x14ac:dyDescent="0.3">
      <c r="A598" t="s">
        <v>71</v>
      </c>
      <c r="B598" t="s">
        <v>10</v>
      </c>
      <c r="C598" t="s">
        <v>38</v>
      </c>
      <c r="D598">
        <v>503.52</v>
      </c>
      <c r="E598">
        <v>167</v>
      </c>
      <c r="F598" s="1">
        <v>45512</v>
      </c>
      <c r="G598" t="str">
        <f>IF(COUNTIFS(Table1_3[Country],Table1_3[[#This Row],[Country]],Table1_3[Product],Table1_3[[#This Row],[Product]],Table1_3[Sales Person],Table1_3[[#This Row],[Sales Person]],Table1_3[Amount],"&lt;=100")&gt;=2,"Contract","Deal")</f>
        <v>Deal</v>
      </c>
    </row>
    <row r="599" spans="1:7" x14ac:dyDescent="0.3">
      <c r="A599" t="s">
        <v>71</v>
      </c>
      <c r="B599" t="s">
        <v>10</v>
      </c>
      <c r="C599" t="s">
        <v>13</v>
      </c>
      <c r="D599">
        <v>11837</v>
      </c>
      <c r="E599">
        <v>277</v>
      </c>
      <c r="F599" s="1">
        <v>44757</v>
      </c>
      <c r="G599" t="str">
        <f>IF(COUNTIFS(Table1_3[Country],Table1_3[[#This Row],[Country]],Table1_3[Product],Table1_3[[#This Row],[Product]],Table1_3[Sales Person],Table1_3[[#This Row],[Sales Person]],Table1_3[Amount],"&lt;=100")&gt;=2,"Contract","Deal")</f>
        <v>Deal</v>
      </c>
    </row>
    <row r="600" spans="1:7" x14ac:dyDescent="0.3">
      <c r="A600" t="s">
        <v>71</v>
      </c>
      <c r="B600" t="s">
        <v>10</v>
      </c>
      <c r="C600" t="s">
        <v>13</v>
      </c>
      <c r="D600">
        <v>12507.08</v>
      </c>
      <c r="E600">
        <v>284</v>
      </c>
      <c r="F600" s="1">
        <v>45122</v>
      </c>
      <c r="G600" t="str">
        <f>IF(COUNTIFS(Table1_3[Country],Table1_3[[#This Row],[Country]],Table1_3[Product],Table1_3[[#This Row],[Product]],Table1_3[Sales Person],Table1_3[[#This Row],[Sales Person]],Table1_3[Amount],"&lt;=100")&gt;=2,"Contract","Deal")</f>
        <v>Deal</v>
      </c>
    </row>
    <row r="601" spans="1:7" x14ac:dyDescent="0.3">
      <c r="A601" t="s">
        <v>71</v>
      </c>
      <c r="B601" t="s">
        <v>10</v>
      </c>
      <c r="C601" t="s">
        <v>13</v>
      </c>
      <c r="D601">
        <v>14102.83</v>
      </c>
      <c r="E601">
        <v>291</v>
      </c>
      <c r="F601" s="1">
        <v>45488</v>
      </c>
      <c r="G601" t="str">
        <f>IF(COUNTIFS(Table1_3[Country],Table1_3[[#This Row],[Country]],Table1_3[Product],Table1_3[[#This Row],[Product]],Table1_3[Sales Person],Table1_3[[#This Row],[Sales Person]],Table1_3[Amount],"&lt;=100")&gt;=2,"Contract","Deal")</f>
        <v>Deal</v>
      </c>
    </row>
    <row r="602" spans="1:7" x14ac:dyDescent="0.3">
      <c r="A602" t="s">
        <v>71</v>
      </c>
      <c r="B602" t="s">
        <v>25</v>
      </c>
      <c r="C602" t="s">
        <v>11</v>
      </c>
      <c r="D602">
        <v>15099</v>
      </c>
      <c r="E602">
        <v>55</v>
      </c>
      <c r="F602" s="1">
        <v>44781</v>
      </c>
      <c r="G602" t="str">
        <f>IF(COUNTIFS(Table1_3[Country],Table1_3[[#This Row],[Country]],Table1_3[Product],Table1_3[[#This Row],[Product]],Table1_3[Sales Person],Table1_3[[#This Row],[Sales Person]],Table1_3[Amount],"&lt;=100")&gt;=2,"Contract","Deal")</f>
        <v>Deal</v>
      </c>
    </row>
    <row r="603" spans="1:7" x14ac:dyDescent="0.3">
      <c r="A603" t="s">
        <v>71</v>
      </c>
      <c r="B603" t="s">
        <v>25</v>
      </c>
      <c r="C603" t="s">
        <v>11</v>
      </c>
      <c r="D603">
        <v>15372.54</v>
      </c>
      <c r="E603">
        <v>57</v>
      </c>
      <c r="F603" s="1">
        <v>45146</v>
      </c>
      <c r="G603" t="str">
        <f>IF(COUNTIFS(Table1_3[Country],Table1_3[[#This Row],[Country]],Table1_3[Product],Table1_3[[#This Row],[Product]],Table1_3[Sales Person],Table1_3[[#This Row],[Sales Person]],Table1_3[Amount],"&lt;=100")&gt;=2,"Contract","Deal")</f>
        <v>Deal</v>
      </c>
    </row>
    <row r="604" spans="1:7" x14ac:dyDescent="0.3">
      <c r="A604" t="s">
        <v>71</v>
      </c>
      <c r="B604" t="s">
        <v>25</v>
      </c>
      <c r="C604" t="s">
        <v>11</v>
      </c>
      <c r="D604">
        <v>17841.919999999998</v>
      </c>
      <c r="E604">
        <v>53</v>
      </c>
      <c r="F604" s="1">
        <v>45512</v>
      </c>
      <c r="G604" t="str">
        <f>IF(COUNTIFS(Table1_3[Country],Table1_3[[#This Row],[Country]],Table1_3[Product],Table1_3[[#This Row],[Product]],Table1_3[Sales Person],Table1_3[[#This Row],[Sales Person]],Table1_3[Amount],"&lt;=100")&gt;=2,"Contract","Deal")</f>
        <v>Deal</v>
      </c>
    </row>
    <row r="605" spans="1:7" x14ac:dyDescent="0.3">
      <c r="A605" t="s">
        <v>71</v>
      </c>
      <c r="B605" t="s">
        <v>25</v>
      </c>
      <c r="C605" t="s">
        <v>20</v>
      </c>
      <c r="D605">
        <v>2268</v>
      </c>
      <c r="E605">
        <v>42</v>
      </c>
      <c r="F605" s="1">
        <v>44799</v>
      </c>
      <c r="G605" t="str">
        <f>IF(COUNTIFS(Table1_3[Country],Table1_3[[#This Row],[Country]],Table1_3[Product],Table1_3[[#This Row],[Product]],Table1_3[Sales Person],Table1_3[[#This Row],[Sales Person]],Table1_3[Amount],"&lt;=100")&gt;=2,"Contract","Deal")</f>
        <v>Deal</v>
      </c>
    </row>
    <row r="606" spans="1:7" x14ac:dyDescent="0.3">
      <c r="A606" t="s">
        <v>71</v>
      </c>
      <c r="B606" t="s">
        <v>25</v>
      </c>
      <c r="C606" t="s">
        <v>20</v>
      </c>
      <c r="D606">
        <v>2518.5</v>
      </c>
      <c r="E606">
        <v>45</v>
      </c>
      <c r="F606" s="1">
        <v>45164</v>
      </c>
      <c r="G606" t="str">
        <f>IF(COUNTIFS(Table1_3[Country],Table1_3[[#This Row],[Country]],Table1_3[Product],Table1_3[[#This Row],[Product]],Table1_3[Sales Person],Table1_3[[#This Row],[Sales Person]],Table1_3[Amount],"&lt;=100")&gt;=2,"Contract","Deal")</f>
        <v>Deal</v>
      </c>
    </row>
    <row r="607" spans="1:7" x14ac:dyDescent="0.3">
      <c r="A607" t="s">
        <v>71</v>
      </c>
      <c r="B607" t="s">
        <v>25</v>
      </c>
      <c r="C607" t="s">
        <v>20</v>
      </c>
      <c r="D607">
        <v>2499.92</v>
      </c>
      <c r="E607">
        <v>44</v>
      </c>
      <c r="F607" s="1">
        <v>45530</v>
      </c>
      <c r="G607" t="str">
        <f>IF(COUNTIFS(Table1_3[Country],Table1_3[[#This Row],[Country]],Table1_3[Product],Table1_3[[#This Row],[Product]],Table1_3[Sales Person],Table1_3[[#This Row],[Sales Person]],Table1_3[Amount],"&lt;=100")&gt;=2,"Contract","Deal")</f>
        <v>Deal</v>
      </c>
    </row>
    <row r="608" spans="1:7" x14ac:dyDescent="0.3">
      <c r="A608" t="s">
        <v>71</v>
      </c>
      <c r="B608" t="s">
        <v>25</v>
      </c>
      <c r="C608" t="s">
        <v>90</v>
      </c>
      <c r="D608">
        <v>4137</v>
      </c>
      <c r="E608">
        <v>347</v>
      </c>
      <c r="F608" s="1">
        <v>44729</v>
      </c>
      <c r="G608" t="str">
        <f>IF(COUNTIFS(Table1_3[Country],Table1_3[[#This Row],[Country]],Table1_3[Product],Table1_3[[#This Row],[Product]],Table1_3[Sales Person],Table1_3[[#This Row],[Sales Person]],Table1_3[Amount],"&lt;=100")&gt;=2,"Contract","Deal")</f>
        <v>Deal</v>
      </c>
    </row>
    <row r="609" spans="1:7" x14ac:dyDescent="0.3">
      <c r="A609" t="s">
        <v>71</v>
      </c>
      <c r="B609" t="s">
        <v>25</v>
      </c>
      <c r="C609" t="s">
        <v>90</v>
      </c>
      <c r="D609">
        <v>4400.28</v>
      </c>
      <c r="E609">
        <v>364</v>
      </c>
      <c r="F609" s="1">
        <v>45094</v>
      </c>
      <c r="G609" t="str">
        <f>IF(COUNTIFS(Table1_3[Country],Table1_3[[#This Row],[Country]],Table1_3[Product],Table1_3[[#This Row],[Product]],Table1_3[Sales Person],Table1_3[[#This Row],[Sales Person]],Table1_3[Amount],"&lt;=100")&gt;=2,"Contract","Deal")</f>
        <v>Deal</v>
      </c>
    </row>
    <row r="610" spans="1:7" x14ac:dyDescent="0.3">
      <c r="A610" t="s">
        <v>71</v>
      </c>
      <c r="B610" t="s">
        <v>25</v>
      </c>
      <c r="C610" t="s">
        <v>90</v>
      </c>
      <c r="D610">
        <v>4920.68</v>
      </c>
      <c r="E610">
        <v>380</v>
      </c>
      <c r="F610" s="1">
        <v>45460</v>
      </c>
      <c r="G610" t="str">
        <f>IF(COUNTIFS(Table1_3[Country],Table1_3[[#This Row],[Country]],Table1_3[Product],Table1_3[[#This Row],[Product]],Table1_3[Sales Person],Table1_3[[#This Row],[Sales Person]],Table1_3[Amount],"&lt;=100")&gt;=2,"Contract","Deal")</f>
        <v>Deal</v>
      </c>
    </row>
    <row r="611" spans="1:7" x14ac:dyDescent="0.3">
      <c r="A611" t="s">
        <v>71</v>
      </c>
      <c r="B611" t="s">
        <v>25</v>
      </c>
      <c r="C611" t="s">
        <v>8</v>
      </c>
      <c r="D611">
        <v>1162</v>
      </c>
      <c r="E611">
        <v>190</v>
      </c>
      <c r="F611" s="1">
        <v>44725</v>
      </c>
      <c r="G611" t="str">
        <f>IF(COUNTIFS(Table1_3[Country],Table1_3[[#This Row],[Country]],Table1_3[Product],Table1_3[[#This Row],[Product]],Table1_3[Sales Person],Table1_3[[#This Row],[Sales Person]],Table1_3[Amount],"&lt;=100")&gt;=2,"Contract","Deal")</f>
        <v>Deal</v>
      </c>
    </row>
    <row r="612" spans="1:7" x14ac:dyDescent="0.3">
      <c r="A612" t="s">
        <v>71</v>
      </c>
      <c r="B612" t="s">
        <v>25</v>
      </c>
      <c r="C612" t="s">
        <v>8</v>
      </c>
      <c r="D612">
        <v>1178</v>
      </c>
      <c r="E612">
        <v>199</v>
      </c>
      <c r="F612" s="1">
        <v>45090</v>
      </c>
      <c r="G612" t="str">
        <f>IF(COUNTIFS(Table1_3[Country],Table1_3[[#This Row],[Country]],Table1_3[Product],Table1_3[[#This Row],[Product]],Table1_3[Sales Person],Table1_3[[#This Row],[Sales Person]],Table1_3[Amount],"&lt;=100")&gt;=2,"Contract","Deal")</f>
        <v>Deal</v>
      </c>
    </row>
    <row r="613" spans="1:7" x14ac:dyDescent="0.3">
      <c r="A613" t="s">
        <v>71</v>
      </c>
      <c r="B613" t="s">
        <v>25</v>
      </c>
      <c r="C613" t="s">
        <v>8</v>
      </c>
      <c r="D613">
        <v>1293.02</v>
      </c>
      <c r="E613">
        <v>201</v>
      </c>
      <c r="F613" s="1">
        <v>45456</v>
      </c>
      <c r="G613" t="str">
        <f>IF(COUNTIFS(Table1_3[Country],Table1_3[[#This Row],[Country]],Table1_3[Product],Table1_3[[#This Row],[Product]],Table1_3[Sales Person],Table1_3[[#This Row],[Sales Person]],Table1_3[Amount],"&lt;=100")&gt;=2,"Contract","Deal")</f>
        <v>Deal</v>
      </c>
    </row>
    <row r="614" spans="1:7" x14ac:dyDescent="0.3">
      <c r="A614" t="s">
        <v>71</v>
      </c>
      <c r="B614" t="s">
        <v>25</v>
      </c>
      <c r="C614" t="s">
        <v>13</v>
      </c>
      <c r="D614">
        <v>1582</v>
      </c>
      <c r="E614">
        <v>62</v>
      </c>
      <c r="F614" s="1">
        <v>44763</v>
      </c>
      <c r="G614" t="str">
        <f>IF(COUNTIFS(Table1_3[Country],Table1_3[[#This Row],[Country]],Table1_3[Product],Table1_3[[#This Row],[Product]],Table1_3[Sales Person],Table1_3[[#This Row],[Sales Person]],Table1_3[Amount],"&lt;=100")&gt;=2,"Contract","Deal")</f>
        <v>Deal</v>
      </c>
    </row>
    <row r="615" spans="1:7" x14ac:dyDescent="0.3">
      <c r="A615" t="s">
        <v>71</v>
      </c>
      <c r="B615" t="s">
        <v>25</v>
      </c>
      <c r="C615" t="s">
        <v>13</v>
      </c>
      <c r="D615">
        <v>1724.91</v>
      </c>
      <c r="E615">
        <v>60</v>
      </c>
      <c r="F615" s="1">
        <v>45128</v>
      </c>
      <c r="G615" t="str">
        <f>IF(COUNTIFS(Table1_3[Country],Table1_3[[#This Row],[Country]],Table1_3[Product],Table1_3[[#This Row],[Product]],Table1_3[Sales Person],Table1_3[[#This Row],[Sales Person]],Table1_3[Amount],"&lt;=100")&gt;=2,"Contract","Deal")</f>
        <v>Deal</v>
      </c>
    </row>
    <row r="616" spans="1:7" x14ac:dyDescent="0.3">
      <c r="A616" t="s">
        <v>71</v>
      </c>
      <c r="B616" t="s">
        <v>25</v>
      </c>
      <c r="C616" t="s">
        <v>13</v>
      </c>
      <c r="D616">
        <v>1754.64</v>
      </c>
      <c r="E616">
        <v>62</v>
      </c>
      <c r="F616" s="1">
        <v>45494</v>
      </c>
      <c r="G616" t="str">
        <f>IF(COUNTIFS(Table1_3[Country],Table1_3[[#This Row],[Country]],Table1_3[Product],Table1_3[[#This Row],[Product]],Table1_3[Sales Person],Table1_3[[#This Row],[Sales Person]],Table1_3[Amount],"&lt;=100")&gt;=2,"Contract","Deal")</f>
        <v>Deal</v>
      </c>
    </row>
    <row r="617" spans="1:7" x14ac:dyDescent="0.3">
      <c r="A617" t="s">
        <v>71</v>
      </c>
      <c r="B617" t="s">
        <v>25</v>
      </c>
      <c r="C617" t="s">
        <v>73</v>
      </c>
      <c r="D617">
        <v>4746</v>
      </c>
      <c r="E617">
        <v>137</v>
      </c>
      <c r="F617" s="1">
        <v>44655</v>
      </c>
      <c r="G617" t="str">
        <f>IF(COUNTIFS(Table1_3[Country],Table1_3[[#This Row],[Country]],Table1_3[Product],Table1_3[[#This Row],[Product]],Table1_3[Sales Person],Table1_3[[#This Row],[Sales Person]],Table1_3[Amount],"&lt;=100")&gt;=2,"Contract","Deal")</f>
        <v>Deal</v>
      </c>
    </row>
    <row r="618" spans="1:7" x14ac:dyDescent="0.3">
      <c r="A618" t="s">
        <v>71</v>
      </c>
      <c r="B618" t="s">
        <v>25</v>
      </c>
      <c r="C618" t="s">
        <v>73</v>
      </c>
      <c r="D618">
        <v>4823.6499999999996</v>
      </c>
      <c r="E618">
        <v>143</v>
      </c>
      <c r="F618" s="1">
        <v>45020</v>
      </c>
      <c r="G618" t="str">
        <f>IF(COUNTIFS(Table1_3[Country],Table1_3[[#This Row],[Country]],Table1_3[Product],Table1_3[[#This Row],[Product]],Table1_3[Sales Person],Table1_3[[#This Row],[Sales Person]],Table1_3[Amount],"&lt;=100")&gt;=2,"Contract","Deal")</f>
        <v>Deal</v>
      </c>
    </row>
    <row r="619" spans="1:7" x14ac:dyDescent="0.3">
      <c r="A619" t="s">
        <v>71</v>
      </c>
      <c r="B619" t="s">
        <v>25</v>
      </c>
      <c r="C619" t="s">
        <v>73</v>
      </c>
      <c r="D619">
        <v>5081.5200000000004</v>
      </c>
      <c r="E619">
        <v>148</v>
      </c>
      <c r="F619" s="1">
        <v>45386</v>
      </c>
      <c r="G619" t="str">
        <f>IF(COUNTIFS(Table1_3[Country],Table1_3[[#This Row],[Country]],Table1_3[Product],Table1_3[[#This Row],[Product]],Table1_3[Sales Person],Table1_3[[#This Row],[Sales Person]],Table1_3[Amount],"&lt;=100")&gt;=2,"Contract","Deal")</f>
        <v>Deal</v>
      </c>
    </row>
    <row r="620" spans="1:7" x14ac:dyDescent="0.3">
      <c r="A620" t="s">
        <v>71</v>
      </c>
      <c r="B620" t="s">
        <v>25</v>
      </c>
      <c r="C620" t="s">
        <v>50</v>
      </c>
      <c r="D620">
        <v>11564</v>
      </c>
      <c r="E620">
        <v>24</v>
      </c>
      <c r="F620" s="1">
        <v>44586</v>
      </c>
      <c r="G620" t="str">
        <f>IF(COUNTIFS(Table1_3[Country],Table1_3[[#This Row],[Country]],Table1_3[Product],Table1_3[[#This Row],[Product]],Table1_3[Sales Person],Table1_3[[#This Row],[Sales Person]],Table1_3[Amount],"&lt;=100")&gt;=2,"Contract","Deal")</f>
        <v>Deal</v>
      </c>
    </row>
    <row r="621" spans="1:7" x14ac:dyDescent="0.3">
      <c r="A621" t="s">
        <v>71</v>
      </c>
      <c r="B621" t="s">
        <v>25</v>
      </c>
      <c r="C621" t="s">
        <v>50</v>
      </c>
      <c r="D621">
        <v>12557.56</v>
      </c>
      <c r="E621">
        <v>26</v>
      </c>
      <c r="F621" s="1">
        <v>44951</v>
      </c>
      <c r="G621" t="str">
        <f>IF(COUNTIFS(Table1_3[Country],Table1_3[[#This Row],[Country]],Table1_3[Product],Table1_3[[#This Row],[Product]],Table1_3[Sales Person],Table1_3[[#This Row],[Sales Person]],Table1_3[Amount],"&lt;=100")&gt;=2,"Contract","Deal")</f>
        <v>Deal</v>
      </c>
    </row>
    <row r="622" spans="1:7" x14ac:dyDescent="0.3">
      <c r="A622" t="s">
        <v>71</v>
      </c>
      <c r="B622" t="s">
        <v>25</v>
      </c>
      <c r="C622" t="s">
        <v>50</v>
      </c>
      <c r="D622">
        <v>12744.67</v>
      </c>
      <c r="E622">
        <v>26</v>
      </c>
      <c r="F622" s="1">
        <v>45316</v>
      </c>
      <c r="G622" t="str">
        <f>IF(COUNTIFS(Table1_3[Country],Table1_3[[#This Row],[Country]],Table1_3[Product],Table1_3[[#This Row],[Product]],Table1_3[Sales Person],Table1_3[[#This Row],[Sales Person]],Table1_3[Amount],"&lt;=100")&gt;=2,"Contract","Deal")</f>
        <v>Deal</v>
      </c>
    </row>
    <row r="623" spans="1:7" x14ac:dyDescent="0.3">
      <c r="A623" t="s">
        <v>71</v>
      </c>
      <c r="B623" t="s">
        <v>7</v>
      </c>
      <c r="C623" t="s">
        <v>8</v>
      </c>
      <c r="D623">
        <v>4977</v>
      </c>
      <c r="E623">
        <v>317</v>
      </c>
      <c r="F623" s="1">
        <v>44707</v>
      </c>
      <c r="G623" t="str">
        <f>IF(COUNTIFS(Table1_3[Country],Table1_3[[#This Row],[Country]],Table1_3[Product],Table1_3[[#This Row],[Product]],Table1_3[Sales Person],Table1_3[[#This Row],[Sales Person]],Table1_3[Amount],"&lt;=100")&gt;=2,"Contract","Deal")</f>
        <v>Deal</v>
      </c>
    </row>
    <row r="624" spans="1:7" x14ac:dyDescent="0.3">
      <c r="A624" t="s">
        <v>71</v>
      </c>
      <c r="B624" t="s">
        <v>7</v>
      </c>
      <c r="C624" t="s">
        <v>8</v>
      </c>
      <c r="D624">
        <v>5509.77</v>
      </c>
      <c r="E624">
        <v>307</v>
      </c>
      <c r="F624" s="1">
        <v>45072</v>
      </c>
      <c r="G624" t="str">
        <f>IF(COUNTIFS(Table1_3[Country],Table1_3[[#This Row],[Country]],Table1_3[Product],Table1_3[[#This Row],[Product]],Table1_3[Sales Person],Table1_3[[#This Row],[Sales Person]],Table1_3[Amount],"&lt;=100")&gt;=2,"Contract","Deal")</f>
        <v>Deal</v>
      </c>
    </row>
    <row r="625" spans="1:7" x14ac:dyDescent="0.3">
      <c r="A625" t="s">
        <v>71</v>
      </c>
      <c r="B625" t="s">
        <v>7</v>
      </c>
      <c r="C625" t="s">
        <v>8</v>
      </c>
      <c r="D625">
        <v>5414.75</v>
      </c>
      <c r="E625">
        <v>325</v>
      </c>
      <c r="F625" s="1">
        <v>45438</v>
      </c>
      <c r="G625" t="str">
        <f>IF(COUNTIFS(Table1_3[Country],Table1_3[[#This Row],[Country]],Table1_3[Product],Table1_3[[#This Row],[Product]],Table1_3[Sales Person],Table1_3[[#This Row],[Sales Person]],Table1_3[Amount],"&lt;=100")&gt;=2,"Contract","Deal")</f>
        <v>Deal</v>
      </c>
    </row>
    <row r="626" spans="1:7" x14ac:dyDescent="0.3">
      <c r="A626" t="s">
        <v>71</v>
      </c>
      <c r="B626" t="s">
        <v>7</v>
      </c>
      <c r="C626" t="s">
        <v>13</v>
      </c>
      <c r="D626">
        <v>4872</v>
      </c>
      <c r="E626">
        <v>126</v>
      </c>
      <c r="F626" s="1">
        <v>44761</v>
      </c>
      <c r="G626" t="str">
        <f>IF(COUNTIFS(Table1_3[Country],Table1_3[[#This Row],[Country]],Table1_3[Product],Table1_3[[#This Row],[Product]],Table1_3[Sales Person],Table1_3[[#This Row],[Sales Person]],Table1_3[Amount],"&lt;=100")&gt;=2,"Contract","Deal")</f>
        <v>Deal</v>
      </c>
    </row>
    <row r="627" spans="1:7" x14ac:dyDescent="0.3">
      <c r="A627" t="s">
        <v>71</v>
      </c>
      <c r="B627" t="s">
        <v>7</v>
      </c>
      <c r="C627" t="s">
        <v>13</v>
      </c>
      <c r="D627">
        <v>5231.88</v>
      </c>
      <c r="E627">
        <v>125</v>
      </c>
      <c r="F627" s="1">
        <v>45126</v>
      </c>
      <c r="G627" t="str">
        <f>IF(COUNTIFS(Table1_3[Country],Table1_3[[#This Row],[Country]],Table1_3[Product],Table1_3[[#This Row],[Product]],Table1_3[Sales Person],Table1_3[[#This Row],[Sales Person]],Table1_3[Amount],"&lt;=100")&gt;=2,"Contract","Deal")</f>
        <v>Deal</v>
      </c>
    </row>
    <row r="628" spans="1:7" x14ac:dyDescent="0.3">
      <c r="A628" t="s">
        <v>71</v>
      </c>
      <c r="B628" t="s">
        <v>7</v>
      </c>
      <c r="C628" t="s">
        <v>13</v>
      </c>
      <c r="D628">
        <v>5267.69</v>
      </c>
      <c r="E628">
        <v>120</v>
      </c>
      <c r="F628" s="1">
        <v>45492</v>
      </c>
      <c r="G628" t="str">
        <f>IF(COUNTIFS(Table1_3[Country],Table1_3[[#This Row],[Country]],Table1_3[Product],Table1_3[[#This Row],[Product]],Table1_3[Sales Person],Table1_3[[#This Row],[Sales Person]],Table1_3[Amount],"&lt;=100")&gt;=2,"Contract","Deal")</f>
        <v>Deal</v>
      </c>
    </row>
    <row r="629" spans="1:7" x14ac:dyDescent="0.3">
      <c r="A629" t="s">
        <v>71</v>
      </c>
      <c r="B629" t="s">
        <v>7</v>
      </c>
      <c r="C629" t="s">
        <v>59</v>
      </c>
      <c r="D629">
        <v>9982</v>
      </c>
      <c r="E629">
        <v>187</v>
      </c>
      <c r="F629" s="1">
        <v>44564</v>
      </c>
      <c r="G629" t="str">
        <f>IF(COUNTIFS(Table1_3[Country],Table1_3[[#This Row],[Country]],Table1_3[Product],Table1_3[[#This Row],[Product]],Table1_3[Sales Person],Table1_3[[#This Row],[Sales Person]],Table1_3[Amount],"&lt;=100")&gt;=2,"Contract","Deal")</f>
        <v>Deal</v>
      </c>
    </row>
    <row r="630" spans="1:7" x14ac:dyDescent="0.3">
      <c r="A630" t="s">
        <v>71</v>
      </c>
      <c r="B630" t="s">
        <v>7</v>
      </c>
      <c r="C630" t="s">
        <v>59</v>
      </c>
      <c r="D630">
        <v>9957.66</v>
      </c>
      <c r="E630">
        <v>194</v>
      </c>
      <c r="F630" s="1">
        <v>44929</v>
      </c>
      <c r="G630" t="str">
        <f>IF(COUNTIFS(Table1_3[Country],Table1_3[[#This Row],[Country]],Table1_3[Product],Table1_3[[#This Row],[Product]],Table1_3[Sales Person],Table1_3[[#This Row],[Sales Person]],Table1_3[Amount],"&lt;=100")&gt;=2,"Contract","Deal")</f>
        <v>Deal</v>
      </c>
    </row>
    <row r="631" spans="1:7" x14ac:dyDescent="0.3">
      <c r="A631" t="s">
        <v>71</v>
      </c>
      <c r="B631" t="s">
        <v>7</v>
      </c>
      <c r="C631" t="s">
        <v>59</v>
      </c>
      <c r="D631">
        <v>11946.4</v>
      </c>
      <c r="E631">
        <v>192</v>
      </c>
      <c r="F631" s="1">
        <v>45294</v>
      </c>
      <c r="G631" t="str">
        <f>IF(COUNTIFS(Table1_3[Country],Table1_3[[#This Row],[Country]],Table1_3[Product],Table1_3[[#This Row],[Product]],Table1_3[Sales Person],Table1_3[[#This Row],[Sales Person]],Table1_3[Amount],"&lt;=100")&gt;=2,"Contract","Deal")</f>
        <v>Deal</v>
      </c>
    </row>
    <row r="632" spans="1:7" x14ac:dyDescent="0.3">
      <c r="A632" t="s">
        <v>71</v>
      </c>
      <c r="B632" t="s">
        <v>32</v>
      </c>
      <c r="C632" t="s">
        <v>26</v>
      </c>
      <c r="D632">
        <v>5908</v>
      </c>
      <c r="E632">
        <v>301</v>
      </c>
      <c r="F632" s="1">
        <v>44735</v>
      </c>
      <c r="G632" t="str">
        <f>IF(COUNTIFS(Table1_3[Country],Table1_3[[#This Row],[Country]],Table1_3[Product],Table1_3[[#This Row],[Product]],Table1_3[Sales Person],Table1_3[[#This Row],[Sales Person]],Table1_3[Amount],"&lt;=100")&gt;=2,"Contract","Deal")</f>
        <v>Deal</v>
      </c>
    </row>
    <row r="633" spans="1:7" x14ac:dyDescent="0.3">
      <c r="A633" t="s">
        <v>71</v>
      </c>
      <c r="B633" t="s">
        <v>32</v>
      </c>
      <c r="C633" t="s">
        <v>26</v>
      </c>
      <c r="D633">
        <v>6215.72</v>
      </c>
      <c r="E633">
        <v>324</v>
      </c>
      <c r="F633" s="1">
        <v>45100</v>
      </c>
      <c r="G633" t="str">
        <f>IF(COUNTIFS(Table1_3[Country],Table1_3[[#This Row],[Country]],Table1_3[Product],Table1_3[[#This Row],[Product]],Table1_3[Sales Person],Table1_3[[#This Row],[Sales Person]],Table1_3[Amount],"&lt;=100")&gt;=2,"Contract","Deal")</f>
        <v>Deal</v>
      </c>
    </row>
    <row r="634" spans="1:7" x14ac:dyDescent="0.3">
      <c r="A634" t="s">
        <v>71</v>
      </c>
      <c r="B634" t="s">
        <v>32</v>
      </c>
      <c r="C634" t="s">
        <v>26</v>
      </c>
      <c r="D634">
        <v>6962.79</v>
      </c>
      <c r="E634">
        <v>303</v>
      </c>
      <c r="F634" s="1">
        <v>45466</v>
      </c>
      <c r="G634" t="str">
        <f>IF(COUNTIFS(Table1_3[Country],Table1_3[[#This Row],[Country]],Table1_3[Product],Table1_3[[#This Row],[Product]],Table1_3[Sales Person],Table1_3[[#This Row],[Sales Person]],Table1_3[Amount],"&lt;=100")&gt;=2,"Contract","Deal")</f>
        <v>Deal</v>
      </c>
    </row>
    <row r="635" spans="1:7" x14ac:dyDescent="0.3">
      <c r="A635" t="s">
        <v>71</v>
      </c>
      <c r="B635" t="s">
        <v>32</v>
      </c>
      <c r="C635" t="s">
        <v>11</v>
      </c>
      <c r="D635">
        <v>2401</v>
      </c>
      <c r="E635">
        <v>78</v>
      </c>
      <c r="F635" s="1">
        <v>44676</v>
      </c>
      <c r="G635" t="str">
        <f>IF(COUNTIFS(Table1_3[Country],Table1_3[[#This Row],[Country]],Table1_3[Product],Table1_3[[#This Row],[Product]],Table1_3[Sales Person],Table1_3[[#This Row],[Sales Person]],Table1_3[Amount],"&lt;=100")&gt;=2,"Contract","Deal")</f>
        <v>Deal</v>
      </c>
    </row>
    <row r="636" spans="1:7" x14ac:dyDescent="0.3">
      <c r="A636" t="s">
        <v>71</v>
      </c>
      <c r="B636" t="s">
        <v>32</v>
      </c>
      <c r="C636" t="s">
        <v>11</v>
      </c>
      <c r="D636">
        <v>2639.16</v>
      </c>
      <c r="E636">
        <v>80</v>
      </c>
      <c r="F636" s="1">
        <v>45041</v>
      </c>
      <c r="G636" t="str">
        <f>IF(COUNTIFS(Table1_3[Country],Table1_3[[#This Row],[Country]],Table1_3[Product],Table1_3[[#This Row],[Product]],Table1_3[Sales Person],Table1_3[[#This Row],[Sales Person]],Table1_3[Amount],"&lt;=100")&gt;=2,"Contract","Deal")</f>
        <v>Deal</v>
      </c>
    </row>
    <row r="637" spans="1:7" x14ac:dyDescent="0.3">
      <c r="A637" t="s">
        <v>71</v>
      </c>
      <c r="B637" t="s">
        <v>32</v>
      </c>
      <c r="C637" t="s">
        <v>11</v>
      </c>
      <c r="D637">
        <v>2644.65</v>
      </c>
      <c r="E637">
        <v>83</v>
      </c>
      <c r="F637" s="1">
        <v>45407</v>
      </c>
      <c r="G637" t="str">
        <f>IF(COUNTIFS(Table1_3[Country],Table1_3[[#This Row],[Country]],Table1_3[Product],Table1_3[[#This Row],[Product]],Table1_3[Sales Person],Table1_3[[#This Row],[Sales Person]],Table1_3[Amount],"&lt;=100")&gt;=2,"Contract","Deal")</f>
        <v>Deal</v>
      </c>
    </row>
    <row r="638" spans="1:7" x14ac:dyDescent="0.3">
      <c r="A638" t="s">
        <v>71</v>
      </c>
      <c r="B638" t="s">
        <v>32</v>
      </c>
      <c r="C638" t="s">
        <v>36</v>
      </c>
      <c r="D638">
        <v>4515</v>
      </c>
      <c r="E638">
        <v>392</v>
      </c>
      <c r="F638" s="1">
        <v>44722</v>
      </c>
      <c r="G638" t="str">
        <f>IF(COUNTIFS(Table1_3[Country],Table1_3[[#This Row],[Country]],Table1_3[Product],Table1_3[[#This Row],[Product]],Table1_3[Sales Person],Table1_3[[#This Row],[Sales Person]],Table1_3[Amount],"&lt;=100")&gt;=2,"Contract","Deal")</f>
        <v>Deal</v>
      </c>
    </row>
    <row r="639" spans="1:7" x14ac:dyDescent="0.3">
      <c r="A639" t="s">
        <v>71</v>
      </c>
      <c r="B639" t="s">
        <v>32</v>
      </c>
      <c r="C639" t="s">
        <v>36</v>
      </c>
      <c r="D639">
        <v>5031.3999999999996</v>
      </c>
      <c r="E639">
        <v>401</v>
      </c>
      <c r="F639" s="1">
        <v>45087</v>
      </c>
      <c r="G639" t="str">
        <f>IF(COUNTIFS(Table1_3[Country],Table1_3[[#This Row],[Country]],Table1_3[Product],Table1_3[[#This Row],[Product]],Table1_3[Sales Person],Table1_3[[#This Row],[Sales Person]],Table1_3[Amount],"&lt;=100")&gt;=2,"Contract","Deal")</f>
        <v>Deal</v>
      </c>
    </row>
    <row r="640" spans="1:7" x14ac:dyDescent="0.3">
      <c r="A640" t="s">
        <v>71</v>
      </c>
      <c r="B640" t="s">
        <v>32</v>
      </c>
      <c r="C640" t="s">
        <v>36</v>
      </c>
      <c r="D640">
        <v>4879.55</v>
      </c>
      <c r="E640">
        <v>427</v>
      </c>
      <c r="F640" s="1">
        <v>45453</v>
      </c>
      <c r="G640" t="str">
        <f>IF(COUNTIFS(Table1_3[Country],Table1_3[[#This Row],[Country]],Table1_3[Product],Table1_3[[#This Row],[Product]],Table1_3[Sales Person],Table1_3[[#This Row],[Sales Person]],Table1_3[Amount],"&lt;=100")&gt;=2,"Contract","Deal")</f>
        <v>Deal</v>
      </c>
    </row>
    <row r="641" spans="1:7" x14ac:dyDescent="0.3">
      <c r="A641" t="s">
        <v>71</v>
      </c>
      <c r="B641" t="s">
        <v>32</v>
      </c>
      <c r="C641" t="s">
        <v>60</v>
      </c>
      <c r="D641">
        <v>16401</v>
      </c>
      <c r="E641">
        <v>179</v>
      </c>
      <c r="F641" s="1">
        <v>44641</v>
      </c>
      <c r="G641" t="str">
        <f>IF(COUNTIFS(Table1_3[Country],Table1_3[[#This Row],[Country]],Table1_3[Product],Table1_3[[#This Row],[Product]],Table1_3[Sales Person],Table1_3[[#This Row],[Sales Person]],Table1_3[Amount],"&lt;=100")&gt;=2,"Contract","Deal")</f>
        <v>Deal</v>
      </c>
    </row>
    <row r="642" spans="1:7" x14ac:dyDescent="0.3">
      <c r="A642" t="s">
        <v>71</v>
      </c>
      <c r="B642" t="s">
        <v>32</v>
      </c>
      <c r="C642" t="s">
        <v>60</v>
      </c>
      <c r="D642">
        <v>16792.23</v>
      </c>
      <c r="E642">
        <v>184</v>
      </c>
      <c r="F642" s="1">
        <v>45006</v>
      </c>
      <c r="G642" t="str">
        <f>IF(COUNTIFS(Table1_3[Country],Table1_3[[#This Row],[Country]],Table1_3[Product],Table1_3[[#This Row],[Product]],Table1_3[Sales Person],Table1_3[[#This Row],[Sales Person]],Table1_3[Amount],"&lt;=100")&gt;=2,"Contract","Deal")</f>
        <v>Deal</v>
      </c>
    </row>
    <row r="643" spans="1:7" x14ac:dyDescent="0.3">
      <c r="A643" t="s">
        <v>71</v>
      </c>
      <c r="B643" t="s">
        <v>32</v>
      </c>
      <c r="C643" t="s">
        <v>60</v>
      </c>
      <c r="D643">
        <v>18936.88</v>
      </c>
      <c r="E643">
        <v>180</v>
      </c>
      <c r="F643" s="1">
        <v>45372</v>
      </c>
      <c r="G643" t="str">
        <f>IF(COUNTIFS(Table1_3[Country],Table1_3[[#This Row],[Country]],Table1_3[Product],Table1_3[[#This Row],[Product]],Table1_3[Sales Person],Table1_3[[#This Row],[Sales Person]],Table1_3[Amount],"&lt;=100")&gt;=2,"Contract","Deal")</f>
        <v>Deal</v>
      </c>
    </row>
    <row r="644" spans="1:7" x14ac:dyDescent="0.3">
      <c r="A644" t="s">
        <v>71</v>
      </c>
      <c r="B644" t="s">
        <v>32</v>
      </c>
      <c r="C644" t="s">
        <v>73</v>
      </c>
      <c r="D644">
        <v>3339</v>
      </c>
      <c r="E644">
        <v>18</v>
      </c>
      <c r="F644" s="1">
        <v>44701</v>
      </c>
      <c r="G644" t="str">
        <f>IF(COUNTIFS(Table1_3[Country],Table1_3[[#This Row],[Country]],Table1_3[Product],Table1_3[[#This Row],[Product]],Table1_3[Sales Person],Table1_3[[#This Row],[Sales Person]],Table1_3[Amount],"&lt;=100")&gt;=2,"Contract","Deal")</f>
        <v>Deal</v>
      </c>
    </row>
    <row r="645" spans="1:7" x14ac:dyDescent="0.3">
      <c r="A645" t="s">
        <v>71</v>
      </c>
      <c r="B645" t="s">
        <v>32</v>
      </c>
      <c r="C645" t="s">
        <v>73</v>
      </c>
      <c r="D645">
        <v>3496.41</v>
      </c>
      <c r="E645">
        <v>18</v>
      </c>
      <c r="F645" s="1">
        <v>45066</v>
      </c>
      <c r="G645" t="str">
        <f>IF(COUNTIFS(Table1_3[Country],Table1_3[[#This Row],[Country]],Table1_3[Product],Table1_3[[#This Row],[Product]],Table1_3[Sales Person],Table1_3[[#This Row],[Sales Person]],Table1_3[Amount],"&lt;=100")&gt;=2,"Contract","Deal")</f>
        <v>Deal</v>
      </c>
    </row>
    <row r="646" spans="1:7" x14ac:dyDescent="0.3">
      <c r="A646" t="s">
        <v>71</v>
      </c>
      <c r="B646" t="s">
        <v>32</v>
      </c>
      <c r="C646" t="s">
        <v>73</v>
      </c>
      <c r="D646">
        <v>3516.72</v>
      </c>
      <c r="E646">
        <v>17</v>
      </c>
      <c r="F646" s="1">
        <v>45432</v>
      </c>
      <c r="G646" t="str">
        <f>IF(COUNTIFS(Table1_3[Country],Table1_3[[#This Row],[Country]],Table1_3[Product],Table1_3[[#This Row],[Product]],Table1_3[Sales Person],Table1_3[[#This Row],[Sales Person]],Table1_3[Amount],"&lt;=100")&gt;=2,"Contract","Deal")</f>
        <v>Deal</v>
      </c>
    </row>
    <row r="647" spans="1:7" x14ac:dyDescent="0.3">
      <c r="A647" t="s">
        <v>71</v>
      </c>
      <c r="B647" t="s">
        <v>32</v>
      </c>
      <c r="C647" t="s">
        <v>50</v>
      </c>
      <c r="D647">
        <v>1274</v>
      </c>
      <c r="E647">
        <v>244</v>
      </c>
      <c r="F647" s="1">
        <v>44603</v>
      </c>
      <c r="G647" t="str">
        <f>IF(COUNTIFS(Table1_3[Country],Table1_3[[#This Row],[Country]],Table1_3[Product],Table1_3[[#This Row],[Product]],Table1_3[Sales Person],Table1_3[[#This Row],[Sales Person]],Table1_3[Amount],"&lt;=100")&gt;=2,"Contract","Deal")</f>
        <v>Deal</v>
      </c>
    </row>
    <row r="648" spans="1:7" x14ac:dyDescent="0.3">
      <c r="A648" t="s">
        <v>71</v>
      </c>
      <c r="B648" t="s">
        <v>32</v>
      </c>
      <c r="C648" t="s">
        <v>50</v>
      </c>
      <c r="D648">
        <v>1311.25</v>
      </c>
      <c r="E648">
        <v>251</v>
      </c>
      <c r="F648" s="1">
        <v>44968</v>
      </c>
      <c r="G648" t="str">
        <f>IF(COUNTIFS(Table1_3[Country],Table1_3[[#This Row],[Country]],Table1_3[Product],Table1_3[[#This Row],[Product]],Table1_3[Sales Person],Table1_3[[#This Row],[Sales Person]],Table1_3[Amount],"&lt;=100")&gt;=2,"Contract","Deal")</f>
        <v>Deal</v>
      </c>
    </row>
    <row r="649" spans="1:7" x14ac:dyDescent="0.3">
      <c r="A649" t="s">
        <v>71</v>
      </c>
      <c r="B649" t="s">
        <v>32</v>
      </c>
      <c r="C649" t="s">
        <v>50</v>
      </c>
      <c r="D649">
        <v>1413.64</v>
      </c>
      <c r="E649">
        <v>261</v>
      </c>
      <c r="F649" s="1">
        <v>45333</v>
      </c>
      <c r="G649" t="str">
        <f>IF(COUNTIFS(Table1_3[Country],Table1_3[[#This Row],[Country]],Table1_3[Product],Table1_3[[#This Row],[Product]],Table1_3[Sales Person],Table1_3[[#This Row],[Sales Person]],Table1_3[Amount],"&lt;=100")&gt;=2,"Contract","Deal")</f>
        <v>Deal</v>
      </c>
    </row>
    <row r="650" spans="1:7" x14ac:dyDescent="0.3">
      <c r="A650" t="s">
        <v>71</v>
      </c>
      <c r="B650" t="s">
        <v>32</v>
      </c>
      <c r="C650" t="s">
        <v>59</v>
      </c>
      <c r="D650">
        <v>9681</v>
      </c>
      <c r="E650">
        <v>24</v>
      </c>
      <c r="F650" s="1">
        <v>44791</v>
      </c>
      <c r="G650" t="str">
        <f>IF(COUNTIFS(Table1_3[Country],Table1_3[[#This Row],[Country]],Table1_3[Product],Table1_3[[#This Row],[Product]],Table1_3[Sales Person],Table1_3[[#This Row],[Sales Person]],Table1_3[Amount],"&lt;=100")&gt;=2,"Contract","Deal")</f>
        <v>Deal</v>
      </c>
    </row>
    <row r="651" spans="1:7" x14ac:dyDescent="0.3">
      <c r="A651" t="s">
        <v>71</v>
      </c>
      <c r="B651" t="s">
        <v>32</v>
      </c>
      <c r="C651" t="s">
        <v>59</v>
      </c>
      <c r="D651">
        <v>10898.19</v>
      </c>
      <c r="E651">
        <v>24</v>
      </c>
      <c r="F651" s="1">
        <v>45156</v>
      </c>
      <c r="G651" t="str">
        <f>IF(COUNTIFS(Table1_3[Country],Table1_3[[#This Row],[Country]],Table1_3[Product],Table1_3[[#This Row],[Product]],Table1_3[Sales Person],Table1_3[[#This Row],[Sales Person]],Table1_3[Amount],"&lt;=100")&gt;=2,"Contract","Deal")</f>
        <v>Deal</v>
      </c>
    </row>
    <row r="652" spans="1:7" x14ac:dyDescent="0.3">
      <c r="A652" t="s">
        <v>71</v>
      </c>
      <c r="B652" t="s">
        <v>32</v>
      </c>
      <c r="C652" t="s">
        <v>59</v>
      </c>
      <c r="D652">
        <v>10958.51</v>
      </c>
      <c r="E652">
        <v>23</v>
      </c>
      <c r="F652" s="1">
        <v>45522</v>
      </c>
      <c r="G652" t="str">
        <f>IF(COUNTIFS(Table1_3[Country],Table1_3[[#This Row],[Country]],Table1_3[Product],Table1_3[[#This Row],[Product]],Table1_3[Sales Person],Table1_3[[#This Row],[Sales Person]],Table1_3[Amount],"&lt;=100")&gt;=2,"Contract","Deal")</f>
        <v>Deal</v>
      </c>
    </row>
    <row r="653" spans="1:7" x14ac:dyDescent="0.3">
      <c r="A653" t="s">
        <v>83</v>
      </c>
      <c r="B653" t="s">
        <v>15</v>
      </c>
      <c r="C653" t="s">
        <v>100</v>
      </c>
      <c r="D653">
        <v>3136</v>
      </c>
      <c r="E653">
        <v>125</v>
      </c>
      <c r="F653" s="1">
        <v>44573</v>
      </c>
      <c r="G653" t="str">
        <f>IF(COUNTIFS(Table1_3[Country],Table1_3[[#This Row],[Country]],Table1_3[Product],Table1_3[[#This Row],[Product]],Table1_3[Sales Person],Table1_3[[#This Row],[Sales Person]],Table1_3[Amount],"&lt;=100")&gt;=2,"Contract","Deal")</f>
        <v>Deal</v>
      </c>
    </row>
    <row r="654" spans="1:7" x14ac:dyDescent="0.3">
      <c r="A654" t="s">
        <v>83</v>
      </c>
      <c r="B654" t="s">
        <v>15</v>
      </c>
      <c r="C654" t="s">
        <v>100</v>
      </c>
      <c r="D654">
        <v>3252.7</v>
      </c>
      <c r="E654">
        <v>119</v>
      </c>
      <c r="F654" s="1">
        <v>44938</v>
      </c>
      <c r="G654" t="str">
        <f>IF(COUNTIFS(Table1_3[Country],Table1_3[[#This Row],[Country]],Table1_3[Product],Table1_3[[#This Row],[Product]],Table1_3[Sales Person],Table1_3[[#This Row],[Sales Person]],Table1_3[Amount],"&lt;=100")&gt;=2,"Contract","Deal")</f>
        <v>Deal</v>
      </c>
    </row>
    <row r="655" spans="1:7" x14ac:dyDescent="0.3">
      <c r="A655" t="s">
        <v>83</v>
      </c>
      <c r="B655" t="s">
        <v>15</v>
      </c>
      <c r="C655" t="s">
        <v>100</v>
      </c>
      <c r="D655">
        <v>3609.76</v>
      </c>
      <c r="E655">
        <v>122</v>
      </c>
      <c r="F655" s="1">
        <v>45303</v>
      </c>
      <c r="G655" t="str">
        <f>IF(COUNTIFS(Table1_3[Country],Table1_3[[#This Row],[Country]],Table1_3[Product],Table1_3[[#This Row],[Product]],Table1_3[Sales Person],Table1_3[[#This Row],[Sales Person]],Table1_3[Amount],"&lt;=100")&gt;=2,"Contract","Deal")</f>
        <v>Deal</v>
      </c>
    </row>
    <row r="656" spans="1:7" x14ac:dyDescent="0.3">
      <c r="A656" t="s">
        <v>83</v>
      </c>
      <c r="B656" t="s">
        <v>15</v>
      </c>
      <c r="C656" t="s">
        <v>90</v>
      </c>
      <c r="D656">
        <v>8757</v>
      </c>
      <c r="E656">
        <v>162</v>
      </c>
      <c r="F656" s="1">
        <v>44578</v>
      </c>
      <c r="G656" t="str">
        <f>IF(COUNTIFS(Table1_3[Country],Table1_3[[#This Row],[Country]],Table1_3[Product],Table1_3[[#This Row],[Product]],Table1_3[Sales Person],Table1_3[[#This Row],[Sales Person]],Table1_3[Amount],"&lt;=100")&gt;=2,"Contract","Deal")</f>
        <v>Deal</v>
      </c>
    </row>
    <row r="657" spans="1:7" x14ac:dyDescent="0.3">
      <c r="A657" t="s">
        <v>83</v>
      </c>
      <c r="B657" t="s">
        <v>15</v>
      </c>
      <c r="C657" t="s">
        <v>90</v>
      </c>
      <c r="D657">
        <v>10033.52</v>
      </c>
      <c r="E657">
        <v>163</v>
      </c>
      <c r="F657" s="1">
        <v>44943</v>
      </c>
      <c r="G657" t="str">
        <f>IF(COUNTIFS(Table1_3[Country],Table1_3[[#This Row],[Country]],Table1_3[Product],Table1_3[[#This Row],[Product]],Table1_3[Sales Person],Table1_3[[#This Row],[Sales Person]],Table1_3[Amount],"&lt;=100")&gt;=2,"Contract","Deal")</f>
        <v>Deal</v>
      </c>
    </row>
    <row r="658" spans="1:7" x14ac:dyDescent="0.3">
      <c r="A658" t="s">
        <v>83</v>
      </c>
      <c r="B658" t="s">
        <v>15</v>
      </c>
      <c r="C658" t="s">
        <v>90</v>
      </c>
      <c r="D658">
        <v>9477.32</v>
      </c>
      <c r="E658">
        <v>160</v>
      </c>
      <c r="F658" s="1">
        <v>45308</v>
      </c>
      <c r="G658" t="str">
        <f>IF(COUNTIFS(Table1_3[Country],Table1_3[[#This Row],[Country]],Table1_3[Product],Table1_3[[#This Row],[Product]],Table1_3[Sales Person],Table1_3[[#This Row],[Sales Person]],Table1_3[Amount],"&lt;=100")&gt;=2,"Contract","Deal")</f>
        <v>Deal</v>
      </c>
    </row>
    <row r="659" spans="1:7" x14ac:dyDescent="0.3">
      <c r="A659" t="s">
        <v>83</v>
      </c>
      <c r="B659" t="s">
        <v>15</v>
      </c>
      <c r="C659" t="s">
        <v>75</v>
      </c>
      <c r="D659">
        <v>1470</v>
      </c>
      <c r="E659">
        <v>167</v>
      </c>
      <c r="F659" s="1">
        <v>44659</v>
      </c>
      <c r="G659" t="str">
        <f>IF(COUNTIFS(Table1_3[Country],Table1_3[[#This Row],[Country]],Table1_3[Product],Table1_3[[#This Row],[Product]],Table1_3[Sales Person],Table1_3[[#This Row],[Sales Person]],Table1_3[Amount],"&lt;=100")&gt;=2,"Contract","Deal")</f>
        <v>Deal</v>
      </c>
    </row>
    <row r="660" spans="1:7" x14ac:dyDescent="0.3">
      <c r="A660" t="s">
        <v>83</v>
      </c>
      <c r="B660" t="s">
        <v>15</v>
      </c>
      <c r="C660" t="s">
        <v>75</v>
      </c>
      <c r="D660">
        <v>1590.98</v>
      </c>
      <c r="E660">
        <v>182</v>
      </c>
      <c r="F660" s="1">
        <v>45024</v>
      </c>
      <c r="G660" t="str">
        <f>IF(COUNTIFS(Table1_3[Country],Table1_3[[#This Row],[Country]],Table1_3[Product],Table1_3[[#This Row],[Product]],Table1_3[Sales Person],Table1_3[[#This Row],[Sales Person]],Table1_3[Amount],"&lt;=100")&gt;=2,"Contract","Deal")</f>
        <v>Deal</v>
      </c>
    </row>
    <row r="661" spans="1:7" x14ac:dyDescent="0.3">
      <c r="A661" t="s">
        <v>83</v>
      </c>
      <c r="B661" t="s">
        <v>15</v>
      </c>
      <c r="C661" t="s">
        <v>75</v>
      </c>
      <c r="D661">
        <v>1572.79</v>
      </c>
      <c r="E661">
        <v>176</v>
      </c>
      <c r="F661" s="1">
        <v>45390</v>
      </c>
      <c r="G661" t="str">
        <f>IF(COUNTIFS(Table1_3[Country],Table1_3[[#This Row],[Country]],Table1_3[Product],Table1_3[[#This Row],[Product]],Table1_3[Sales Person],Table1_3[[#This Row],[Sales Person]],Table1_3[Amount],"&lt;=100")&gt;=2,"Contract","Deal")</f>
        <v>Deal</v>
      </c>
    </row>
    <row r="662" spans="1:7" x14ac:dyDescent="0.3">
      <c r="A662" t="s">
        <v>83</v>
      </c>
      <c r="B662" t="s">
        <v>15</v>
      </c>
      <c r="C662" t="s">
        <v>36</v>
      </c>
      <c r="D662">
        <v>4116</v>
      </c>
      <c r="E662">
        <v>128</v>
      </c>
      <c r="F662" s="1">
        <v>44747</v>
      </c>
      <c r="G662" t="str">
        <f>IF(COUNTIFS(Table1_3[Country],Table1_3[[#This Row],[Country]],Table1_3[Product],Table1_3[[#This Row],[Product]],Table1_3[Sales Person],Table1_3[[#This Row],[Sales Person]],Table1_3[Amount],"&lt;=100")&gt;=2,"Contract","Deal")</f>
        <v>Deal</v>
      </c>
    </row>
    <row r="663" spans="1:7" x14ac:dyDescent="0.3">
      <c r="A663" t="s">
        <v>83</v>
      </c>
      <c r="B663" t="s">
        <v>15</v>
      </c>
      <c r="C663" t="s">
        <v>36</v>
      </c>
      <c r="D663">
        <v>4248.34</v>
      </c>
      <c r="E663">
        <v>130</v>
      </c>
      <c r="F663" s="1">
        <v>45112</v>
      </c>
      <c r="G663" t="str">
        <f>IF(COUNTIFS(Table1_3[Country],Table1_3[[#This Row],[Country]],Table1_3[Product],Table1_3[[#This Row],[Product]],Table1_3[Sales Person],Table1_3[[#This Row],[Sales Person]],Table1_3[Amount],"&lt;=100")&gt;=2,"Contract","Deal")</f>
        <v>Deal</v>
      </c>
    </row>
    <row r="664" spans="1:7" x14ac:dyDescent="0.3">
      <c r="A664" t="s">
        <v>83</v>
      </c>
      <c r="B664" t="s">
        <v>15</v>
      </c>
      <c r="C664" t="s">
        <v>36</v>
      </c>
      <c r="D664">
        <v>4906.57</v>
      </c>
      <c r="E664">
        <v>128</v>
      </c>
      <c r="F664" s="1">
        <v>45478</v>
      </c>
      <c r="G664" t="str">
        <f>IF(COUNTIFS(Table1_3[Country],Table1_3[[#This Row],[Country]],Table1_3[Product],Table1_3[[#This Row],[Product]],Table1_3[Sales Person],Table1_3[[#This Row],[Sales Person]],Table1_3[Amount],"&lt;=100")&gt;=2,"Contract","Deal")</f>
        <v>Deal</v>
      </c>
    </row>
    <row r="665" spans="1:7" x14ac:dyDescent="0.3">
      <c r="A665" t="s">
        <v>83</v>
      </c>
      <c r="B665" t="s">
        <v>15</v>
      </c>
      <c r="C665" t="s">
        <v>8</v>
      </c>
      <c r="D665">
        <v>9660</v>
      </c>
      <c r="E665">
        <v>92</v>
      </c>
      <c r="F665" s="1">
        <v>44613</v>
      </c>
      <c r="G665" t="str">
        <f>IF(COUNTIFS(Table1_3[Country],Table1_3[[#This Row],[Country]],Table1_3[Product],Table1_3[[#This Row],[Product]],Table1_3[Sales Person],Table1_3[[#This Row],[Sales Person]],Table1_3[Amount],"&lt;=100")&gt;=2,"Contract","Deal")</f>
        <v>Deal</v>
      </c>
    </row>
    <row r="666" spans="1:7" x14ac:dyDescent="0.3">
      <c r="A666" t="s">
        <v>83</v>
      </c>
      <c r="B666" t="s">
        <v>15</v>
      </c>
      <c r="C666" t="s">
        <v>8</v>
      </c>
      <c r="D666">
        <v>10000.219999999999</v>
      </c>
      <c r="E666">
        <v>98</v>
      </c>
      <c r="F666" s="1">
        <v>44978</v>
      </c>
      <c r="G666" t="str">
        <f>IF(COUNTIFS(Table1_3[Country],Table1_3[[#This Row],[Country]],Table1_3[Product],Table1_3[[#This Row],[Product]],Table1_3[Sales Person],Table1_3[[#This Row],[Sales Person]],Table1_3[Amount],"&lt;=100")&gt;=2,"Contract","Deal")</f>
        <v>Deal</v>
      </c>
    </row>
    <row r="667" spans="1:7" x14ac:dyDescent="0.3">
      <c r="A667" t="s">
        <v>83</v>
      </c>
      <c r="B667" t="s">
        <v>15</v>
      </c>
      <c r="C667" t="s">
        <v>8</v>
      </c>
      <c r="D667">
        <v>10576.55</v>
      </c>
      <c r="E667">
        <v>96</v>
      </c>
      <c r="F667" s="1">
        <v>45343</v>
      </c>
      <c r="G667" t="str">
        <f>IF(COUNTIFS(Table1_3[Country],Table1_3[[#This Row],[Country]],Table1_3[Product],Table1_3[[#This Row],[Product]],Table1_3[Sales Person],Table1_3[[#This Row],[Sales Person]],Table1_3[Amount],"&lt;=100")&gt;=2,"Contract","Deal")</f>
        <v>Deal</v>
      </c>
    </row>
    <row r="668" spans="1:7" x14ac:dyDescent="0.3">
      <c r="A668" t="s">
        <v>83</v>
      </c>
      <c r="B668" t="s">
        <v>15</v>
      </c>
      <c r="C668" t="s">
        <v>13</v>
      </c>
      <c r="D668">
        <v>10199</v>
      </c>
      <c r="E668">
        <v>68</v>
      </c>
      <c r="F668" s="1">
        <v>44634</v>
      </c>
      <c r="G668" t="str">
        <f>IF(COUNTIFS(Table1_3[Country],Table1_3[[#This Row],[Country]],Table1_3[Product],Table1_3[[#This Row],[Product]],Table1_3[Sales Person],Table1_3[[#This Row],[Sales Person]],Table1_3[Amount],"&lt;=100")&gt;=2,"Contract","Deal")</f>
        <v>Deal</v>
      </c>
    </row>
    <row r="669" spans="1:7" x14ac:dyDescent="0.3">
      <c r="A669" t="s">
        <v>83</v>
      </c>
      <c r="B669" t="s">
        <v>15</v>
      </c>
      <c r="C669" t="s">
        <v>13</v>
      </c>
      <c r="D669">
        <v>10857.23</v>
      </c>
      <c r="E669">
        <v>73</v>
      </c>
      <c r="F669" s="1">
        <v>44999</v>
      </c>
      <c r="G669" t="str">
        <f>IF(COUNTIFS(Table1_3[Country],Table1_3[[#This Row],[Country]],Table1_3[Product],Table1_3[[#This Row],[Product]],Table1_3[Sales Person],Table1_3[[#This Row],[Sales Person]],Table1_3[Amount],"&lt;=100")&gt;=2,"Contract","Deal")</f>
        <v>Deal</v>
      </c>
    </row>
    <row r="670" spans="1:7" x14ac:dyDescent="0.3">
      <c r="A670" t="s">
        <v>83</v>
      </c>
      <c r="B670" t="s">
        <v>15</v>
      </c>
      <c r="C670" t="s">
        <v>13</v>
      </c>
      <c r="D670">
        <v>11767.94</v>
      </c>
      <c r="E670">
        <v>68</v>
      </c>
      <c r="F670" s="1">
        <v>45365</v>
      </c>
      <c r="G670" t="str">
        <f>IF(COUNTIFS(Table1_3[Country],Table1_3[[#This Row],[Country]],Table1_3[Product],Table1_3[[#This Row],[Product]],Table1_3[Sales Person],Table1_3[[#This Row],[Sales Person]],Table1_3[Amount],"&lt;=100")&gt;=2,"Contract","Deal")</f>
        <v>Deal</v>
      </c>
    </row>
    <row r="671" spans="1:7" x14ac:dyDescent="0.3">
      <c r="A671" t="s">
        <v>83</v>
      </c>
      <c r="B671" t="s">
        <v>15</v>
      </c>
      <c r="C671" t="s">
        <v>18</v>
      </c>
      <c r="D671">
        <v>7490</v>
      </c>
      <c r="E671">
        <v>54</v>
      </c>
      <c r="F671" s="1">
        <v>44697</v>
      </c>
      <c r="G671" t="str">
        <f>IF(COUNTIFS(Table1_3[Country],Table1_3[[#This Row],[Country]],Table1_3[Product],Table1_3[[#This Row],[Product]],Table1_3[Sales Person],Table1_3[[#This Row],[Sales Person]],Table1_3[Amount],"&lt;=100")&gt;=2,"Contract","Deal")</f>
        <v>Deal</v>
      </c>
    </row>
    <row r="672" spans="1:7" x14ac:dyDescent="0.3">
      <c r="A672" t="s">
        <v>83</v>
      </c>
      <c r="B672" t="s">
        <v>15</v>
      </c>
      <c r="C672" t="s">
        <v>18</v>
      </c>
      <c r="D672">
        <v>7794.8</v>
      </c>
      <c r="E672">
        <v>54</v>
      </c>
      <c r="F672" s="1">
        <v>45062</v>
      </c>
      <c r="G672" t="str">
        <f>IF(COUNTIFS(Table1_3[Country],Table1_3[[#This Row],[Country]],Table1_3[Product],Table1_3[[#This Row],[Product]],Table1_3[Sales Person],Table1_3[[#This Row],[Sales Person]],Table1_3[Amount],"&lt;=100")&gt;=2,"Contract","Deal")</f>
        <v>Deal</v>
      </c>
    </row>
    <row r="673" spans="1:7" x14ac:dyDescent="0.3">
      <c r="A673" t="s">
        <v>83</v>
      </c>
      <c r="B673" t="s">
        <v>15</v>
      </c>
      <c r="C673" t="s">
        <v>18</v>
      </c>
      <c r="D673">
        <v>9007.92</v>
      </c>
      <c r="E673">
        <v>52</v>
      </c>
      <c r="F673" s="1">
        <v>45428</v>
      </c>
      <c r="G673" t="str">
        <f>IF(COUNTIFS(Table1_3[Country],Table1_3[[#This Row],[Country]],Table1_3[Product],Table1_3[[#This Row],[Product]],Table1_3[Sales Person],Table1_3[[#This Row],[Sales Person]],Table1_3[Amount],"&lt;=100")&gt;=2,"Contract","Deal")</f>
        <v>Deal</v>
      </c>
    </row>
    <row r="674" spans="1:7" x14ac:dyDescent="0.3">
      <c r="A674" t="s">
        <v>83</v>
      </c>
      <c r="B674" t="s">
        <v>15</v>
      </c>
      <c r="C674" t="s">
        <v>59</v>
      </c>
      <c r="D674">
        <v>1043</v>
      </c>
      <c r="E674">
        <v>202</v>
      </c>
      <c r="F674" s="1">
        <v>44622</v>
      </c>
      <c r="G674" t="str">
        <f>IF(COUNTIFS(Table1_3[Country],Table1_3[[#This Row],[Country]],Table1_3[Product],Table1_3[[#This Row],[Product]],Table1_3[Sales Person],Table1_3[[#This Row],[Sales Person]],Table1_3[Amount],"&lt;=100")&gt;=2,"Contract","Deal")</f>
        <v>Deal</v>
      </c>
    </row>
    <row r="675" spans="1:7" x14ac:dyDescent="0.3">
      <c r="A675" t="s">
        <v>83</v>
      </c>
      <c r="B675" t="s">
        <v>15</v>
      </c>
      <c r="C675" t="s">
        <v>59</v>
      </c>
      <c r="D675">
        <v>1177.6400000000001</v>
      </c>
      <c r="E675">
        <v>206</v>
      </c>
      <c r="F675" s="1">
        <v>44987</v>
      </c>
      <c r="G675" t="str">
        <f>IF(COUNTIFS(Table1_3[Country],Table1_3[[#This Row],[Country]],Table1_3[Product],Table1_3[[#This Row],[Product]],Table1_3[Sales Person],Table1_3[[#This Row],[Sales Person]],Table1_3[Amount],"&lt;=100")&gt;=2,"Contract","Deal")</f>
        <v>Deal</v>
      </c>
    </row>
    <row r="676" spans="1:7" x14ac:dyDescent="0.3">
      <c r="A676" t="s">
        <v>83</v>
      </c>
      <c r="B676" t="s">
        <v>15</v>
      </c>
      <c r="C676" t="s">
        <v>59</v>
      </c>
      <c r="D676">
        <v>1103.54</v>
      </c>
      <c r="E676">
        <v>195</v>
      </c>
      <c r="F676" s="1">
        <v>45353</v>
      </c>
      <c r="G676" t="str">
        <f>IF(COUNTIFS(Table1_3[Country],Table1_3[[#This Row],[Country]],Table1_3[Product],Table1_3[[#This Row],[Product]],Table1_3[Sales Person],Table1_3[[#This Row],[Sales Person]],Table1_3[Amount],"&lt;=100")&gt;=2,"Contract","Deal")</f>
        <v>Deal</v>
      </c>
    </row>
    <row r="677" spans="1:7" x14ac:dyDescent="0.3">
      <c r="A677" t="s">
        <v>83</v>
      </c>
      <c r="B677" t="s">
        <v>35</v>
      </c>
      <c r="C677" t="s">
        <v>87</v>
      </c>
      <c r="D677">
        <v>7462</v>
      </c>
      <c r="E677">
        <v>371</v>
      </c>
      <c r="F677" s="1">
        <v>44641</v>
      </c>
      <c r="G677" t="str">
        <f>IF(COUNTIFS(Table1_3[Country],Table1_3[[#This Row],[Country]],Table1_3[Product],Table1_3[[#This Row],[Product]],Table1_3[Sales Person],Table1_3[[#This Row],[Sales Person]],Table1_3[Amount],"&lt;=100")&gt;=2,"Contract","Deal")</f>
        <v>Deal</v>
      </c>
    </row>
    <row r="678" spans="1:7" x14ac:dyDescent="0.3">
      <c r="A678" t="s">
        <v>83</v>
      </c>
      <c r="B678" t="s">
        <v>35</v>
      </c>
      <c r="C678" t="s">
        <v>87</v>
      </c>
      <c r="D678">
        <v>7968.23</v>
      </c>
      <c r="E678">
        <v>373</v>
      </c>
      <c r="F678" s="1">
        <v>45006</v>
      </c>
      <c r="G678" t="str">
        <f>IF(COUNTIFS(Table1_3[Country],Table1_3[[#This Row],[Country]],Table1_3[Product],Table1_3[[#This Row],[Product]],Table1_3[Sales Person],Table1_3[[#This Row],[Sales Person]],Table1_3[Amount],"&lt;=100")&gt;=2,"Contract","Deal")</f>
        <v>Deal</v>
      </c>
    </row>
    <row r="679" spans="1:7" x14ac:dyDescent="0.3">
      <c r="A679" t="s">
        <v>83</v>
      </c>
      <c r="B679" t="s">
        <v>35</v>
      </c>
      <c r="C679" t="s">
        <v>87</v>
      </c>
      <c r="D679">
        <v>8639.19</v>
      </c>
      <c r="E679">
        <v>402</v>
      </c>
      <c r="F679" s="1">
        <v>45372</v>
      </c>
      <c r="G679" t="str">
        <f>IF(COUNTIFS(Table1_3[Country],Table1_3[[#This Row],[Country]],Table1_3[Product],Table1_3[[#This Row],[Product]],Table1_3[Sales Person],Table1_3[[#This Row],[Sales Person]],Table1_3[Amount],"&lt;=100")&gt;=2,"Contract","Deal")</f>
        <v>Deal</v>
      </c>
    </row>
    <row r="680" spans="1:7" x14ac:dyDescent="0.3">
      <c r="A680" t="s">
        <v>83</v>
      </c>
      <c r="B680" t="s">
        <v>35</v>
      </c>
      <c r="C680" t="s">
        <v>75</v>
      </c>
      <c r="D680">
        <v>15547</v>
      </c>
      <c r="E680">
        <v>269</v>
      </c>
      <c r="F680" s="1">
        <v>44797</v>
      </c>
      <c r="G680" t="str">
        <f>IF(COUNTIFS(Table1_3[Country],Table1_3[[#This Row],[Country]],Table1_3[Product],Table1_3[[#This Row],[Product]],Table1_3[Sales Person],Table1_3[[#This Row],[Sales Person]],Table1_3[Amount],"&lt;=100")&gt;=2,"Contract","Deal")</f>
        <v>Deal</v>
      </c>
    </row>
    <row r="681" spans="1:7" x14ac:dyDescent="0.3">
      <c r="A681" t="s">
        <v>83</v>
      </c>
      <c r="B681" t="s">
        <v>35</v>
      </c>
      <c r="C681" t="s">
        <v>75</v>
      </c>
      <c r="D681">
        <v>16254.61</v>
      </c>
      <c r="E681">
        <v>268</v>
      </c>
      <c r="F681" s="1">
        <v>45162</v>
      </c>
      <c r="G681" t="str">
        <f>IF(COUNTIFS(Table1_3[Country],Table1_3[[#This Row],[Country]],Table1_3[Product],Table1_3[[#This Row],[Product]],Table1_3[Sales Person],Table1_3[[#This Row],[Sales Person]],Table1_3[Amount],"&lt;=100")&gt;=2,"Contract","Deal")</f>
        <v>Deal</v>
      </c>
    </row>
    <row r="682" spans="1:7" x14ac:dyDescent="0.3">
      <c r="A682" t="s">
        <v>83</v>
      </c>
      <c r="B682" t="s">
        <v>35</v>
      </c>
      <c r="C682" t="s">
        <v>75</v>
      </c>
      <c r="D682">
        <v>17490.080000000002</v>
      </c>
      <c r="E682">
        <v>289</v>
      </c>
      <c r="F682" s="1">
        <v>45528</v>
      </c>
      <c r="G682" t="str">
        <f>IF(COUNTIFS(Table1_3[Country],Table1_3[[#This Row],[Country]],Table1_3[Product],Table1_3[[#This Row],[Product]],Table1_3[Sales Person],Table1_3[[#This Row],[Sales Person]],Table1_3[Amount],"&lt;=100")&gt;=2,"Contract","Deal")</f>
        <v>Deal</v>
      </c>
    </row>
    <row r="683" spans="1:7" x14ac:dyDescent="0.3">
      <c r="A683" t="s">
        <v>83</v>
      </c>
      <c r="B683" t="s">
        <v>35</v>
      </c>
      <c r="C683" t="s">
        <v>36</v>
      </c>
      <c r="D683">
        <v>1876</v>
      </c>
      <c r="E683">
        <v>172</v>
      </c>
      <c r="F683" s="1">
        <v>44571</v>
      </c>
      <c r="G683" t="str">
        <f>IF(COUNTIFS(Table1_3[Country],Table1_3[[#This Row],[Country]],Table1_3[Product],Table1_3[[#This Row],[Product]],Table1_3[Sales Person],Table1_3[[#This Row],[Sales Person]],Table1_3[Amount],"&lt;=100")&gt;=2,"Contract","Deal")</f>
        <v>Deal</v>
      </c>
    </row>
    <row r="684" spans="1:7" x14ac:dyDescent="0.3">
      <c r="A684" t="s">
        <v>83</v>
      </c>
      <c r="B684" t="s">
        <v>35</v>
      </c>
      <c r="C684" t="s">
        <v>36</v>
      </c>
      <c r="D684">
        <v>2106.17</v>
      </c>
      <c r="E684">
        <v>172</v>
      </c>
      <c r="F684" s="1">
        <v>44936</v>
      </c>
      <c r="G684" t="str">
        <f>IF(COUNTIFS(Table1_3[Country],Table1_3[[#This Row],[Country]],Table1_3[Product],Table1_3[[#This Row],[Product]],Table1_3[Sales Person],Table1_3[[#This Row],[Sales Person]],Table1_3[Amount],"&lt;=100")&gt;=2,"Contract","Deal")</f>
        <v>Deal</v>
      </c>
    </row>
    <row r="685" spans="1:7" x14ac:dyDescent="0.3">
      <c r="A685" t="s">
        <v>83</v>
      </c>
      <c r="B685" t="s">
        <v>35</v>
      </c>
      <c r="C685" t="s">
        <v>36</v>
      </c>
      <c r="D685">
        <v>2048.58</v>
      </c>
      <c r="E685">
        <v>170</v>
      </c>
      <c r="F685" s="1">
        <v>45301</v>
      </c>
      <c r="G685" t="str">
        <f>IF(COUNTIFS(Table1_3[Country],Table1_3[[#This Row],[Country]],Table1_3[Product],Table1_3[[#This Row],[Product]],Table1_3[Sales Person],Table1_3[[#This Row],[Sales Person]],Table1_3[Amount],"&lt;=100")&gt;=2,"Contract","Deal")</f>
        <v>Deal</v>
      </c>
    </row>
    <row r="686" spans="1:7" x14ac:dyDescent="0.3">
      <c r="A686" t="s">
        <v>83</v>
      </c>
      <c r="B686" t="s">
        <v>35</v>
      </c>
      <c r="C686" t="s">
        <v>42</v>
      </c>
      <c r="D686">
        <v>574</v>
      </c>
      <c r="E686">
        <v>217</v>
      </c>
      <c r="F686" s="1">
        <v>44768</v>
      </c>
      <c r="G686" t="str">
        <f>IF(COUNTIFS(Table1_3[Country],Table1_3[[#This Row],[Country]],Table1_3[Product],Table1_3[[#This Row],[Product]],Table1_3[Sales Person],Table1_3[[#This Row],[Sales Person]],Table1_3[Amount],"&lt;=100")&gt;=2,"Contract","Deal")</f>
        <v>Deal</v>
      </c>
    </row>
    <row r="687" spans="1:7" x14ac:dyDescent="0.3">
      <c r="A687" t="s">
        <v>83</v>
      </c>
      <c r="B687" t="s">
        <v>35</v>
      </c>
      <c r="C687" t="s">
        <v>42</v>
      </c>
      <c r="D687">
        <v>593.63</v>
      </c>
      <c r="E687">
        <v>229</v>
      </c>
      <c r="F687" s="1">
        <v>45133</v>
      </c>
      <c r="G687" t="str">
        <f>IF(COUNTIFS(Table1_3[Country],Table1_3[[#This Row],[Country]],Table1_3[Product],Table1_3[[#This Row],[Product]],Table1_3[Sales Person],Table1_3[[#This Row],[Sales Person]],Table1_3[Amount],"&lt;=100")&gt;=2,"Contract","Deal")</f>
        <v>Deal</v>
      </c>
    </row>
    <row r="688" spans="1:7" x14ac:dyDescent="0.3">
      <c r="A688" t="s">
        <v>83</v>
      </c>
      <c r="B688" t="s">
        <v>35</v>
      </c>
      <c r="C688" t="s">
        <v>42</v>
      </c>
      <c r="D688">
        <v>616.09</v>
      </c>
      <c r="E688">
        <v>238</v>
      </c>
      <c r="F688" s="1">
        <v>45499</v>
      </c>
      <c r="G688" t="str">
        <f>IF(COUNTIFS(Table1_3[Country],Table1_3[[#This Row],[Country]],Table1_3[Product],Table1_3[[#This Row],[Product]],Table1_3[Sales Person],Table1_3[[#This Row],[Sales Person]],Table1_3[Amount],"&lt;=100")&gt;=2,"Contract","Deal")</f>
        <v>Deal</v>
      </c>
    </row>
    <row r="689" spans="1:7" x14ac:dyDescent="0.3">
      <c r="A689" t="s">
        <v>83</v>
      </c>
      <c r="B689" t="s">
        <v>35</v>
      </c>
      <c r="C689" t="s">
        <v>18</v>
      </c>
      <c r="D689">
        <v>9870</v>
      </c>
      <c r="E689">
        <v>121</v>
      </c>
      <c r="F689" s="1">
        <v>44636</v>
      </c>
      <c r="G689" t="str">
        <f>IF(COUNTIFS(Table1_3[Country],Table1_3[[#This Row],[Country]],Table1_3[Product],Table1_3[[#This Row],[Product]],Table1_3[Sales Person],Table1_3[[#This Row],[Sales Person]],Table1_3[Amount],"&lt;=100")&gt;=2,"Contract","Deal")</f>
        <v>Deal</v>
      </c>
    </row>
    <row r="690" spans="1:7" x14ac:dyDescent="0.3">
      <c r="A690" t="s">
        <v>83</v>
      </c>
      <c r="B690" t="s">
        <v>35</v>
      </c>
      <c r="C690" t="s">
        <v>18</v>
      </c>
      <c r="D690">
        <v>10369.709999999999</v>
      </c>
      <c r="E690">
        <v>129</v>
      </c>
      <c r="F690" s="1">
        <v>45001</v>
      </c>
      <c r="G690" t="str">
        <f>IF(COUNTIFS(Table1_3[Country],Table1_3[[#This Row],[Country]],Table1_3[Product],Table1_3[[#This Row],[Product]],Table1_3[Sales Person],Table1_3[[#This Row],[Sales Person]],Table1_3[Amount],"&lt;=100")&gt;=2,"Contract","Deal")</f>
        <v>Deal</v>
      </c>
    </row>
    <row r="691" spans="1:7" x14ac:dyDescent="0.3">
      <c r="A691" t="s">
        <v>83</v>
      </c>
      <c r="B691" t="s">
        <v>35</v>
      </c>
      <c r="C691" t="s">
        <v>18</v>
      </c>
      <c r="D691">
        <v>10723.86</v>
      </c>
      <c r="E691">
        <v>125</v>
      </c>
      <c r="F691" s="1">
        <v>45367</v>
      </c>
      <c r="G691" t="str">
        <f>IF(COUNTIFS(Table1_3[Country],Table1_3[[#This Row],[Country]],Table1_3[Product],Table1_3[[#This Row],[Product]],Table1_3[Sales Person],Table1_3[[#This Row],[Sales Person]],Table1_3[Amount],"&lt;=100")&gt;=2,"Contract","Deal")</f>
        <v>Deal</v>
      </c>
    </row>
    <row r="692" spans="1:7" x14ac:dyDescent="0.3">
      <c r="A692" t="s">
        <v>83</v>
      </c>
      <c r="B692" t="s">
        <v>35</v>
      </c>
      <c r="C692" t="s">
        <v>50</v>
      </c>
      <c r="D692">
        <v>5327</v>
      </c>
      <c r="E692">
        <v>183</v>
      </c>
      <c r="F692" s="1">
        <v>44778</v>
      </c>
      <c r="G692" t="str">
        <f>IF(COUNTIFS(Table1_3[Country],Table1_3[[#This Row],[Country]],Table1_3[Product],Table1_3[[#This Row],[Product]],Table1_3[Sales Person],Table1_3[[#This Row],[Sales Person]],Table1_3[Amount],"&lt;=100")&gt;=2,"Contract","Deal")</f>
        <v>Deal</v>
      </c>
    </row>
    <row r="693" spans="1:7" x14ac:dyDescent="0.3">
      <c r="A693" t="s">
        <v>83</v>
      </c>
      <c r="B693" t="s">
        <v>35</v>
      </c>
      <c r="C693" t="s">
        <v>50</v>
      </c>
      <c r="D693">
        <v>5859.21</v>
      </c>
      <c r="E693">
        <v>193</v>
      </c>
      <c r="F693" s="1">
        <v>45143</v>
      </c>
      <c r="G693" t="str">
        <f>IF(COUNTIFS(Table1_3[Country],Table1_3[[#This Row],[Country]],Table1_3[Product],Table1_3[[#This Row],[Product]],Table1_3[Sales Person],Table1_3[[#This Row],[Sales Person]],Table1_3[Amount],"&lt;=100")&gt;=2,"Contract","Deal")</f>
        <v>Deal</v>
      </c>
    </row>
    <row r="694" spans="1:7" x14ac:dyDescent="0.3">
      <c r="A694" t="s">
        <v>83</v>
      </c>
      <c r="B694" t="s">
        <v>35</v>
      </c>
      <c r="C694" t="s">
        <v>50</v>
      </c>
      <c r="D694">
        <v>6092.47</v>
      </c>
      <c r="E694">
        <v>201</v>
      </c>
      <c r="F694" s="1">
        <v>45509</v>
      </c>
      <c r="G694" t="str">
        <f>IF(COUNTIFS(Table1_3[Country],Table1_3[[#This Row],[Country]],Table1_3[Product],Table1_3[[#This Row],[Product]],Table1_3[Sales Person],Table1_3[[#This Row],[Sales Person]],Table1_3[Amount],"&lt;=100")&gt;=2,"Contract","Deal")</f>
        <v>Deal</v>
      </c>
    </row>
    <row r="695" spans="1:7" x14ac:dyDescent="0.3">
      <c r="A695" t="s">
        <v>83</v>
      </c>
      <c r="B695" t="s">
        <v>10</v>
      </c>
      <c r="C695" t="s">
        <v>26</v>
      </c>
      <c r="D695">
        <v>11298</v>
      </c>
      <c r="E695">
        <v>313</v>
      </c>
      <c r="F695" s="1">
        <v>44666</v>
      </c>
      <c r="G695" t="str">
        <f>IF(COUNTIFS(Table1_3[Country],Table1_3[[#This Row],[Country]],Table1_3[Product],Table1_3[[#This Row],[Product]],Table1_3[Sales Person],Table1_3[[#This Row],[Sales Person]],Table1_3[Amount],"&lt;=100")&gt;=2,"Contract","Deal")</f>
        <v>Deal</v>
      </c>
    </row>
    <row r="696" spans="1:7" x14ac:dyDescent="0.3">
      <c r="A696" t="s">
        <v>83</v>
      </c>
      <c r="B696" t="s">
        <v>10</v>
      </c>
      <c r="C696" t="s">
        <v>26</v>
      </c>
      <c r="D696">
        <v>12083.5</v>
      </c>
      <c r="E696">
        <v>334</v>
      </c>
      <c r="F696" s="1">
        <v>45031</v>
      </c>
      <c r="G696" t="str">
        <f>IF(COUNTIFS(Table1_3[Country],Table1_3[[#This Row],[Country]],Table1_3[Product],Table1_3[[#This Row],[Product]],Table1_3[Sales Person],Table1_3[[#This Row],[Sales Person]],Table1_3[Amount],"&lt;=100")&gt;=2,"Contract","Deal")</f>
        <v>Deal</v>
      </c>
    </row>
    <row r="697" spans="1:7" x14ac:dyDescent="0.3">
      <c r="A697" t="s">
        <v>83</v>
      </c>
      <c r="B697" t="s">
        <v>10</v>
      </c>
      <c r="C697" t="s">
        <v>26</v>
      </c>
      <c r="D697">
        <v>12584.46</v>
      </c>
      <c r="E697">
        <v>328</v>
      </c>
      <c r="F697" s="1">
        <v>45397</v>
      </c>
      <c r="G697" t="str">
        <f>IF(COUNTIFS(Table1_3[Country],Table1_3[[#This Row],[Country]],Table1_3[Product],Table1_3[[#This Row],[Product]],Table1_3[Sales Person],Table1_3[[#This Row],[Sales Person]],Table1_3[Amount],"&lt;=100")&gt;=2,"Contract","Deal")</f>
        <v>Deal</v>
      </c>
    </row>
    <row r="698" spans="1:7" x14ac:dyDescent="0.3">
      <c r="A698" t="s">
        <v>83</v>
      </c>
      <c r="B698" t="s">
        <v>10</v>
      </c>
      <c r="C698" t="s">
        <v>20</v>
      </c>
      <c r="D698">
        <v>455</v>
      </c>
      <c r="E698">
        <v>96</v>
      </c>
      <c r="F698" s="1">
        <v>44608</v>
      </c>
      <c r="G698" t="str">
        <f>IF(COUNTIFS(Table1_3[Country],Table1_3[[#This Row],[Country]],Table1_3[Product],Table1_3[[#This Row],[Product]],Table1_3[Sales Person],Table1_3[[#This Row],[Sales Person]],Table1_3[Amount],"&lt;=100")&gt;=2,"Contract","Deal")</f>
        <v>Deal</v>
      </c>
    </row>
    <row r="699" spans="1:7" x14ac:dyDescent="0.3">
      <c r="A699" t="s">
        <v>83</v>
      </c>
      <c r="B699" t="s">
        <v>10</v>
      </c>
      <c r="C699" t="s">
        <v>20</v>
      </c>
      <c r="D699">
        <v>503.97</v>
      </c>
      <c r="E699">
        <v>105</v>
      </c>
      <c r="F699" s="1">
        <v>44973</v>
      </c>
      <c r="G699" t="str">
        <f>IF(COUNTIFS(Table1_3[Country],Table1_3[[#This Row],[Country]],Table1_3[Product],Table1_3[[#This Row],[Product]],Table1_3[Sales Person],Table1_3[[#This Row],[Sales Person]],Table1_3[Amount],"&lt;=100")&gt;=2,"Contract","Deal")</f>
        <v>Deal</v>
      </c>
    </row>
    <row r="700" spans="1:7" x14ac:dyDescent="0.3">
      <c r="A700" t="s">
        <v>83</v>
      </c>
      <c r="B700" t="s">
        <v>10</v>
      </c>
      <c r="C700" t="s">
        <v>20</v>
      </c>
      <c r="D700">
        <v>536.74</v>
      </c>
      <c r="E700">
        <v>102</v>
      </c>
      <c r="F700" s="1">
        <v>45338</v>
      </c>
      <c r="G700" t="str">
        <f>IF(COUNTIFS(Table1_3[Country],Table1_3[[#This Row],[Country]],Table1_3[Product],Table1_3[[#This Row],[Product]],Table1_3[Sales Person],Table1_3[[#This Row],[Sales Person]],Table1_3[Amount],"&lt;=100")&gt;=2,"Contract","Deal")</f>
        <v>Deal</v>
      </c>
    </row>
    <row r="701" spans="1:7" x14ac:dyDescent="0.3">
      <c r="A701" t="s">
        <v>83</v>
      </c>
      <c r="B701" t="s">
        <v>10</v>
      </c>
      <c r="C701" t="s">
        <v>65</v>
      </c>
      <c r="D701">
        <v>11788</v>
      </c>
      <c r="E701">
        <v>73</v>
      </c>
      <c r="F701" s="1">
        <v>44664</v>
      </c>
      <c r="G701" t="str">
        <f>IF(COUNTIFS(Table1_3[Country],Table1_3[[#This Row],[Country]],Table1_3[Product],Table1_3[[#This Row],[Product]],Table1_3[Sales Person],Table1_3[[#This Row],[Sales Person]],Table1_3[Amount],"&lt;=100")&gt;=2,"Contract","Deal")</f>
        <v>Deal</v>
      </c>
    </row>
    <row r="702" spans="1:7" x14ac:dyDescent="0.3">
      <c r="A702" t="s">
        <v>83</v>
      </c>
      <c r="B702" t="s">
        <v>10</v>
      </c>
      <c r="C702" t="s">
        <v>65</v>
      </c>
      <c r="D702">
        <v>12124.05</v>
      </c>
      <c r="E702">
        <v>80</v>
      </c>
      <c r="F702" s="1">
        <v>45029</v>
      </c>
      <c r="G702" t="str">
        <f>IF(COUNTIFS(Table1_3[Country],Table1_3[[#This Row],[Country]],Table1_3[Product],Table1_3[[#This Row],[Product]],Table1_3[Sales Person],Table1_3[[#This Row],[Sales Person]],Table1_3[Amount],"&lt;=100")&gt;=2,"Contract","Deal")</f>
        <v>Deal</v>
      </c>
    </row>
    <row r="703" spans="1:7" x14ac:dyDescent="0.3">
      <c r="A703" t="s">
        <v>83</v>
      </c>
      <c r="B703" t="s">
        <v>10</v>
      </c>
      <c r="C703" t="s">
        <v>65</v>
      </c>
      <c r="D703">
        <v>13315.47</v>
      </c>
      <c r="E703">
        <v>72</v>
      </c>
      <c r="F703" s="1">
        <v>45395</v>
      </c>
      <c r="G703" t="str">
        <f>IF(COUNTIFS(Table1_3[Country],Table1_3[[#This Row],[Country]],Table1_3[Product],Table1_3[[#This Row],[Product]],Table1_3[Sales Person],Table1_3[[#This Row],[Sales Person]],Table1_3[Amount],"&lt;=100")&gt;=2,"Contract","Deal")</f>
        <v>Deal</v>
      </c>
    </row>
    <row r="704" spans="1:7" x14ac:dyDescent="0.3">
      <c r="A704" t="s">
        <v>83</v>
      </c>
      <c r="B704" t="s">
        <v>10</v>
      </c>
      <c r="C704" t="s">
        <v>90</v>
      </c>
      <c r="D704">
        <v>6839</v>
      </c>
      <c r="E704">
        <v>56</v>
      </c>
      <c r="F704" s="1">
        <v>44727</v>
      </c>
      <c r="G704" t="str">
        <f>IF(COUNTIFS(Table1_3[Country],Table1_3[[#This Row],[Country]],Table1_3[Product],Table1_3[[#This Row],[Product]],Table1_3[Sales Person],Table1_3[[#This Row],[Sales Person]],Table1_3[Amount],"&lt;=100")&gt;=2,"Contract","Deal")</f>
        <v>Deal</v>
      </c>
    </row>
    <row r="705" spans="1:7" x14ac:dyDescent="0.3">
      <c r="A705" t="s">
        <v>83</v>
      </c>
      <c r="B705" t="s">
        <v>10</v>
      </c>
      <c r="C705" t="s">
        <v>90</v>
      </c>
      <c r="D705">
        <v>7224.39</v>
      </c>
      <c r="E705">
        <v>55</v>
      </c>
      <c r="F705" s="1">
        <v>45092</v>
      </c>
      <c r="G705" t="str">
        <f>IF(COUNTIFS(Table1_3[Country],Table1_3[[#This Row],[Country]],Table1_3[Product],Table1_3[[#This Row],[Product]],Table1_3[Sales Person],Table1_3[[#This Row],[Sales Person]],Table1_3[Amount],"&lt;=100")&gt;=2,"Contract","Deal")</f>
        <v>Deal</v>
      </c>
    </row>
    <row r="706" spans="1:7" x14ac:dyDescent="0.3">
      <c r="A706" t="s">
        <v>83</v>
      </c>
      <c r="B706" t="s">
        <v>10</v>
      </c>
      <c r="C706" t="s">
        <v>90</v>
      </c>
      <c r="D706">
        <v>7437.55</v>
      </c>
      <c r="E706">
        <v>54</v>
      </c>
      <c r="F706" s="1">
        <v>45458</v>
      </c>
      <c r="G706" t="str">
        <f>IF(COUNTIFS(Table1_3[Country],Table1_3[[#This Row],[Country]],Table1_3[Product],Table1_3[[#This Row],[Product]],Table1_3[Sales Person],Table1_3[[#This Row],[Sales Person]],Table1_3[Amount],"&lt;=100")&gt;=2,"Contract","Deal")</f>
        <v>Deal</v>
      </c>
    </row>
    <row r="707" spans="1:7" x14ac:dyDescent="0.3">
      <c r="A707" t="s">
        <v>83</v>
      </c>
      <c r="B707" t="s">
        <v>10</v>
      </c>
      <c r="C707" t="s">
        <v>75</v>
      </c>
      <c r="D707">
        <v>9625</v>
      </c>
      <c r="E707">
        <v>78</v>
      </c>
      <c r="F707" s="1">
        <v>44656</v>
      </c>
      <c r="G707" t="str">
        <f>IF(COUNTIFS(Table1_3[Country],Table1_3[[#This Row],[Country]],Table1_3[Product],Table1_3[[#This Row],[Product]],Table1_3[Sales Person],Table1_3[[#This Row],[Sales Person]],Table1_3[Amount],"&lt;=100")&gt;=2,"Contract","Deal")</f>
        <v>Deal</v>
      </c>
    </row>
    <row r="708" spans="1:7" x14ac:dyDescent="0.3">
      <c r="A708" t="s">
        <v>83</v>
      </c>
      <c r="B708" t="s">
        <v>10</v>
      </c>
      <c r="C708" t="s">
        <v>75</v>
      </c>
      <c r="D708">
        <v>10669.09</v>
      </c>
      <c r="E708">
        <v>85</v>
      </c>
      <c r="F708" s="1">
        <v>45021</v>
      </c>
      <c r="G708" t="str">
        <f>IF(COUNTIFS(Table1_3[Country],Table1_3[[#This Row],[Country]],Table1_3[Product],Table1_3[[#This Row],[Product]],Table1_3[Sales Person],Table1_3[[#This Row],[Sales Person]],Table1_3[Amount],"&lt;=100")&gt;=2,"Contract","Deal")</f>
        <v>Deal</v>
      </c>
    </row>
    <row r="709" spans="1:7" x14ac:dyDescent="0.3">
      <c r="A709" t="s">
        <v>83</v>
      </c>
      <c r="B709" t="s">
        <v>10</v>
      </c>
      <c r="C709" t="s">
        <v>75</v>
      </c>
      <c r="D709">
        <v>10969</v>
      </c>
      <c r="E709">
        <v>83</v>
      </c>
      <c r="F709" s="1">
        <v>45387</v>
      </c>
      <c r="G709" t="str">
        <f>IF(COUNTIFS(Table1_3[Country],Table1_3[[#This Row],[Country]],Table1_3[Product],Table1_3[[#This Row],[Product]],Table1_3[Sales Person],Table1_3[[#This Row],[Sales Person]],Table1_3[Amount],"&lt;=100")&gt;=2,"Contract","Deal")</f>
        <v>Deal</v>
      </c>
    </row>
    <row r="710" spans="1:7" x14ac:dyDescent="0.3">
      <c r="A710" t="s">
        <v>83</v>
      </c>
      <c r="B710" t="s">
        <v>10</v>
      </c>
      <c r="C710" t="s">
        <v>33</v>
      </c>
      <c r="D710">
        <v>1190</v>
      </c>
      <c r="E710">
        <v>256</v>
      </c>
      <c r="F710" s="1">
        <v>44608</v>
      </c>
      <c r="G710" t="str">
        <f>IF(COUNTIFS(Table1_3[Country],Table1_3[[#This Row],[Country]],Table1_3[Product],Table1_3[[#This Row],[Product]],Table1_3[Sales Person],Table1_3[[#This Row],[Sales Person]],Table1_3[Amount],"&lt;=100")&gt;=2,"Contract","Deal")</f>
        <v>Deal</v>
      </c>
    </row>
    <row r="711" spans="1:7" x14ac:dyDescent="0.3">
      <c r="A711" t="s">
        <v>83</v>
      </c>
      <c r="B711" t="s">
        <v>10</v>
      </c>
      <c r="C711" t="s">
        <v>33</v>
      </c>
      <c r="D711">
        <v>1215.3</v>
      </c>
      <c r="E711">
        <v>271</v>
      </c>
      <c r="F711" s="1">
        <v>44973</v>
      </c>
      <c r="G711" t="str">
        <f>IF(COUNTIFS(Table1_3[Country],Table1_3[[#This Row],[Country]],Table1_3[Product],Table1_3[[#This Row],[Product]],Table1_3[Sales Person],Table1_3[[#This Row],[Sales Person]],Table1_3[Amount],"&lt;=100")&gt;=2,"Contract","Deal")</f>
        <v>Deal</v>
      </c>
    </row>
    <row r="712" spans="1:7" x14ac:dyDescent="0.3">
      <c r="A712" t="s">
        <v>83</v>
      </c>
      <c r="B712" t="s">
        <v>10</v>
      </c>
      <c r="C712" t="s">
        <v>33</v>
      </c>
      <c r="D712">
        <v>1412.6</v>
      </c>
      <c r="E712">
        <v>278</v>
      </c>
      <c r="F712" s="1">
        <v>45338</v>
      </c>
      <c r="G712" t="str">
        <f>IF(COUNTIFS(Table1_3[Country],Table1_3[[#This Row],[Country]],Table1_3[Product],Table1_3[[#This Row],[Product]],Table1_3[Sales Person],Table1_3[[#This Row],[Sales Person]],Table1_3[Amount],"&lt;=100")&gt;=2,"Contract","Deal")</f>
        <v>Deal</v>
      </c>
    </row>
    <row r="713" spans="1:7" x14ac:dyDescent="0.3">
      <c r="A713" t="s">
        <v>83</v>
      </c>
      <c r="B713" t="s">
        <v>10</v>
      </c>
      <c r="C713" t="s">
        <v>42</v>
      </c>
      <c r="D713">
        <v>16569</v>
      </c>
      <c r="E713">
        <v>99</v>
      </c>
      <c r="F713" s="1">
        <v>44628</v>
      </c>
      <c r="G713" t="str">
        <f>IF(COUNTIFS(Table1_3[Country],Table1_3[[#This Row],[Country]],Table1_3[Product],Table1_3[[#This Row],[Product]],Table1_3[Sales Person],Table1_3[[#This Row],[Sales Person]],Table1_3[Amount],"&lt;=100")&gt;=2,"Contract","Deal")</f>
        <v>Deal</v>
      </c>
    </row>
    <row r="714" spans="1:7" x14ac:dyDescent="0.3">
      <c r="A714" t="s">
        <v>83</v>
      </c>
      <c r="B714" t="s">
        <v>10</v>
      </c>
      <c r="C714" t="s">
        <v>42</v>
      </c>
      <c r="D714">
        <v>16717.259999999998</v>
      </c>
      <c r="E714">
        <v>102</v>
      </c>
      <c r="F714" s="1">
        <v>44993</v>
      </c>
      <c r="G714" t="str">
        <f>IF(COUNTIFS(Table1_3[Country],Table1_3[[#This Row],[Country]],Table1_3[Product],Table1_3[[#This Row],[Product]],Table1_3[Sales Person],Table1_3[[#This Row],[Sales Person]],Table1_3[Amount],"&lt;=100")&gt;=2,"Contract","Deal")</f>
        <v>Deal</v>
      </c>
    </row>
    <row r="715" spans="1:7" x14ac:dyDescent="0.3">
      <c r="A715" t="s">
        <v>83</v>
      </c>
      <c r="B715" t="s">
        <v>10</v>
      </c>
      <c r="C715" t="s">
        <v>42</v>
      </c>
      <c r="D715">
        <v>17903.7</v>
      </c>
      <c r="E715">
        <v>107</v>
      </c>
      <c r="F715" s="1">
        <v>45359</v>
      </c>
      <c r="G715" t="str">
        <f>IF(COUNTIFS(Table1_3[Country],Table1_3[[#This Row],[Country]],Table1_3[Product],Table1_3[[#This Row],[Product]],Table1_3[Sales Person],Table1_3[[#This Row],[Sales Person]],Table1_3[Amount],"&lt;=100")&gt;=2,"Contract","Deal")</f>
        <v>Deal</v>
      </c>
    </row>
    <row r="716" spans="1:7" x14ac:dyDescent="0.3">
      <c r="A716" t="s">
        <v>83</v>
      </c>
      <c r="B716" t="s">
        <v>10</v>
      </c>
      <c r="C716" t="s">
        <v>13</v>
      </c>
      <c r="D716">
        <v>22050</v>
      </c>
      <c r="E716">
        <v>208</v>
      </c>
      <c r="F716" s="1">
        <v>44588</v>
      </c>
      <c r="G716" t="str">
        <f>IF(COUNTIFS(Table1_3[Country],Table1_3[[#This Row],[Country]],Table1_3[Product],Table1_3[[#This Row],[Product]],Table1_3[Sales Person],Table1_3[[#This Row],[Sales Person]],Table1_3[Amount],"&lt;=100")&gt;=2,"Contract","Deal")</f>
        <v>Deal</v>
      </c>
    </row>
    <row r="717" spans="1:7" x14ac:dyDescent="0.3">
      <c r="A717" t="s">
        <v>83</v>
      </c>
      <c r="B717" t="s">
        <v>10</v>
      </c>
      <c r="C717" t="s">
        <v>13</v>
      </c>
      <c r="D717">
        <v>23251.68</v>
      </c>
      <c r="E717">
        <v>210</v>
      </c>
      <c r="F717" s="1">
        <v>44953</v>
      </c>
      <c r="G717" t="str">
        <f>IF(COUNTIFS(Table1_3[Country],Table1_3[[#This Row],[Country]],Table1_3[Product],Table1_3[[#This Row],[Product]],Table1_3[Sales Person],Table1_3[[#This Row],[Sales Person]],Table1_3[Amount],"&lt;=100")&gt;=2,"Contract","Deal")</f>
        <v>Deal</v>
      </c>
    </row>
    <row r="718" spans="1:7" x14ac:dyDescent="0.3">
      <c r="A718" t="s">
        <v>83</v>
      </c>
      <c r="B718" t="s">
        <v>10</v>
      </c>
      <c r="C718" t="s">
        <v>13</v>
      </c>
      <c r="D718">
        <v>26170.95</v>
      </c>
      <c r="E718">
        <v>224</v>
      </c>
      <c r="F718" s="1">
        <v>45318</v>
      </c>
      <c r="G718" t="str">
        <f>IF(COUNTIFS(Table1_3[Country],Table1_3[[#This Row],[Country]],Table1_3[Product],Table1_3[[#This Row],[Product]],Table1_3[Sales Person],Table1_3[[#This Row],[Sales Person]],Table1_3[Amount],"&lt;=100")&gt;=2,"Contract","Deal")</f>
        <v>Deal</v>
      </c>
    </row>
    <row r="719" spans="1:7" x14ac:dyDescent="0.3">
      <c r="A719" t="s">
        <v>83</v>
      </c>
      <c r="B719" t="s">
        <v>10</v>
      </c>
      <c r="C719" t="s">
        <v>18</v>
      </c>
      <c r="D719">
        <v>8043</v>
      </c>
      <c r="E719">
        <v>18</v>
      </c>
      <c r="F719" s="1">
        <v>44776</v>
      </c>
      <c r="G719" t="str">
        <f>IF(COUNTIFS(Table1_3[Country],Table1_3[[#This Row],[Country]],Table1_3[Product],Table1_3[[#This Row],[Product]],Table1_3[Sales Person],Table1_3[[#This Row],[Sales Person]],Table1_3[Amount],"&lt;=100")&gt;=2,"Contract","Deal")</f>
        <v>Deal</v>
      </c>
    </row>
    <row r="720" spans="1:7" x14ac:dyDescent="0.3">
      <c r="A720" t="s">
        <v>83</v>
      </c>
      <c r="B720" t="s">
        <v>10</v>
      </c>
      <c r="C720" t="s">
        <v>18</v>
      </c>
      <c r="D720">
        <v>8062</v>
      </c>
      <c r="E720">
        <v>20</v>
      </c>
      <c r="F720" s="1">
        <v>45141</v>
      </c>
      <c r="G720" t="str">
        <f>IF(COUNTIFS(Table1_3[Country],Table1_3[[#This Row],[Country]],Table1_3[Product],Table1_3[[#This Row],[Product]],Table1_3[Sales Person],Table1_3[[#This Row],[Sales Person]],Table1_3[Amount],"&lt;=100")&gt;=2,"Contract","Deal")</f>
        <v>Deal</v>
      </c>
    </row>
    <row r="721" spans="1:7" x14ac:dyDescent="0.3">
      <c r="A721" t="s">
        <v>83</v>
      </c>
      <c r="B721" t="s">
        <v>10</v>
      </c>
      <c r="C721" t="s">
        <v>18</v>
      </c>
      <c r="D721">
        <v>8503.93</v>
      </c>
      <c r="E721">
        <v>19</v>
      </c>
      <c r="F721" s="1">
        <v>45507</v>
      </c>
      <c r="G721" t="str">
        <f>IF(COUNTIFS(Table1_3[Country],Table1_3[[#This Row],[Country]],Table1_3[Product],Table1_3[[#This Row],[Product]],Table1_3[Sales Person],Table1_3[[#This Row],[Sales Person]],Table1_3[Amount],"&lt;=100")&gt;=2,"Contract","Deal")</f>
        <v>Deal</v>
      </c>
    </row>
    <row r="722" spans="1:7" x14ac:dyDescent="0.3">
      <c r="A722" t="s">
        <v>83</v>
      </c>
      <c r="B722" t="s">
        <v>10</v>
      </c>
      <c r="C722" t="s">
        <v>50</v>
      </c>
      <c r="D722">
        <v>10906</v>
      </c>
      <c r="E722">
        <v>94</v>
      </c>
      <c r="F722" s="1">
        <v>44748</v>
      </c>
      <c r="G722" t="str">
        <f>IF(COUNTIFS(Table1_3[Country],Table1_3[[#This Row],[Country]],Table1_3[Product],Table1_3[[#This Row],[Product]],Table1_3[Sales Person],Table1_3[[#This Row],[Sales Person]],Table1_3[Amount],"&lt;=100")&gt;=2,"Contract","Deal")</f>
        <v>Deal</v>
      </c>
    </row>
    <row r="723" spans="1:7" x14ac:dyDescent="0.3">
      <c r="A723" t="s">
        <v>83</v>
      </c>
      <c r="B723" t="s">
        <v>10</v>
      </c>
      <c r="C723" t="s">
        <v>50</v>
      </c>
      <c r="D723">
        <v>11010.43</v>
      </c>
      <c r="E723">
        <v>103</v>
      </c>
      <c r="F723" s="1">
        <v>45113</v>
      </c>
      <c r="G723" t="str">
        <f>IF(COUNTIFS(Table1_3[Country],Table1_3[[#This Row],[Country]],Table1_3[Product],Table1_3[[#This Row],[Product]],Table1_3[Sales Person],Table1_3[[#This Row],[Sales Person]],Table1_3[Amount],"&lt;=100")&gt;=2,"Contract","Deal")</f>
        <v>Deal</v>
      </c>
    </row>
    <row r="724" spans="1:7" x14ac:dyDescent="0.3">
      <c r="A724" t="s">
        <v>83</v>
      </c>
      <c r="B724" t="s">
        <v>10</v>
      </c>
      <c r="C724" t="s">
        <v>50</v>
      </c>
      <c r="D724">
        <v>12562.81</v>
      </c>
      <c r="E724">
        <v>101</v>
      </c>
      <c r="F724" s="1">
        <v>45479</v>
      </c>
      <c r="G724" t="str">
        <f>IF(COUNTIFS(Table1_3[Country],Table1_3[[#This Row],[Country]],Table1_3[Product],Table1_3[[#This Row],[Product]],Table1_3[Sales Person],Table1_3[[#This Row],[Sales Person]],Table1_3[Amount],"&lt;=100")&gt;=2,"Contract","Deal")</f>
        <v>Deal</v>
      </c>
    </row>
    <row r="725" spans="1:7" x14ac:dyDescent="0.3">
      <c r="A725" t="s">
        <v>83</v>
      </c>
      <c r="B725" t="s">
        <v>25</v>
      </c>
      <c r="C725" t="s">
        <v>23</v>
      </c>
      <c r="D725">
        <v>5705</v>
      </c>
      <c r="E725">
        <v>350</v>
      </c>
      <c r="F725" s="1">
        <v>44735</v>
      </c>
      <c r="G725" t="str">
        <f>IF(COUNTIFS(Table1_3[Country],Table1_3[[#This Row],[Country]],Table1_3[Product],Table1_3[[#This Row],[Product]],Table1_3[Sales Person],Table1_3[[#This Row],[Sales Person]],Table1_3[Amount],"&lt;=100")&gt;=2,"Contract","Deal")</f>
        <v>Deal</v>
      </c>
    </row>
    <row r="726" spans="1:7" x14ac:dyDescent="0.3">
      <c r="A726" t="s">
        <v>83</v>
      </c>
      <c r="B726" t="s">
        <v>25</v>
      </c>
      <c r="C726" t="s">
        <v>23</v>
      </c>
      <c r="D726">
        <v>5813.44</v>
      </c>
      <c r="E726">
        <v>356</v>
      </c>
      <c r="F726" s="1">
        <v>45100</v>
      </c>
      <c r="G726" t="str">
        <f>IF(COUNTIFS(Table1_3[Country],Table1_3[[#This Row],[Country]],Table1_3[Product],Table1_3[[#This Row],[Product]],Table1_3[Sales Person],Table1_3[[#This Row],[Sales Person]],Table1_3[Amount],"&lt;=100")&gt;=2,"Contract","Deal")</f>
        <v>Deal</v>
      </c>
    </row>
    <row r="727" spans="1:7" x14ac:dyDescent="0.3">
      <c r="A727" t="s">
        <v>83</v>
      </c>
      <c r="B727" t="s">
        <v>25</v>
      </c>
      <c r="C727" t="s">
        <v>23</v>
      </c>
      <c r="D727">
        <v>6651.11</v>
      </c>
      <c r="E727">
        <v>377</v>
      </c>
      <c r="F727" s="1">
        <v>45466</v>
      </c>
      <c r="G727" t="str">
        <f>IF(COUNTIFS(Table1_3[Country],Table1_3[[#This Row],[Country]],Table1_3[Product],Table1_3[[#This Row],[Product]],Table1_3[Sales Person],Table1_3[[#This Row],[Sales Person]],Table1_3[Amount],"&lt;=100")&gt;=2,"Contract","Deal")</f>
        <v>Deal</v>
      </c>
    </row>
    <row r="728" spans="1:7" x14ac:dyDescent="0.3">
      <c r="A728" t="s">
        <v>83</v>
      </c>
      <c r="B728" t="s">
        <v>25</v>
      </c>
      <c r="C728" t="s">
        <v>90</v>
      </c>
      <c r="D728">
        <v>7588</v>
      </c>
      <c r="E728">
        <v>42</v>
      </c>
      <c r="F728" s="1">
        <v>44742</v>
      </c>
      <c r="G728" t="str">
        <f>IF(COUNTIFS(Table1_3[Country],Table1_3[[#This Row],[Country]],Table1_3[Product],Table1_3[[#This Row],[Product]],Table1_3[Sales Person],Table1_3[[#This Row],[Sales Person]],Table1_3[Amount],"&lt;=100")&gt;=2,"Contract","Deal")</f>
        <v>Deal</v>
      </c>
    </row>
    <row r="729" spans="1:7" x14ac:dyDescent="0.3">
      <c r="A729" t="s">
        <v>83</v>
      </c>
      <c r="B729" t="s">
        <v>25</v>
      </c>
      <c r="C729" t="s">
        <v>90</v>
      </c>
      <c r="D729">
        <v>8184.37</v>
      </c>
      <c r="E729">
        <v>43</v>
      </c>
      <c r="F729" s="1">
        <v>45107</v>
      </c>
      <c r="G729" t="str">
        <f>IF(COUNTIFS(Table1_3[Country],Table1_3[[#This Row],[Country]],Table1_3[Product],Table1_3[[#This Row],[Product]],Table1_3[Sales Person],Table1_3[[#This Row],[Sales Person]],Table1_3[Amount],"&lt;=100")&gt;=2,"Contract","Deal")</f>
        <v>Deal</v>
      </c>
    </row>
    <row r="730" spans="1:7" x14ac:dyDescent="0.3">
      <c r="A730" t="s">
        <v>83</v>
      </c>
      <c r="B730" t="s">
        <v>25</v>
      </c>
      <c r="C730" t="s">
        <v>90</v>
      </c>
      <c r="D730">
        <v>8546.7199999999993</v>
      </c>
      <c r="E730">
        <v>41</v>
      </c>
      <c r="F730" s="1">
        <v>45473</v>
      </c>
      <c r="G730" t="str">
        <f>IF(COUNTIFS(Table1_3[Country],Table1_3[[#This Row],[Country]],Table1_3[Product],Table1_3[[#This Row],[Product]],Table1_3[Sales Person],Table1_3[[#This Row],[Sales Person]],Table1_3[Amount],"&lt;=100")&gt;=2,"Contract","Deal")</f>
        <v>Deal</v>
      </c>
    </row>
    <row r="731" spans="1:7" x14ac:dyDescent="0.3">
      <c r="A731" t="s">
        <v>83</v>
      </c>
      <c r="B731" t="s">
        <v>25</v>
      </c>
      <c r="C731" t="s">
        <v>38</v>
      </c>
      <c r="D731">
        <v>8302</v>
      </c>
      <c r="E731">
        <v>131</v>
      </c>
      <c r="F731" s="1">
        <v>44608</v>
      </c>
      <c r="G731" t="str">
        <f>IF(COUNTIFS(Table1_3[Country],Table1_3[[#This Row],[Country]],Table1_3[Product],Table1_3[[#This Row],[Product]],Table1_3[Sales Person],Table1_3[[#This Row],[Sales Person]],Table1_3[Amount],"&lt;=100")&gt;=2,"Contract","Deal")</f>
        <v>Deal</v>
      </c>
    </row>
    <row r="732" spans="1:7" x14ac:dyDescent="0.3">
      <c r="A732" t="s">
        <v>83</v>
      </c>
      <c r="B732" t="s">
        <v>25</v>
      </c>
      <c r="C732" t="s">
        <v>38</v>
      </c>
      <c r="D732">
        <v>9195.5300000000007</v>
      </c>
      <c r="E732">
        <v>127</v>
      </c>
      <c r="F732" s="1">
        <v>44973</v>
      </c>
      <c r="G732" t="str">
        <f>IF(COUNTIFS(Table1_3[Country],Table1_3[[#This Row],[Country]],Table1_3[Product],Table1_3[[#This Row],[Product]],Table1_3[Sales Person],Table1_3[[#This Row],[Sales Person]],Table1_3[Amount],"&lt;=100")&gt;=2,"Contract","Deal")</f>
        <v>Deal</v>
      </c>
    </row>
    <row r="733" spans="1:7" x14ac:dyDescent="0.3">
      <c r="A733" t="s">
        <v>83</v>
      </c>
      <c r="B733" t="s">
        <v>25</v>
      </c>
      <c r="C733" t="s">
        <v>38</v>
      </c>
      <c r="D733">
        <v>10009.51</v>
      </c>
      <c r="E733">
        <v>144</v>
      </c>
      <c r="F733" s="1">
        <v>45338</v>
      </c>
      <c r="G733" t="str">
        <f>IF(COUNTIFS(Table1_3[Country],Table1_3[[#This Row],[Country]],Table1_3[Product],Table1_3[[#This Row],[Product]],Table1_3[Sales Person],Table1_3[[#This Row],[Sales Person]],Table1_3[Amount],"&lt;=100")&gt;=2,"Contract","Deal")</f>
        <v>Deal</v>
      </c>
    </row>
    <row r="734" spans="1:7" x14ac:dyDescent="0.3">
      <c r="A734" t="s">
        <v>83</v>
      </c>
      <c r="B734" t="s">
        <v>25</v>
      </c>
      <c r="C734" t="s">
        <v>36</v>
      </c>
      <c r="D734">
        <v>490</v>
      </c>
      <c r="E734">
        <v>49</v>
      </c>
      <c r="F734" s="1">
        <v>44655</v>
      </c>
      <c r="G734" t="str">
        <f>IF(COUNTIFS(Table1_3[Country],Table1_3[[#This Row],[Country]],Table1_3[Product],Table1_3[[#This Row],[Product]],Table1_3[Sales Person],Table1_3[[#This Row],[Sales Person]],Table1_3[Amount],"&lt;=100")&gt;=2,"Contract","Deal")</f>
        <v>Deal</v>
      </c>
    </row>
    <row r="735" spans="1:7" x14ac:dyDescent="0.3">
      <c r="A735" t="s">
        <v>83</v>
      </c>
      <c r="B735" t="s">
        <v>25</v>
      </c>
      <c r="C735" t="s">
        <v>36</v>
      </c>
      <c r="D735">
        <v>543.20000000000005</v>
      </c>
      <c r="E735">
        <v>54</v>
      </c>
      <c r="F735" s="1">
        <v>45020</v>
      </c>
      <c r="G735" t="str">
        <f>IF(COUNTIFS(Table1_3[Country],Table1_3[[#This Row],[Country]],Table1_3[Product],Table1_3[[#This Row],[Product]],Table1_3[Sales Person],Table1_3[[#This Row],[Sales Person]],Table1_3[Amount],"&lt;=100")&gt;=2,"Contract","Deal")</f>
        <v>Deal</v>
      </c>
    </row>
    <row r="736" spans="1:7" x14ac:dyDescent="0.3">
      <c r="A736" t="s">
        <v>83</v>
      </c>
      <c r="B736" t="s">
        <v>25</v>
      </c>
      <c r="C736" t="s">
        <v>36</v>
      </c>
      <c r="D736">
        <v>564.14</v>
      </c>
      <c r="E736">
        <v>50</v>
      </c>
      <c r="F736" s="1">
        <v>45386</v>
      </c>
      <c r="G736" t="str">
        <f>IF(COUNTIFS(Table1_3[Country],Table1_3[[#This Row],[Country]],Table1_3[Product],Table1_3[[#This Row],[Product]],Table1_3[Sales Person],Table1_3[[#This Row],[Sales Person]],Table1_3[Amount],"&lt;=100")&gt;=2,"Contract","Deal")</f>
        <v>Deal</v>
      </c>
    </row>
    <row r="737" spans="1:7" x14ac:dyDescent="0.3">
      <c r="A737" t="s">
        <v>83</v>
      </c>
      <c r="B737" t="s">
        <v>25</v>
      </c>
      <c r="C737" t="s">
        <v>46</v>
      </c>
      <c r="D737">
        <v>4389</v>
      </c>
      <c r="E737">
        <v>126</v>
      </c>
      <c r="F737" s="1">
        <v>44790</v>
      </c>
      <c r="G737" t="str">
        <f>IF(COUNTIFS(Table1_3[Country],Table1_3[[#This Row],[Country]],Table1_3[Product],Table1_3[[#This Row],[Product]],Table1_3[Sales Person],Table1_3[[#This Row],[Sales Person]],Table1_3[Amount],"&lt;=100")&gt;=2,"Contract","Deal")</f>
        <v>Deal</v>
      </c>
    </row>
    <row r="738" spans="1:7" x14ac:dyDescent="0.3">
      <c r="A738" t="s">
        <v>83</v>
      </c>
      <c r="B738" t="s">
        <v>25</v>
      </c>
      <c r="C738" t="s">
        <v>46</v>
      </c>
      <c r="D738">
        <v>4474.5200000000004</v>
      </c>
      <c r="E738">
        <v>120</v>
      </c>
      <c r="F738" s="1">
        <v>45155</v>
      </c>
      <c r="G738" t="str">
        <f>IF(COUNTIFS(Table1_3[Country],Table1_3[[#This Row],[Country]],Table1_3[Product],Table1_3[[#This Row],[Product]],Table1_3[Sales Person],Table1_3[[#This Row],[Sales Person]],Table1_3[Amount],"&lt;=100")&gt;=2,"Contract","Deal")</f>
        <v>Deal</v>
      </c>
    </row>
    <row r="739" spans="1:7" x14ac:dyDescent="0.3">
      <c r="A739" t="s">
        <v>83</v>
      </c>
      <c r="B739" t="s">
        <v>25</v>
      </c>
      <c r="C739" t="s">
        <v>46</v>
      </c>
      <c r="D739">
        <v>5306.48</v>
      </c>
      <c r="E739">
        <v>128</v>
      </c>
      <c r="F739" s="1">
        <v>45521</v>
      </c>
      <c r="G739" t="str">
        <f>IF(COUNTIFS(Table1_3[Country],Table1_3[[#This Row],[Country]],Table1_3[Product],Table1_3[[#This Row],[Product]],Table1_3[Sales Person],Table1_3[[#This Row],[Sales Person]],Table1_3[Amount],"&lt;=100")&gt;=2,"Contract","Deal")</f>
        <v>Deal</v>
      </c>
    </row>
    <row r="740" spans="1:7" x14ac:dyDescent="0.3">
      <c r="A740" t="s">
        <v>83</v>
      </c>
      <c r="B740" t="s">
        <v>25</v>
      </c>
      <c r="C740" t="s">
        <v>8</v>
      </c>
      <c r="D740">
        <v>9058</v>
      </c>
      <c r="E740">
        <v>229</v>
      </c>
      <c r="F740" s="1">
        <v>44579</v>
      </c>
      <c r="G740" t="str">
        <f>IF(COUNTIFS(Table1_3[Country],Table1_3[[#This Row],[Country]],Table1_3[Product],Table1_3[[#This Row],[Product]],Table1_3[Sales Person],Table1_3[[#This Row],[Sales Person]],Table1_3[Amount],"&lt;=100")&gt;=2,"Contract","Deal")</f>
        <v>Deal</v>
      </c>
    </row>
    <row r="741" spans="1:7" x14ac:dyDescent="0.3">
      <c r="A741" t="s">
        <v>83</v>
      </c>
      <c r="B741" t="s">
        <v>25</v>
      </c>
      <c r="C741" t="s">
        <v>8</v>
      </c>
      <c r="D741">
        <v>9327.52</v>
      </c>
      <c r="E741">
        <v>232</v>
      </c>
      <c r="F741" s="1">
        <v>44944</v>
      </c>
      <c r="G741" t="str">
        <f>IF(COUNTIFS(Table1_3[Country],Table1_3[[#This Row],[Country]],Table1_3[Product],Table1_3[[#This Row],[Product]],Table1_3[Sales Person],Table1_3[[#This Row],[Sales Person]],Table1_3[Amount],"&lt;=100")&gt;=2,"Contract","Deal")</f>
        <v>Deal</v>
      </c>
    </row>
    <row r="742" spans="1:7" x14ac:dyDescent="0.3">
      <c r="A742" t="s">
        <v>83</v>
      </c>
      <c r="B742" t="s">
        <v>25</v>
      </c>
      <c r="C742" t="s">
        <v>8</v>
      </c>
      <c r="D742">
        <v>9471.7199999999993</v>
      </c>
      <c r="E742">
        <v>248</v>
      </c>
      <c r="F742" s="1">
        <v>45309</v>
      </c>
      <c r="G742" t="str">
        <f>IF(COUNTIFS(Table1_3[Country],Table1_3[[#This Row],[Country]],Table1_3[Product],Table1_3[[#This Row],[Product]],Table1_3[Sales Person],Table1_3[[#This Row],[Sales Person]],Table1_3[Amount],"&lt;=100")&gt;=2,"Contract","Deal")</f>
        <v>Deal</v>
      </c>
    </row>
    <row r="743" spans="1:7" x14ac:dyDescent="0.3">
      <c r="A743" t="s">
        <v>83</v>
      </c>
      <c r="B743" t="s">
        <v>25</v>
      </c>
      <c r="C743" t="s">
        <v>42</v>
      </c>
      <c r="D743">
        <v>7623</v>
      </c>
      <c r="E743">
        <v>85</v>
      </c>
      <c r="F743" s="1">
        <v>44757</v>
      </c>
      <c r="G743" t="str">
        <f>IF(COUNTIFS(Table1_3[Country],Table1_3[[#This Row],[Country]],Table1_3[Product],Table1_3[[#This Row],[Product]],Table1_3[Sales Person],Table1_3[[#This Row],[Sales Person]],Table1_3[Amount],"&lt;=100")&gt;=2,"Contract","Deal")</f>
        <v>Deal</v>
      </c>
    </row>
    <row r="744" spans="1:7" x14ac:dyDescent="0.3">
      <c r="A744" t="s">
        <v>83</v>
      </c>
      <c r="B744" t="s">
        <v>25</v>
      </c>
      <c r="C744" t="s">
        <v>42</v>
      </c>
      <c r="D744">
        <v>8047.16</v>
      </c>
      <c r="E744">
        <v>86</v>
      </c>
      <c r="F744" s="1">
        <v>45122</v>
      </c>
      <c r="G744" t="str">
        <f>IF(COUNTIFS(Table1_3[Country],Table1_3[[#This Row],[Country]],Table1_3[Product],Table1_3[[#This Row],[Product]],Table1_3[Sales Person],Table1_3[[#This Row],[Sales Person]],Table1_3[Amount],"&lt;=100")&gt;=2,"Contract","Deal")</f>
        <v>Deal</v>
      </c>
    </row>
    <row r="745" spans="1:7" x14ac:dyDescent="0.3">
      <c r="A745" t="s">
        <v>83</v>
      </c>
      <c r="B745" t="s">
        <v>25</v>
      </c>
      <c r="C745" t="s">
        <v>42</v>
      </c>
      <c r="D745">
        <v>8134.67</v>
      </c>
      <c r="E745">
        <v>83</v>
      </c>
      <c r="F745" s="1">
        <v>45488</v>
      </c>
      <c r="G745" t="str">
        <f>IF(COUNTIFS(Table1_3[Country],Table1_3[[#This Row],[Country]],Table1_3[Product],Table1_3[[#This Row],[Product]],Table1_3[Sales Person],Table1_3[[#This Row],[Sales Person]],Table1_3[Amount],"&lt;=100")&gt;=2,"Contract","Deal")</f>
        <v>Deal</v>
      </c>
    </row>
    <row r="746" spans="1:7" x14ac:dyDescent="0.3">
      <c r="A746" t="s">
        <v>83</v>
      </c>
      <c r="B746" t="s">
        <v>25</v>
      </c>
      <c r="C746" t="s">
        <v>13</v>
      </c>
      <c r="D746">
        <v>889</v>
      </c>
      <c r="E746">
        <v>273</v>
      </c>
      <c r="F746" s="1">
        <v>44624</v>
      </c>
      <c r="G746" t="str">
        <f>IF(COUNTIFS(Table1_3[Country],Table1_3[[#This Row],[Country]],Table1_3[Product],Table1_3[[#This Row],[Product]],Table1_3[Sales Person],Table1_3[[#This Row],[Sales Person]],Table1_3[Amount],"&lt;=100")&gt;=2,"Contract","Deal")</f>
        <v>Deal</v>
      </c>
    </row>
    <row r="747" spans="1:7" x14ac:dyDescent="0.3">
      <c r="A747" t="s">
        <v>83</v>
      </c>
      <c r="B747" t="s">
        <v>25</v>
      </c>
      <c r="C747" t="s">
        <v>13</v>
      </c>
      <c r="D747">
        <v>1024.77</v>
      </c>
      <c r="E747">
        <v>260</v>
      </c>
      <c r="F747" s="1">
        <v>44989</v>
      </c>
      <c r="G747" t="str">
        <f>IF(COUNTIFS(Table1_3[Country],Table1_3[[#This Row],[Country]],Table1_3[Product],Table1_3[[#This Row],[Product]],Table1_3[Sales Person],Table1_3[[#This Row],[Sales Person]],Table1_3[Amount],"&lt;=100")&gt;=2,"Contract","Deal")</f>
        <v>Deal</v>
      </c>
    </row>
    <row r="748" spans="1:7" x14ac:dyDescent="0.3">
      <c r="A748" t="s">
        <v>83</v>
      </c>
      <c r="B748" t="s">
        <v>25</v>
      </c>
      <c r="C748" t="s">
        <v>13</v>
      </c>
      <c r="D748">
        <v>1036.05</v>
      </c>
      <c r="E748">
        <v>291</v>
      </c>
      <c r="F748" s="1">
        <v>45355</v>
      </c>
      <c r="G748" t="str">
        <f>IF(COUNTIFS(Table1_3[Country],Table1_3[[#This Row],[Country]],Table1_3[Product],Table1_3[[#This Row],[Product]],Table1_3[Sales Person],Table1_3[[#This Row],[Sales Person]],Table1_3[Amount],"&lt;=100")&gt;=2,"Contract","Deal")</f>
        <v>Deal</v>
      </c>
    </row>
    <row r="749" spans="1:7" x14ac:dyDescent="0.3">
      <c r="A749" t="s">
        <v>83</v>
      </c>
      <c r="B749" t="s">
        <v>25</v>
      </c>
      <c r="C749" t="s">
        <v>50</v>
      </c>
      <c r="D749">
        <v>3556</v>
      </c>
      <c r="E749">
        <v>18</v>
      </c>
      <c r="F749" s="1">
        <v>44606</v>
      </c>
      <c r="G749" t="str">
        <f>IF(COUNTIFS(Table1_3[Country],Table1_3[[#This Row],[Country]],Table1_3[Product],Table1_3[[#This Row],[Product]],Table1_3[Sales Person],Table1_3[[#This Row],[Sales Person]],Table1_3[Amount],"&lt;=100")&gt;=2,"Contract","Deal")</f>
        <v>Deal</v>
      </c>
    </row>
    <row r="750" spans="1:7" x14ac:dyDescent="0.3">
      <c r="A750" t="s">
        <v>83</v>
      </c>
      <c r="B750" t="s">
        <v>25</v>
      </c>
      <c r="C750" t="s">
        <v>50</v>
      </c>
      <c r="D750">
        <v>4044.24</v>
      </c>
      <c r="E750">
        <v>18</v>
      </c>
      <c r="F750" s="1">
        <v>44971</v>
      </c>
      <c r="G750" t="str">
        <f>IF(COUNTIFS(Table1_3[Country],Table1_3[[#This Row],[Country]],Table1_3[Product],Table1_3[[#This Row],[Product]],Table1_3[Sales Person],Table1_3[[#This Row],[Sales Person]],Table1_3[Amount],"&lt;=100")&gt;=2,"Contract","Deal")</f>
        <v>Deal</v>
      </c>
    </row>
    <row r="751" spans="1:7" x14ac:dyDescent="0.3">
      <c r="A751" t="s">
        <v>83</v>
      </c>
      <c r="B751" t="s">
        <v>25</v>
      </c>
      <c r="C751" t="s">
        <v>50</v>
      </c>
      <c r="D751">
        <v>3873.98</v>
      </c>
      <c r="E751">
        <v>19</v>
      </c>
      <c r="F751" s="1">
        <v>45336</v>
      </c>
      <c r="G751" t="str">
        <f>IF(COUNTIFS(Table1_3[Country],Table1_3[[#This Row],[Country]],Table1_3[Product],Table1_3[[#This Row],[Product]],Table1_3[Sales Person],Table1_3[[#This Row],[Sales Person]],Table1_3[Amount],"&lt;=100")&gt;=2,"Contract","Deal")</f>
        <v>Deal</v>
      </c>
    </row>
    <row r="752" spans="1:7" x14ac:dyDescent="0.3">
      <c r="A752" t="s">
        <v>83</v>
      </c>
      <c r="B752" t="s">
        <v>7</v>
      </c>
      <c r="C752" t="s">
        <v>11</v>
      </c>
      <c r="D752">
        <v>14924</v>
      </c>
      <c r="E752">
        <v>12</v>
      </c>
      <c r="F752" s="1">
        <v>44740</v>
      </c>
      <c r="G752" t="str">
        <f>IF(COUNTIFS(Table1_3[Country],Table1_3[[#This Row],[Country]],Table1_3[Product],Table1_3[[#This Row],[Product]],Table1_3[Sales Person],Table1_3[[#This Row],[Sales Person]],Table1_3[Amount],"&lt;=100")&gt;=2,"Contract","Deal")</f>
        <v>Deal</v>
      </c>
    </row>
    <row r="753" spans="1:7" x14ac:dyDescent="0.3">
      <c r="A753" t="s">
        <v>83</v>
      </c>
      <c r="B753" t="s">
        <v>7</v>
      </c>
      <c r="C753" t="s">
        <v>11</v>
      </c>
      <c r="D753">
        <v>15944.86</v>
      </c>
      <c r="E753">
        <v>11</v>
      </c>
      <c r="F753" s="1">
        <v>45105</v>
      </c>
      <c r="G753" t="str">
        <f>IF(COUNTIFS(Table1_3[Country],Table1_3[[#This Row],[Country]],Table1_3[Product],Table1_3[[#This Row],[Product]],Table1_3[Sales Person],Table1_3[[#This Row],[Sales Person]],Table1_3[Amount],"&lt;=100")&gt;=2,"Contract","Deal")</f>
        <v>Deal</v>
      </c>
    </row>
    <row r="754" spans="1:7" x14ac:dyDescent="0.3">
      <c r="A754" t="s">
        <v>83</v>
      </c>
      <c r="B754" t="s">
        <v>7</v>
      </c>
      <c r="C754" t="s">
        <v>11</v>
      </c>
      <c r="D754">
        <v>17237.669999999998</v>
      </c>
      <c r="E754">
        <v>13</v>
      </c>
      <c r="F754" s="1">
        <v>45471</v>
      </c>
      <c r="G754" t="str">
        <f>IF(COUNTIFS(Table1_3[Country],Table1_3[[#This Row],[Country]],Table1_3[Product],Table1_3[[#This Row],[Product]],Table1_3[Sales Person],Table1_3[[#This Row],[Sales Person]],Table1_3[Amount],"&lt;=100")&gt;=2,"Contract","Deal")</f>
        <v>Deal</v>
      </c>
    </row>
    <row r="755" spans="1:7" x14ac:dyDescent="0.3">
      <c r="A755" t="s">
        <v>83</v>
      </c>
      <c r="B755" t="s">
        <v>7</v>
      </c>
      <c r="C755" t="s">
        <v>90</v>
      </c>
      <c r="D755">
        <v>2926</v>
      </c>
      <c r="E755">
        <v>300</v>
      </c>
      <c r="F755" s="1">
        <v>44714</v>
      </c>
      <c r="G755" t="str">
        <f>IF(COUNTIFS(Table1_3[Country],Table1_3[[#This Row],[Country]],Table1_3[Product],Table1_3[[#This Row],[Product]],Table1_3[Sales Person],Table1_3[[#This Row],[Sales Person]],Table1_3[Amount],"&lt;=100")&gt;=2,"Contract","Deal")</f>
        <v>Deal</v>
      </c>
    </row>
    <row r="756" spans="1:7" x14ac:dyDescent="0.3">
      <c r="A756" t="s">
        <v>83</v>
      </c>
      <c r="B756" t="s">
        <v>7</v>
      </c>
      <c r="C756" t="s">
        <v>90</v>
      </c>
      <c r="D756">
        <v>3032.3</v>
      </c>
      <c r="E756">
        <v>313</v>
      </c>
      <c r="F756" s="1">
        <v>45079</v>
      </c>
      <c r="G756" t="str">
        <f>IF(COUNTIFS(Table1_3[Country],Table1_3[[#This Row],[Country]],Table1_3[Product],Table1_3[[#This Row],[Product]],Table1_3[Sales Person],Table1_3[[#This Row],[Sales Person]],Table1_3[Amount],"&lt;=100")&gt;=2,"Contract","Deal")</f>
        <v>Deal</v>
      </c>
    </row>
    <row r="757" spans="1:7" x14ac:dyDescent="0.3">
      <c r="A757" t="s">
        <v>83</v>
      </c>
      <c r="B757" t="s">
        <v>7</v>
      </c>
      <c r="C757" t="s">
        <v>90</v>
      </c>
      <c r="D757">
        <v>3063.08</v>
      </c>
      <c r="E757">
        <v>301</v>
      </c>
      <c r="F757" s="1">
        <v>45445</v>
      </c>
      <c r="G757" t="str">
        <f>IF(COUNTIFS(Table1_3[Country],Table1_3[[#This Row],[Country]],Table1_3[Product],Table1_3[[#This Row],[Product]],Table1_3[Sales Person],Table1_3[[#This Row],[Sales Person]],Table1_3[Amount],"&lt;=100")&gt;=2,"Contract","Deal")</f>
        <v>Deal</v>
      </c>
    </row>
    <row r="758" spans="1:7" x14ac:dyDescent="0.3">
      <c r="A758" t="s">
        <v>83</v>
      </c>
      <c r="B758" t="s">
        <v>7</v>
      </c>
      <c r="C758" t="s">
        <v>75</v>
      </c>
      <c r="D758">
        <v>1687</v>
      </c>
      <c r="E758">
        <v>236</v>
      </c>
      <c r="F758" s="1">
        <v>44719</v>
      </c>
      <c r="G758" t="str">
        <f>IF(COUNTIFS(Table1_3[Country],Table1_3[[#This Row],[Country]],Table1_3[Product],Table1_3[[#This Row],[Product]],Table1_3[Sales Person],Table1_3[[#This Row],[Sales Person]],Table1_3[Amount],"&lt;=100")&gt;=2,"Contract","Deal")</f>
        <v>Deal</v>
      </c>
    </row>
    <row r="759" spans="1:7" x14ac:dyDescent="0.3">
      <c r="A759" t="s">
        <v>83</v>
      </c>
      <c r="B759" t="s">
        <v>7</v>
      </c>
      <c r="C759" t="s">
        <v>75</v>
      </c>
      <c r="D759">
        <v>1933.56</v>
      </c>
      <c r="E759">
        <v>239</v>
      </c>
      <c r="F759" s="1">
        <v>45084</v>
      </c>
      <c r="G759" t="str">
        <f>IF(COUNTIFS(Table1_3[Country],Table1_3[[#This Row],[Country]],Table1_3[Product],Table1_3[[#This Row],[Product]],Table1_3[Sales Person],Table1_3[[#This Row],[Sales Person]],Table1_3[Amount],"&lt;=100")&gt;=2,"Contract","Deal")</f>
        <v>Deal</v>
      </c>
    </row>
    <row r="760" spans="1:7" x14ac:dyDescent="0.3">
      <c r="A760" t="s">
        <v>83</v>
      </c>
      <c r="B760" t="s">
        <v>7</v>
      </c>
      <c r="C760" t="s">
        <v>75</v>
      </c>
      <c r="D760">
        <v>2012.27</v>
      </c>
      <c r="E760">
        <v>259</v>
      </c>
      <c r="F760" s="1">
        <v>45450</v>
      </c>
      <c r="G760" t="str">
        <f>IF(COUNTIFS(Table1_3[Country],Table1_3[[#This Row],[Country]],Table1_3[Product],Table1_3[[#This Row],[Product]],Table1_3[Sales Person],Table1_3[[#This Row],[Sales Person]],Table1_3[Amount],"&lt;=100")&gt;=2,"Contract","Deal")</f>
        <v>Deal</v>
      </c>
    </row>
    <row r="761" spans="1:7" x14ac:dyDescent="0.3">
      <c r="A761" t="s">
        <v>83</v>
      </c>
      <c r="B761" t="s">
        <v>7</v>
      </c>
      <c r="C761" t="s">
        <v>60</v>
      </c>
      <c r="D761">
        <v>4221</v>
      </c>
      <c r="E761">
        <v>395</v>
      </c>
      <c r="F761" s="1">
        <v>44711</v>
      </c>
      <c r="G761" t="str">
        <f>IF(COUNTIFS(Table1_3[Country],Table1_3[[#This Row],[Country]],Table1_3[Product],Table1_3[[#This Row],[Product]],Table1_3[Sales Person],Table1_3[[#This Row],[Sales Person]],Table1_3[Amount],"&lt;=100")&gt;=2,"Contract","Deal")</f>
        <v>Deal</v>
      </c>
    </row>
    <row r="762" spans="1:7" x14ac:dyDescent="0.3">
      <c r="A762" t="s">
        <v>83</v>
      </c>
      <c r="B762" t="s">
        <v>7</v>
      </c>
      <c r="C762" t="s">
        <v>60</v>
      </c>
      <c r="D762">
        <v>4854.12</v>
      </c>
      <c r="E762">
        <v>411</v>
      </c>
      <c r="F762" s="1">
        <v>45076</v>
      </c>
      <c r="G762" t="str">
        <f>IF(COUNTIFS(Table1_3[Country],Table1_3[[#This Row],[Country]],Table1_3[Product],Table1_3[[#This Row],[Product]],Table1_3[Sales Person],Table1_3[[#This Row],[Sales Person]],Table1_3[Amount],"&lt;=100")&gt;=2,"Contract","Deal")</f>
        <v>Deal</v>
      </c>
    </row>
    <row r="763" spans="1:7" x14ac:dyDescent="0.3">
      <c r="A763" t="s">
        <v>83</v>
      </c>
      <c r="B763" t="s">
        <v>7</v>
      </c>
      <c r="C763" t="s">
        <v>60</v>
      </c>
      <c r="D763">
        <v>4761.38</v>
      </c>
      <c r="E763">
        <v>406</v>
      </c>
      <c r="F763" s="1">
        <v>45442</v>
      </c>
      <c r="G763" t="str">
        <f>IF(COUNTIFS(Table1_3[Country],Table1_3[[#This Row],[Country]],Table1_3[Product],Table1_3[[#This Row],[Product]],Table1_3[Sales Person],Table1_3[[#This Row],[Sales Person]],Table1_3[Amount],"&lt;=100")&gt;=2,"Contract","Deal")</f>
        <v>Deal</v>
      </c>
    </row>
    <row r="764" spans="1:7" x14ac:dyDescent="0.3">
      <c r="A764" t="s">
        <v>83</v>
      </c>
      <c r="B764" t="s">
        <v>7</v>
      </c>
      <c r="C764" t="s">
        <v>8</v>
      </c>
      <c r="D764">
        <v>2688</v>
      </c>
      <c r="E764">
        <v>209</v>
      </c>
      <c r="F764" s="1">
        <v>44659</v>
      </c>
      <c r="G764" t="str">
        <f>IF(COUNTIFS(Table1_3[Country],Table1_3[[#This Row],[Country]],Table1_3[Product],Table1_3[[#This Row],[Product]],Table1_3[Sales Person],Table1_3[[#This Row],[Sales Person]],Table1_3[Amount],"&lt;=100")&gt;=2,"Contract","Deal")</f>
        <v>Deal</v>
      </c>
    </row>
    <row r="765" spans="1:7" x14ac:dyDescent="0.3">
      <c r="A765" t="s">
        <v>83</v>
      </c>
      <c r="B765" t="s">
        <v>7</v>
      </c>
      <c r="C765" t="s">
        <v>8</v>
      </c>
      <c r="D765">
        <v>3088.98</v>
      </c>
      <c r="E765">
        <v>226</v>
      </c>
      <c r="F765" s="1">
        <v>45024</v>
      </c>
      <c r="G765" t="str">
        <f>IF(COUNTIFS(Table1_3[Country],Table1_3[[#This Row],[Country]],Table1_3[Product],Table1_3[[#This Row],[Product]],Table1_3[Sales Person],Table1_3[[#This Row],[Sales Person]],Table1_3[Amount],"&lt;=100")&gt;=2,"Contract","Deal")</f>
        <v>Deal</v>
      </c>
    </row>
    <row r="766" spans="1:7" x14ac:dyDescent="0.3">
      <c r="A766" t="s">
        <v>83</v>
      </c>
      <c r="B766" t="s">
        <v>7</v>
      </c>
      <c r="C766" t="s">
        <v>8</v>
      </c>
      <c r="D766">
        <v>2984.4</v>
      </c>
      <c r="E766">
        <v>214</v>
      </c>
      <c r="F766" s="1">
        <v>45390</v>
      </c>
      <c r="G766" t="str">
        <f>IF(COUNTIFS(Table1_3[Country],Table1_3[[#This Row],[Country]],Table1_3[Product],Table1_3[[#This Row],[Product]],Table1_3[Sales Person],Table1_3[[#This Row],[Sales Person]],Table1_3[Amount],"&lt;=100")&gt;=2,"Contract","Deal")</f>
        <v>Deal</v>
      </c>
    </row>
    <row r="767" spans="1:7" x14ac:dyDescent="0.3">
      <c r="A767" t="s">
        <v>83</v>
      </c>
      <c r="B767" t="s">
        <v>7</v>
      </c>
      <c r="C767" t="s">
        <v>33</v>
      </c>
      <c r="D767">
        <v>14238</v>
      </c>
      <c r="E767">
        <v>54</v>
      </c>
      <c r="F767" s="1">
        <v>44678</v>
      </c>
      <c r="G767" t="str">
        <f>IF(COUNTIFS(Table1_3[Country],Table1_3[[#This Row],[Country]],Table1_3[Product],Table1_3[[#This Row],[Product]],Table1_3[Sales Person],Table1_3[[#This Row],[Sales Person]],Table1_3[Amount],"&lt;=100")&gt;=2,"Contract","Deal")</f>
        <v>Deal</v>
      </c>
    </row>
    <row r="768" spans="1:7" x14ac:dyDescent="0.3">
      <c r="A768" t="s">
        <v>83</v>
      </c>
      <c r="B768" t="s">
        <v>7</v>
      </c>
      <c r="C768" t="s">
        <v>33</v>
      </c>
      <c r="D768">
        <v>14953.83</v>
      </c>
      <c r="E768">
        <v>53</v>
      </c>
      <c r="F768" s="1">
        <v>45043</v>
      </c>
      <c r="G768" t="str">
        <f>IF(COUNTIFS(Table1_3[Country],Table1_3[[#This Row],[Country]],Table1_3[Product],Table1_3[[#This Row],[Product]],Table1_3[Sales Person],Table1_3[[#This Row],[Sales Person]],Table1_3[Amount],"&lt;=100")&gt;=2,"Contract","Deal")</f>
        <v>Deal</v>
      </c>
    </row>
    <row r="769" spans="1:7" x14ac:dyDescent="0.3">
      <c r="A769" t="s">
        <v>83</v>
      </c>
      <c r="B769" t="s">
        <v>7</v>
      </c>
      <c r="C769" t="s">
        <v>33</v>
      </c>
      <c r="D769">
        <v>15365.78</v>
      </c>
      <c r="E769">
        <v>57</v>
      </c>
      <c r="F769" s="1">
        <v>45409</v>
      </c>
      <c r="G769" t="str">
        <f>IF(COUNTIFS(Table1_3[Country],Table1_3[[#This Row],[Country]],Table1_3[Product],Table1_3[[#This Row],[Product]],Table1_3[Sales Person],Table1_3[[#This Row],[Sales Person]],Table1_3[Amount],"&lt;=100")&gt;=2,"Contract","Deal")</f>
        <v>Deal</v>
      </c>
    </row>
    <row r="770" spans="1:7" x14ac:dyDescent="0.3">
      <c r="A770" t="s">
        <v>83</v>
      </c>
      <c r="B770" t="s">
        <v>7</v>
      </c>
      <c r="C770" t="s">
        <v>13</v>
      </c>
      <c r="D770">
        <v>2156</v>
      </c>
      <c r="E770">
        <v>260</v>
      </c>
      <c r="F770" s="1">
        <v>44666</v>
      </c>
      <c r="G770" t="str">
        <f>IF(COUNTIFS(Table1_3[Country],Table1_3[[#This Row],[Country]],Table1_3[Product],Table1_3[[#This Row],[Product]],Table1_3[Sales Person],Table1_3[[#This Row],[Sales Person]],Table1_3[Amount],"&lt;=100")&gt;=2,"Contract","Deal")</f>
        <v>Deal</v>
      </c>
    </row>
    <row r="771" spans="1:7" x14ac:dyDescent="0.3">
      <c r="A771" t="s">
        <v>83</v>
      </c>
      <c r="B771" t="s">
        <v>7</v>
      </c>
      <c r="C771" t="s">
        <v>13</v>
      </c>
      <c r="D771">
        <v>2362.0100000000002</v>
      </c>
      <c r="E771">
        <v>272</v>
      </c>
      <c r="F771" s="1">
        <v>45031</v>
      </c>
      <c r="G771" t="str">
        <f>IF(COUNTIFS(Table1_3[Country],Table1_3[[#This Row],[Country]],Table1_3[Product],Table1_3[[#This Row],[Product]],Table1_3[Sales Person],Table1_3[[#This Row],[Sales Person]],Table1_3[Amount],"&lt;=100")&gt;=2,"Contract","Deal")</f>
        <v>Deal</v>
      </c>
    </row>
    <row r="772" spans="1:7" x14ac:dyDescent="0.3">
      <c r="A772" t="s">
        <v>83</v>
      </c>
      <c r="B772" t="s">
        <v>7</v>
      </c>
      <c r="C772" t="s">
        <v>13</v>
      </c>
      <c r="D772">
        <v>2348.1999999999998</v>
      </c>
      <c r="E772">
        <v>266</v>
      </c>
      <c r="F772" s="1">
        <v>45397</v>
      </c>
      <c r="G772" t="str">
        <f>IF(COUNTIFS(Table1_3[Country],Table1_3[[#This Row],[Country]],Table1_3[Product],Table1_3[[#This Row],[Product]],Table1_3[Sales Person],Table1_3[[#This Row],[Sales Person]],Table1_3[Amount],"&lt;=100")&gt;=2,"Contract","Deal")</f>
        <v>Deal</v>
      </c>
    </row>
    <row r="773" spans="1:7" x14ac:dyDescent="0.3">
      <c r="A773" t="s">
        <v>83</v>
      </c>
      <c r="B773" t="s">
        <v>7</v>
      </c>
      <c r="C773" t="s">
        <v>18</v>
      </c>
      <c r="D773">
        <v>5663</v>
      </c>
      <c r="E773">
        <v>110</v>
      </c>
      <c r="F773" s="1">
        <v>44753</v>
      </c>
      <c r="G773" t="str">
        <f>IF(COUNTIFS(Table1_3[Country],Table1_3[[#This Row],[Country]],Table1_3[Product],Table1_3[[#This Row],[Product]],Table1_3[Sales Person],Table1_3[[#This Row],[Sales Person]],Table1_3[Amount],"&lt;=100")&gt;=2,"Contract","Deal")</f>
        <v>Deal</v>
      </c>
    </row>
    <row r="774" spans="1:7" x14ac:dyDescent="0.3">
      <c r="A774" t="s">
        <v>83</v>
      </c>
      <c r="B774" t="s">
        <v>7</v>
      </c>
      <c r="C774" t="s">
        <v>18</v>
      </c>
      <c r="D774">
        <v>5828.22</v>
      </c>
      <c r="E774">
        <v>121</v>
      </c>
      <c r="F774" s="1">
        <v>45118</v>
      </c>
      <c r="G774" t="str">
        <f>IF(COUNTIFS(Table1_3[Country],Table1_3[[#This Row],[Country]],Table1_3[Product],Table1_3[[#This Row],[Product]],Table1_3[Sales Person],Table1_3[[#This Row],[Sales Person]],Table1_3[Amount],"&lt;=100")&gt;=2,"Contract","Deal")</f>
        <v>Deal</v>
      </c>
    </row>
    <row r="775" spans="1:7" x14ac:dyDescent="0.3">
      <c r="A775" t="s">
        <v>83</v>
      </c>
      <c r="B775" t="s">
        <v>7</v>
      </c>
      <c r="C775" t="s">
        <v>18</v>
      </c>
      <c r="D775">
        <v>6503.75</v>
      </c>
      <c r="E775">
        <v>116</v>
      </c>
      <c r="F775" s="1">
        <v>45484</v>
      </c>
      <c r="G775" t="str">
        <f>IF(COUNTIFS(Table1_3[Country],Table1_3[[#This Row],[Country]],Table1_3[Product],Table1_3[[#This Row],[Product]],Table1_3[Sales Person],Table1_3[[#This Row],[Sales Person]],Table1_3[Amount],"&lt;=100")&gt;=2,"Contract","Deal")</f>
        <v>Deal</v>
      </c>
    </row>
    <row r="776" spans="1:7" x14ac:dyDescent="0.3">
      <c r="A776" t="s">
        <v>83</v>
      </c>
      <c r="B776" t="s">
        <v>7</v>
      </c>
      <c r="C776" t="s">
        <v>59</v>
      </c>
      <c r="D776">
        <v>3269</v>
      </c>
      <c r="E776">
        <v>226</v>
      </c>
      <c r="F776" s="1">
        <v>44564</v>
      </c>
      <c r="G776" t="str">
        <f>IF(COUNTIFS(Table1_3[Country],Table1_3[[#This Row],[Country]],Table1_3[Product],Table1_3[[#This Row],[Product]],Table1_3[Sales Person],Table1_3[[#This Row],[Sales Person]],Table1_3[Amount],"&lt;=100")&gt;=2,"Contract","Deal")</f>
        <v>Deal</v>
      </c>
    </row>
    <row r="777" spans="1:7" x14ac:dyDescent="0.3">
      <c r="A777" t="s">
        <v>83</v>
      </c>
      <c r="B777" t="s">
        <v>7</v>
      </c>
      <c r="C777" t="s">
        <v>59</v>
      </c>
      <c r="D777">
        <v>3730.79</v>
      </c>
      <c r="E777">
        <v>237</v>
      </c>
      <c r="F777" s="1">
        <v>44929</v>
      </c>
      <c r="G777" t="str">
        <f>IF(COUNTIFS(Table1_3[Country],Table1_3[[#This Row],[Country]],Table1_3[Product],Table1_3[[#This Row],[Product]],Table1_3[Sales Person],Table1_3[[#This Row],[Sales Person]],Table1_3[Amount],"&lt;=100")&gt;=2,"Contract","Deal")</f>
        <v>Deal</v>
      </c>
    </row>
    <row r="778" spans="1:7" x14ac:dyDescent="0.3">
      <c r="A778" t="s">
        <v>83</v>
      </c>
      <c r="B778" t="s">
        <v>7</v>
      </c>
      <c r="C778" t="s">
        <v>59</v>
      </c>
      <c r="D778">
        <v>3814.56</v>
      </c>
      <c r="E778">
        <v>220</v>
      </c>
      <c r="F778" s="1">
        <v>45294</v>
      </c>
      <c r="G778" t="str">
        <f>IF(COUNTIFS(Table1_3[Country],Table1_3[[#This Row],[Country]],Table1_3[Product],Table1_3[[#This Row],[Product]],Table1_3[Sales Person],Table1_3[[#This Row],[Sales Person]],Table1_3[Amount],"&lt;=100")&gt;=2,"Contract","Deal")</f>
        <v>Deal</v>
      </c>
    </row>
    <row r="779" spans="1:7" x14ac:dyDescent="0.3">
      <c r="A779" t="s">
        <v>83</v>
      </c>
      <c r="B779" t="s">
        <v>32</v>
      </c>
      <c r="C779" t="s">
        <v>100</v>
      </c>
      <c r="D779">
        <v>4571</v>
      </c>
      <c r="E779">
        <v>122</v>
      </c>
      <c r="F779" s="1">
        <v>44692</v>
      </c>
      <c r="G779" t="str">
        <f>IF(COUNTIFS(Table1_3[Country],Table1_3[[#This Row],[Country]],Table1_3[Product],Table1_3[[#This Row],[Product]],Table1_3[Sales Person],Table1_3[[#This Row],[Sales Person]],Table1_3[Amount],"&lt;=100")&gt;=2,"Contract","Deal")</f>
        <v>Deal</v>
      </c>
    </row>
    <row r="780" spans="1:7" x14ac:dyDescent="0.3">
      <c r="A780" t="s">
        <v>83</v>
      </c>
      <c r="B780" t="s">
        <v>32</v>
      </c>
      <c r="C780" t="s">
        <v>100</v>
      </c>
      <c r="D780">
        <v>5054.42</v>
      </c>
      <c r="E780">
        <v>127</v>
      </c>
      <c r="F780" s="1">
        <v>45057</v>
      </c>
      <c r="G780" t="str">
        <f>IF(COUNTIFS(Table1_3[Country],Table1_3[[#This Row],[Country]],Table1_3[Product],Table1_3[[#This Row],[Product]],Table1_3[Sales Person],Table1_3[[#This Row],[Sales Person]],Table1_3[Amount],"&lt;=100")&gt;=2,"Contract","Deal")</f>
        <v>Deal</v>
      </c>
    </row>
    <row r="781" spans="1:7" x14ac:dyDescent="0.3">
      <c r="A781" t="s">
        <v>83</v>
      </c>
      <c r="B781" t="s">
        <v>32</v>
      </c>
      <c r="C781" t="s">
        <v>100</v>
      </c>
      <c r="D781">
        <v>4778.3599999999997</v>
      </c>
      <c r="E781">
        <v>124</v>
      </c>
      <c r="F781" s="1">
        <v>45423</v>
      </c>
      <c r="G781" t="str">
        <f>IF(COUNTIFS(Table1_3[Country],Table1_3[[#This Row],[Country]],Table1_3[Product],Table1_3[[#This Row],[Product]],Table1_3[Sales Person],Table1_3[[#This Row],[Sales Person]],Table1_3[Amount],"&lt;=100")&gt;=2,"Contract","Deal")</f>
        <v>Deal</v>
      </c>
    </row>
    <row r="782" spans="1:7" x14ac:dyDescent="0.3">
      <c r="A782" t="s">
        <v>83</v>
      </c>
      <c r="B782" t="s">
        <v>32</v>
      </c>
      <c r="C782" t="s">
        <v>75</v>
      </c>
      <c r="D782">
        <v>14525</v>
      </c>
      <c r="E782">
        <v>92</v>
      </c>
      <c r="F782" s="1">
        <v>44565</v>
      </c>
      <c r="G782" t="str">
        <f>IF(COUNTIFS(Table1_3[Country],Table1_3[[#This Row],[Country]],Table1_3[Product],Table1_3[[#This Row],[Product]],Table1_3[Sales Person],Table1_3[[#This Row],[Sales Person]],Table1_3[Amount],"&lt;=100")&gt;=2,"Contract","Deal")</f>
        <v>Deal</v>
      </c>
    </row>
    <row r="783" spans="1:7" x14ac:dyDescent="0.3">
      <c r="A783" t="s">
        <v>83</v>
      </c>
      <c r="B783" t="s">
        <v>32</v>
      </c>
      <c r="C783" t="s">
        <v>75</v>
      </c>
      <c r="D783">
        <v>16240.71</v>
      </c>
      <c r="E783">
        <v>93</v>
      </c>
      <c r="F783" s="1">
        <v>44930</v>
      </c>
      <c r="G783" t="str">
        <f>IF(COUNTIFS(Table1_3[Country],Table1_3[[#This Row],[Country]],Table1_3[Product],Table1_3[[#This Row],[Product]],Table1_3[Sales Person],Table1_3[[#This Row],[Sales Person]],Table1_3[Amount],"&lt;=100")&gt;=2,"Contract","Deal")</f>
        <v>Deal</v>
      </c>
    </row>
    <row r="784" spans="1:7" x14ac:dyDescent="0.3">
      <c r="A784" t="s">
        <v>83</v>
      </c>
      <c r="B784" t="s">
        <v>32</v>
      </c>
      <c r="C784" t="s">
        <v>75</v>
      </c>
      <c r="D784">
        <v>15629.82</v>
      </c>
      <c r="E784">
        <v>89</v>
      </c>
      <c r="F784" s="1">
        <v>45295</v>
      </c>
      <c r="G784" t="str">
        <f>IF(COUNTIFS(Table1_3[Country],Table1_3[[#This Row],[Country]],Table1_3[Product],Table1_3[[#This Row],[Product]],Table1_3[Sales Person],Table1_3[[#This Row],[Sales Person]],Table1_3[Amount],"&lt;=100")&gt;=2,"Contract","Deal")</f>
        <v>Deal</v>
      </c>
    </row>
    <row r="785" spans="1:7" x14ac:dyDescent="0.3">
      <c r="A785" t="s">
        <v>83</v>
      </c>
      <c r="B785" t="s">
        <v>32</v>
      </c>
      <c r="C785" t="s">
        <v>46</v>
      </c>
      <c r="D785">
        <v>2408</v>
      </c>
      <c r="E785">
        <v>157</v>
      </c>
      <c r="F785" s="1">
        <v>44763</v>
      </c>
      <c r="G785" t="str">
        <f>IF(COUNTIFS(Table1_3[Country],Table1_3[[#This Row],[Country]],Table1_3[Product],Table1_3[[#This Row],[Product]],Table1_3[Sales Person],Table1_3[[#This Row],[Sales Person]],Table1_3[Amount],"&lt;=100")&gt;=2,"Contract","Deal")</f>
        <v>Deal</v>
      </c>
    </row>
    <row r="786" spans="1:7" x14ac:dyDescent="0.3">
      <c r="A786" t="s">
        <v>83</v>
      </c>
      <c r="B786" t="s">
        <v>32</v>
      </c>
      <c r="C786" t="s">
        <v>46</v>
      </c>
      <c r="D786">
        <v>2444.25</v>
      </c>
      <c r="E786">
        <v>155</v>
      </c>
      <c r="F786" s="1">
        <v>45128</v>
      </c>
      <c r="G786" t="str">
        <f>IF(COUNTIFS(Table1_3[Country],Table1_3[[#This Row],[Country]],Table1_3[Product],Table1_3[[#This Row],[Product]],Table1_3[Sales Person],Table1_3[[#This Row],[Sales Person]],Table1_3[Amount],"&lt;=100")&gt;=2,"Contract","Deal")</f>
        <v>Deal</v>
      </c>
    </row>
    <row r="787" spans="1:7" x14ac:dyDescent="0.3">
      <c r="A787" t="s">
        <v>83</v>
      </c>
      <c r="B787" t="s">
        <v>32</v>
      </c>
      <c r="C787" t="s">
        <v>46</v>
      </c>
      <c r="D787">
        <v>2770.47</v>
      </c>
      <c r="E787">
        <v>159</v>
      </c>
      <c r="F787" s="1">
        <v>45494</v>
      </c>
      <c r="G787" t="str">
        <f>IF(COUNTIFS(Table1_3[Country],Table1_3[[#This Row],[Country]],Table1_3[Product],Table1_3[[#This Row],[Product]],Table1_3[Sales Person],Table1_3[[#This Row],[Sales Person]],Table1_3[Amount],"&lt;=100")&gt;=2,"Contract","Deal")</f>
        <v>Deal</v>
      </c>
    </row>
    <row r="788" spans="1:7" x14ac:dyDescent="0.3">
      <c r="A788" t="s">
        <v>83</v>
      </c>
      <c r="B788" t="s">
        <v>32</v>
      </c>
      <c r="C788" t="s">
        <v>33</v>
      </c>
      <c r="D788">
        <v>1743</v>
      </c>
      <c r="E788">
        <v>69</v>
      </c>
      <c r="F788" s="1">
        <v>44722</v>
      </c>
      <c r="G788" t="str">
        <f>IF(COUNTIFS(Table1_3[Country],Table1_3[[#This Row],[Country]],Table1_3[Product],Table1_3[[#This Row],[Product]],Table1_3[Sales Person],Table1_3[[#This Row],[Sales Person]],Table1_3[Amount],"&lt;=100")&gt;=2,"Contract","Deal")</f>
        <v>Deal</v>
      </c>
    </row>
    <row r="789" spans="1:7" x14ac:dyDescent="0.3">
      <c r="A789" t="s">
        <v>83</v>
      </c>
      <c r="B789" t="s">
        <v>32</v>
      </c>
      <c r="C789" t="s">
        <v>33</v>
      </c>
      <c r="D789">
        <v>1835.22</v>
      </c>
      <c r="E789">
        <v>73</v>
      </c>
      <c r="F789" s="1">
        <v>45087</v>
      </c>
      <c r="G789" t="str">
        <f>IF(COUNTIFS(Table1_3[Country],Table1_3[[#This Row],[Country]],Table1_3[Product],Table1_3[[#This Row],[Product]],Table1_3[Sales Person],Table1_3[[#This Row],[Sales Person]],Table1_3[Amount],"&lt;=100")&gt;=2,"Contract","Deal")</f>
        <v>Deal</v>
      </c>
    </row>
    <row r="790" spans="1:7" x14ac:dyDescent="0.3">
      <c r="A790" t="s">
        <v>83</v>
      </c>
      <c r="B790" t="s">
        <v>32</v>
      </c>
      <c r="C790" t="s">
        <v>33</v>
      </c>
      <c r="D790">
        <v>1860.29</v>
      </c>
      <c r="E790">
        <v>71</v>
      </c>
      <c r="F790" s="1">
        <v>45453</v>
      </c>
      <c r="G790" t="str">
        <f>IF(COUNTIFS(Table1_3[Country],Table1_3[[#This Row],[Country]],Table1_3[Product],Table1_3[[#This Row],[Product]],Table1_3[Sales Person],Table1_3[[#This Row],[Sales Person]],Table1_3[Amount],"&lt;=100")&gt;=2,"Contract","Deal")</f>
        <v>Deal</v>
      </c>
    </row>
    <row r="791" spans="1:7" x14ac:dyDescent="0.3">
      <c r="A791" t="s">
        <v>83</v>
      </c>
      <c r="B791" t="s">
        <v>32</v>
      </c>
      <c r="C791" t="s">
        <v>42</v>
      </c>
      <c r="D791">
        <v>7721</v>
      </c>
      <c r="E791">
        <v>14</v>
      </c>
      <c r="F791" s="1">
        <v>44770</v>
      </c>
      <c r="G791" t="str">
        <f>IF(COUNTIFS(Table1_3[Country],Table1_3[[#This Row],[Country]],Table1_3[Product],Table1_3[[#This Row],[Product]],Table1_3[Sales Person],Table1_3[[#This Row],[Sales Person]],Table1_3[Amount],"&lt;=100")&gt;=2,"Contract","Deal")</f>
        <v>Deal</v>
      </c>
    </row>
    <row r="792" spans="1:7" x14ac:dyDescent="0.3">
      <c r="A792" t="s">
        <v>83</v>
      </c>
      <c r="B792" t="s">
        <v>32</v>
      </c>
      <c r="C792" t="s">
        <v>42</v>
      </c>
      <c r="D792">
        <v>7874.15</v>
      </c>
      <c r="E792">
        <v>13</v>
      </c>
      <c r="F792" s="1">
        <v>45135</v>
      </c>
      <c r="G792" t="str">
        <f>IF(COUNTIFS(Table1_3[Country],Table1_3[[#This Row],[Country]],Table1_3[Product],Table1_3[[#This Row],[Product]],Table1_3[Sales Person],Table1_3[[#This Row],[Sales Person]],Table1_3[Amount],"&lt;=100")&gt;=2,"Contract","Deal")</f>
        <v>Deal</v>
      </c>
    </row>
    <row r="793" spans="1:7" x14ac:dyDescent="0.3">
      <c r="A793" t="s">
        <v>83</v>
      </c>
      <c r="B793" t="s">
        <v>32</v>
      </c>
      <c r="C793" t="s">
        <v>42</v>
      </c>
      <c r="D793">
        <v>8754.31</v>
      </c>
      <c r="E793">
        <v>14</v>
      </c>
      <c r="F793" s="1">
        <v>45501</v>
      </c>
      <c r="G793" t="str">
        <f>IF(COUNTIFS(Table1_3[Country],Table1_3[[#This Row],[Country]],Table1_3[Product],Table1_3[[#This Row],[Product]],Table1_3[Sales Person],Table1_3[[#This Row],[Sales Person]],Table1_3[Amount],"&lt;=100")&gt;=2,"Contract","Deal")</f>
        <v>Deal</v>
      </c>
    </row>
    <row r="794" spans="1:7" x14ac:dyDescent="0.3">
      <c r="A794" t="s">
        <v>83</v>
      </c>
      <c r="B794" t="s">
        <v>32</v>
      </c>
      <c r="C794" t="s">
        <v>59</v>
      </c>
      <c r="D794">
        <v>5271</v>
      </c>
      <c r="E794">
        <v>341</v>
      </c>
      <c r="F794" s="1">
        <v>44603</v>
      </c>
      <c r="G794" t="str">
        <f>IF(COUNTIFS(Table1_3[Country],Table1_3[[#This Row],[Country]],Table1_3[Product],Table1_3[[#This Row],[Product]],Table1_3[Sales Person],Table1_3[[#This Row],[Sales Person]],Table1_3[Amount],"&lt;=100")&gt;=2,"Contract","Deal")</f>
        <v>Deal</v>
      </c>
    </row>
    <row r="795" spans="1:7" x14ac:dyDescent="0.3">
      <c r="A795" t="s">
        <v>83</v>
      </c>
      <c r="B795" t="s">
        <v>32</v>
      </c>
      <c r="C795" t="s">
        <v>59</v>
      </c>
      <c r="D795">
        <v>6068.19</v>
      </c>
      <c r="E795">
        <v>349</v>
      </c>
      <c r="F795" s="1">
        <v>44968</v>
      </c>
      <c r="G795" t="str">
        <f>IF(COUNTIFS(Table1_3[Country],Table1_3[[#This Row],[Country]],Table1_3[Product],Table1_3[[#This Row],[Product]],Table1_3[Sales Person],Table1_3[[#This Row],[Sales Person]],Table1_3[Amount],"&lt;=100")&gt;=2,"Contract","Deal")</f>
        <v>Deal</v>
      </c>
    </row>
    <row r="796" spans="1:7" x14ac:dyDescent="0.3">
      <c r="A796" t="s">
        <v>83</v>
      </c>
      <c r="B796" t="s">
        <v>32</v>
      </c>
      <c r="C796" t="s">
        <v>59</v>
      </c>
      <c r="D796">
        <v>6321.35</v>
      </c>
      <c r="E796">
        <v>325</v>
      </c>
      <c r="F796" s="1">
        <v>45333</v>
      </c>
      <c r="G796" t="str">
        <f>IF(COUNTIFS(Table1_3[Country],Table1_3[[#This Row],[Country]],Table1_3[Product],Table1_3[[#This Row],[Product]],Table1_3[Sales Person],Table1_3[[#This Row],[Sales Person]],Table1_3[Amount],"&lt;=100")&gt;=2,"Contract","Deal")</f>
        <v>Deal</v>
      </c>
    </row>
    <row r="797" spans="1:7" x14ac:dyDescent="0.3">
      <c r="A797" t="s">
        <v>48</v>
      </c>
      <c r="B797" t="s">
        <v>15</v>
      </c>
      <c r="C797" t="s">
        <v>26</v>
      </c>
      <c r="D797">
        <v>504</v>
      </c>
      <c r="E797">
        <v>232</v>
      </c>
      <c r="F797" s="1">
        <v>44741</v>
      </c>
      <c r="G797" t="str">
        <f>IF(COUNTIFS(Table1_3[Country],Table1_3[[#This Row],[Country]],Table1_3[Product],Table1_3[[#This Row],[Product]],Table1_3[Sales Person],Table1_3[[#This Row],[Sales Person]],Table1_3[Amount],"&lt;=100")&gt;=2,"Contract","Deal")</f>
        <v>Deal</v>
      </c>
    </row>
    <row r="798" spans="1:7" x14ac:dyDescent="0.3">
      <c r="A798" t="s">
        <v>48</v>
      </c>
      <c r="B798" t="s">
        <v>15</v>
      </c>
      <c r="C798" t="s">
        <v>26</v>
      </c>
      <c r="D798">
        <v>547.85</v>
      </c>
      <c r="E798">
        <v>221</v>
      </c>
      <c r="F798" s="1">
        <v>45106</v>
      </c>
      <c r="G798" t="str">
        <f>IF(COUNTIFS(Table1_3[Country],Table1_3[[#This Row],[Country]],Table1_3[Product],Table1_3[[#This Row],[Product]],Table1_3[Sales Person],Table1_3[[#This Row],[Sales Person]],Table1_3[Amount],"&lt;=100")&gt;=2,"Contract","Deal")</f>
        <v>Deal</v>
      </c>
    </row>
    <row r="799" spans="1:7" x14ac:dyDescent="0.3">
      <c r="A799" t="s">
        <v>48</v>
      </c>
      <c r="B799" t="s">
        <v>15</v>
      </c>
      <c r="C799" t="s">
        <v>26</v>
      </c>
      <c r="D799">
        <v>603.97</v>
      </c>
      <c r="E799">
        <v>239</v>
      </c>
      <c r="F799" s="1">
        <v>45472</v>
      </c>
      <c r="G799" t="str">
        <f>IF(COUNTIFS(Table1_3[Country],Table1_3[[#This Row],[Country]],Table1_3[Product],Table1_3[[#This Row],[Product]],Table1_3[Sales Person],Table1_3[[#This Row],[Sales Person]],Table1_3[Amount],"&lt;=100")&gt;=2,"Contract","Deal")</f>
        <v>Deal</v>
      </c>
    </row>
    <row r="800" spans="1:7" x14ac:dyDescent="0.3">
      <c r="A800" t="s">
        <v>48</v>
      </c>
      <c r="B800" t="s">
        <v>15</v>
      </c>
      <c r="C800" t="s">
        <v>20</v>
      </c>
      <c r="D800">
        <v>4676</v>
      </c>
      <c r="E800">
        <v>84</v>
      </c>
      <c r="F800" s="1">
        <v>44568</v>
      </c>
      <c r="G800" t="str">
        <f>IF(COUNTIFS(Table1_3[Country],Table1_3[[#This Row],[Country]],Table1_3[Product],Table1_3[[#This Row],[Product]],Table1_3[Sales Person],Table1_3[[#This Row],[Sales Person]],Table1_3[Amount],"&lt;=100")&gt;=2,"Contract","Deal")</f>
        <v>Deal</v>
      </c>
    </row>
    <row r="801" spans="1:7" x14ac:dyDescent="0.3">
      <c r="A801" t="s">
        <v>48</v>
      </c>
      <c r="B801" t="s">
        <v>15</v>
      </c>
      <c r="C801" t="s">
        <v>20</v>
      </c>
      <c r="D801">
        <v>5363.69</v>
      </c>
      <c r="E801">
        <v>87</v>
      </c>
      <c r="F801" s="1">
        <v>44933</v>
      </c>
      <c r="G801" t="str">
        <f>IF(COUNTIFS(Table1_3[Country],Table1_3[[#This Row],[Country]],Table1_3[Product],Table1_3[[#This Row],[Product]],Table1_3[Sales Person],Table1_3[[#This Row],[Sales Person]],Table1_3[Amount],"&lt;=100")&gt;=2,"Contract","Deal")</f>
        <v>Deal</v>
      </c>
    </row>
    <row r="802" spans="1:7" x14ac:dyDescent="0.3">
      <c r="A802" t="s">
        <v>48</v>
      </c>
      <c r="B802" t="s">
        <v>15</v>
      </c>
      <c r="C802" t="s">
        <v>20</v>
      </c>
      <c r="D802">
        <v>5196.97</v>
      </c>
      <c r="E802">
        <v>87</v>
      </c>
      <c r="F802" s="1">
        <v>45298</v>
      </c>
      <c r="G802" t="str">
        <f>IF(COUNTIFS(Table1_3[Country],Table1_3[[#This Row],[Country]],Table1_3[Product],Table1_3[[#This Row],[Product]],Table1_3[Sales Person],Table1_3[[#This Row],[Sales Person]],Table1_3[Amount],"&lt;=100")&gt;=2,"Contract","Deal")</f>
        <v>Deal</v>
      </c>
    </row>
    <row r="803" spans="1:7" x14ac:dyDescent="0.3">
      <c r="A803" t="s">
        <v>48</v>
      </c>
      <c r="B803" t="s">
        <v>15</v>
      </c>
      <c r="C803" t="s">
        <v>23</v>
      </c>
      <c r="D803">
        <v>63</v>
      </c>
      <c r="E803">
        <v>105</v>
      </c>
      <c r="F803" s="1">
        <v>44784</v>
      </c>
      <c r="G803" t="str">
        <f>IF(COUNTIFS(Table1_3[Country],Table1_3[[#This Row],[Country]],Table1_3[Product],Table1_3[[#This Row],[Product]],Table1_3[Sales Person],Table1_3[[#This Row],[Sales Person]],Table1_3[Amount],"&lt;=100")&gt;=2,"Contract","Deal")</f>
        <v>Contract</v>
      </c>
    </row>
    <row r="804" spans="1:7" x14ac:dyDescent="0.3">
      <c r="A804" t="s">
        <v>48</v>
      </c>
      <c r="B804" t="s">
        <v>15</v>
      </c>
      <c r="C804" t="s">
        <v>23</v>
      </c>
      <c r="D804">
        <v>63.71</v>
      </c>
      <c r="E804">
        <v>109</v>
      </c>
      <c r="F804" s="1">
        <v>45149</v>
      </c>
      <c r="G804" t="str">
        <f>IF(COUNTIFS(Table1_3[Country],Table1_3[[#This Row],[Country]],Table1_3[Product],Table1_3[[#This Row],[Product]],Table1_3[Sales Person],Table1_3[[#This Row],[Sales Person]],Table1_3[Amount],"&lt;=100")&gt;=2,"Contract","Deal")</f>
        <v>Contract</v>
      </c>
    </row>
    <row r="805" spans="1:7" x14ac:dyDescent="0.3">
      <c r="A805" t="s">
        <v>48</v>
      </c>
      <c r="B805" t="s">
        <v>15</v>
      </c>
      <c r="C805" t="s">
        <v>23</v>
      </c>
      <c r="D805">
        <v>71.989999999999995</v>
      </c>
      <c r="E805">
        <v>101</v>
      </c>
      <c r="F805" s="1">
        <v>45515</v>
      </c>
      <c r="G805" t="str">
        <f>IF(COUNTIFS(Table1_3[Country],Table1_3[[#This Row],[Country]],Table1_3[Product],Table1_3[[#This Row],[Product]],Table1_3[Sales Person],Table1_3[[#This Row],[Sales Person]],Table1_3[Amount],"&lt;=100")&gt;=2,"Contract","Deal")</f>
        <v>Contract</v>
      </c>
    </row>
    <row r="806" spans="1:7" x14ac:dyDescent="0.3">
      <c r="A806" t="s">
        <v>48</v>
      </c>
      <c r="B806" t="s">
        <v>15</v>
      </c>
      <c r="C806" t="s">
        <v>65</v>
      </c>
      <c r="D806">
        <v>2912</v>
      </c>
      <c r="E806">
        <v>75</v>
      </c>
      <c r="F806" s="1">
        <v>44755</v>
      </c>
      <c r="G806" t="str">
        <f>IF(COUNTIFS(Table1_3[Country],Table1_3[[#This Row],[Country]],Table1_3[Product],Table1_3[[#This Row],[Product]],Table1_3[Sales Person],Table1_3[[#This Row],[Sales Person]],Table1_3[Amount],"&lt;=100")&gt;=2,"Contract","Deal")</f>
        <v>Deal</v>
      </c>
    </row>
    <row r="807" spans="1:7" x14ac:dyDescent="0.3">
      <c r="A807" t="s">
        <v>48</v>
      </c>
      <c r="B807" t="s">
        <v>15</v>
      </c>
      <c r="C807" t="s">
        <v>65</v>
      </c>
      <c r="D807">
        <v>3019.09</v>
      </c>
      <c r="E807">
        <v>78</v>
      </c>
      <c r="F807" s="1">
        <v>45120</v>
      </c>
      <c r="G807" t="str">
        <f>IF(COUNTIFS(Table1_3[Country],Table1_3[[#This Row],[Country]],Table1_3[Product],Table1_3[[#This Row],[Product]],Table1_3[Sales Person],Table1_3[[#This Row],[Sales Person]],Table1_3[Amount],"&lt;=100")&gt;=2,"Contract","Deal")</f>
        <v>Deal</v>
      </c>
    </row>
    <row r="808" spans="1:7" x14ac:dyDescent="0.3">
      <c r="A808" t="s">
        <v>48</v>
      </c>
      <c r="B808" t="s">
        <v>15</v>
      </c>
      <c r="C808" t="s">
        <v>65</v>
      </c>
      <c r="D808">
        <v>3136.53</v>
      </c>
      <c r="E808">
        <v>74</v>
      </c>
      <c r="F808" s="1">
        <v>45486</v>
      </c>
      <c r="G808" t="str">
        <f>IF(COUNTIFS(Table1_3[Country],Table1_3[[#This Row],[Country]],Table1_3[Product],Table1_3[[#This Row],[Product]],Table1_3[Sales Person],Table1_3[[#This Row],[Sales Person]],Table1_3[Amount],"&lt;=100")&gt;=2,"Contract","Deal")</f>
        <v>Deal</v>
      </c>
    </row>
    <row r="809" spans="1:7" x14ac:dyDescent="0.3">
      <c r="A809" t="s">
        <v>48</v>
      </c>
      <c r="B809" t="s">
        <v>15</v>
      </c>
      <c r="C809" t="s">
        <v>90</v>
      </c>
      <c r="D809">
        <v>9114</v>
      </c>
      <c r="E809">
        <v>140</v>
      </c>
      <c r="F809" s="1">
        <v>44606</v>
      </c>
      <c r="G809" t="str">
        <f>IF(COUNTIFS(Table1_3[Country],Table1_3[[#This Row],[Country]],Table1_3[Product],Table1_3[[#This Row],[Product]],Table1_3[Sales Person],Table1_3[[#This Row],[Sales Person]],Table1_3[Amount],"&lt;=100")&gt;=2,"Contract","Deal")</f>
        <v>Deal</v>
      </c>
    </row>
    <row r="810" spans="1:7" x14ac:dyDescent="0.3">
      <c r="A810" t="s">
        <v>48</v>
      </c>
      <c r="B810" t="s">
        <v>15</v>
      </c>
      <c r="C810" t="s">
        <v>90</v>
      </c>
      <c r="D810">
        <v>10281.51</v>
      </c>
      <c r="E810">
        <v>136</v>
      </c>
      <c r="F810" s="1">
        <v>44971</v>
      </c>
      <c r="G810" t="str">
        <f>IF(COUNTIFS(Table1_3[Country],Table1_3[[#This Row],[Country]],Table1_3[Product],Table1_3[[#This Row],[Product]],Table1_3[Sales Person],Table1_3[[#This Row],[Sales Person]],Table1_3[Amount],"&lt;=100")&gt;=2,"Contract","Deal")</f>
        <v>Deal</v>
      </c>
    </row>
    <row r="811" spans="1:7" x14ac:dyDescent="0.3">
      <c r="A811" t="s">
        <v>48</v>
      </c>
      <c r="B811" t="s">
        <v>15</v>
      </c>
      <c r="C811" t="s">
        <v>90</v>
      </c>
      <c r="D811">
        <v>10219.39</v>
      </c>
      <c r="E811">
        <v>139</v>
      </c>
      <c r="F811" s="1">
        <v>45336</v>
      </c>
      <c r="G811" t="str">
        <f>IF(COUNTIFS(Table1_3[Country],Table1_3[[#This Row],[Country]],Table1_3[Product],Table1_3[[#This Row],[Product]],Table1_3[Sales Person],Table1_3[[#This Row],[Sales Person]],Table1_3[Amount],"&lt;=100")&gt;=2,"Contract","Deal")</f>
        <v>Deal</v>
      </c>
    </row>
    <row r="812" spans="1:7" x14ac:dyDescent="0.3">
      <c r="A812" t="s">
        <v>48</v>
      </c>
      <c r="B812" t="s">
        <v>15</v>
      </c>
      <c r="C812" t="s">
        <v>36</v>
      </c>
      <c r="D812">
        <v>5796</v>
      </c>
      <c r="E812">
        <v>55</v>
      </c>
      <c r="F812" s="1">
        <v>44645</v>
      </c>
      <c r="G812" t="str">
        <f>IF(COUNTIFS(Table1_3[Country],Table1_3[[#This Row],[Country]],Table1_3[Product],Table1_3[[#This Row],[Product]],Table1_3[Sales Person],Table1_3[[#This Row],[Sales Person]],Table1_3[Amount],"&lt;=100")&gt;=2,"Contract","Deal")</f>
        <v>Deal</v>
      </c>
    </row>
    <row r="813" spans="1:7" x14ac:dyDescent="0.3">
      <c r="A813" t="s">
        <v>48</v>
      </c>
      <c r="B813" t="s">
        <v>15</v>
      </c>
      <c r="C813" t="s">
        <v>36</v>
      </c>
      <c r="D813">
        <v>6549.62</v>
      </c>
      <c r="E813">
        <v>53</v>
      </c>
      <c r="F813" s="1">
        <v>45010</v>
      </c>
      <c r="G813" t="str">
        <f>IF(COUNTIFS(Table1_3[Country],Table1_3[[#This Row],[Country]],Table1_3[Product],Table1_3[[#This Row],[Product]],Table1_3[Sales Person],Table1_3[[#This Row],[Sales Person]],Table1_3[Amount],"&lt;=100")&gt;=2,"Contract","Deal")</f>
        <v>Deal</v>
      </c>
    </row>
    <row r="814" spans="1:7" x14ac:dyDescent="0.3">
      <c r="A814" t="s">
        <v>48</v>
      </c>
      <c r="B814" t="s">
        <v>15</v>
      </c>
      <c r="C814" t="s">
        <v>36</v>
      </c>
      <c r="D814">
        <v>6974.95</v>
      </c>
      <c r="E814">
        <v>58</v>
      </c>
      <c r="F814" s="1">
        <v>45376</v>
      </c>
      <c r="G814" t="str">
        <f>IF(COUNTIFS(Table1_3[Country],Table1_3[[#This Row],[Country]],Table1_3[Product],Table1_3[[#This Row],[Product]],Table1_3[Sales Person],Table1_3[[#This Row],[Sales Person]],Table1_3[Amount],"&lt;=100")&gt;=2,"Contract","Deal")</f>
        <v>Deal</v>
      </c>
    </row>
    <row r="815" spans="1:7" x14ac:dyDescent="0.3">
      <c r="A815" t="s">
        <v>48</v>
      </c>
      <c r="B815" t="s">
        <v>15</v>
      </c>
      <c r="C815" t="s">
        <v>46</v>
      </c>
      <c r="D815">
        <v>6979</v>
      </c>
      <c r="E815">
        <v>18</v>
      </c>
      <c r="F815" s="1">
        <v>44606</v>
      </c>
      <c r="G815" t="str">
        <f>IF(COUNTIFS(Table1_3[Country],Table1_3[[#This Row],[Country]],Table1_3[Product],Table1_3[[#This Row],[Product]],Table1_3[Sales Person],Table1_3[[#This Row],[Sales Person]],Table1_3[Amount],"&lt;=100")&gt;=2,"Contract","Deal")</f>
        <v>Deal</v>
      </c>
    </row>
    <row r="816" spans="1:7" x14ac:dyDescent="0.3">
      <c r="A816" t="s">
        <v>48</v>
      </c>
      <c r="B816" t="s">
        <v>15</v>
      </c>
      <c r="C816" t="s">
        <v>46</v>
      </c>
      <c r="D816">
        <v>7703.62</v>
      </c>
      <c r="E816">
        <v>20</v>
      </c>
      <c r="F816" s="1">
        <v>44971</v>
      </c>
      <c r="G816" t="str">
        <f>IF(COUNTIFS(Table1_3[Country],Table1_3[[#This Row],[Country]],Table1_3[Product],Table1_3[[#This Row],[Product]],Table1_3[Sales Person],Table1_3[[#This Row],[Sales Person]],Table1_3[Amount],"&lt;=100")&gt;=2,"Contract","Deal")</f>
        <v>Deal</v>
      </c>
    </row>
    <row r="817" spans="1:7" x14ac:dyDescent="0.3">
      <c r="A817" t="s">
        <v>48</v>
      </c>
      <c r="B817" t="s">
        <v>15</v>
      </c>
      <c r="C817" t="s">
        <v>46</v>
      </c>
      <c r="D817">
        <v>7467.12</v>
      </c>
      <c r="E817">
        <v>18</v>
      </c>
      <c r="F817" s="1">
        <v>45336</v>
      </c>
      <c r="G817" t="str">
        <f>IF(COUNTIFS(Table1_3[Country],Table1_3[[#This Row],[Country]],Table1_3[Product],Table1_3[[#This Row],[Product]],Table1_3[Sales Person],Table1_3[[#This Row],[Sales Person]],Table1_3[Amount],"&lt;=100")&gt;=2,"Contract","Deal")</f>
        <v>Deal</v>
      </c>
    </row>
    <row r="818" spans="1:7" x14ac:dyDescent="0.3">
      <c r="A818" t="s">
        <v>48</v>
      </c>
      <c r="B818" t="s">
        <v>15</v>
      </c>
      <c r="C818" t="s">
        <v>33</v>
      </c>
      <c r="D818">
        <v>854</v>
      </c>
      <c r="E818">
        <v>136</v>
      </c>
      <c r="F818" s="1">
        <v>44754</v>
      </c>
      <c r="G818" t="str">
        <f>IF(COUNTIFS(Table1_3[Country],Table1_3[[#This Row],[Country]],Table1_3[Product],Table1_3[[#This Row],[Product]],Table1_3[Sales Person],Table1_3[[#This Row],[Sales Person]],Table1_3[Amount],"&lt;=100")&gt;=2,"Contract","Deal")</f>
        <v>Deal</v>
      </c>
    </row>
    <row r="819" spans="1:7" x14ac:dyDescent="0.3">
      <c r="A819" t="s">
        <v>48</v>
      </c>
      <c r="B819" t="s">
        <v>15</v>
      </c>
      <c r="C819" t="s">
        <v>33</v>
      </c>
      <c r="D819">
        <v>909.93</v>
      </c>
      <c r="E819">
        <v>132</v>
      </c>
      <c r="F819" s="1">
        <v>45119</v>
      </c>
      <c r="G819" t="str">
        <f>IF(COUNTIFS(Table1_3[Country],Table1_3[[#This Row],[Country]],Table1_3[Product],Table1_3[[#This Row],[Product]],Table1_3[Sales Person],Table1_3[[#This Row],[Sales Person]],Table1_3[Amount],"&lt;=100")&gt;=2,"Contract","Deal")</f>
        <v>Deal</v>
      </c>
    </row>
    <row r="820" spans="1:7" x14ac:dyDescent="0.3">
      <c r="A820" t="s">
        <v>48</v>
      </c>
      <c r="B820" t="s">
        <v>15</v>
      </c>
      <c r="C820" t="s">
        <v>33</v>
      </c>
      <c r="D820">
        <v>917.35</v>
      </c>
      <c r="E820">
        <v>140</v>
      </c>
      <c r="F820" s="1">
        <v>45485</v>
      </c>
      <c r="G820" t="str">
        <f>IF(COUNTIFS(Table1_3[Country],Table1_3[[#This Row],[Country]],Table1_3[Product],Table1_3[[#This Row],[Product]],Table1_3[Sales Person],Table1_3[[#This Row],[Sales Person]],Table1_3[Amount],"&lt;=100")&gt;=2,"Contract","Deal")</f>
        <v>Deal</v>
      </c>
    </row>
    <row r="821" spans="1:7" x14ac:dyDescent="0.3">
      <c r="A821" t="s">
        <v>48</v>
      </c>
      <c r="B821" t="s">
        <v>15</v>
      </c>
      <c r="C821" t="s">
        <v>42</v>
      </c>
      <c r="D821">
        <v>3472</v>
      </c>
      <c r="E821">
        <v>311</v>
      </c>
      <c r="F821" s="1">
        <v>44740</v>
      </c>
      <c r="G821" t="str">
        <f>IF(COUNTIFS(Table1_3[Country],Table1_3[[#This Row],[Country]],Table1_3[Product],Table1_3[[#This Row],[Product]],Table1_3[Sales Person],Table1_3[[#This Row],[Sales Person]],Table1_3[Amount],"&lt;=100")&gt;=2,"Contract","Deal")</f>
        <v>Deal</v>
      </c>
    </row>
    <row r="822" spans="1:7" x14ac:dyDescent="0.3">
      <c r="A822" t="s">
        <v>48</v>
      </c>
      <c r="B822" t="s">
        <v>15</v>
      </c>
      <c r="C822" t="s">
        <v>42</v>
      </c>
      <c r="D822">
        <v>4008.93</v>
      </c>
      <c r="E822">
        <v>301</v>
      </c>
      <c r="F822" s="1">
        <v>45105</v>
      </c>
      <c r="G822" t="str">
        <f>IF(COUNTIFS(Table1_3[Country],Table1_3[[#This Row],[Country]],Table1_3[Product],Table1_3[[#This Row],[Product]],Table1_3[Sales Person],Table1_3[[#This Row],[Sales Person]],Table1_3[Amount],"&lt;=100")&gt;=2,"Contract","Deal")</f>
        <v>Deal</v>
      </c>
    </row>
    <row r="823" spans="1:7" x14ac:dyDescent="0.3">
      <c r="A823" t="s">
        <v>48</v>
      </c>
      <c r="B823" t="s">
        <v>15</v>
      </c>
      <c r="C823" t="s">
        <v>42</v>
      </c>
      <c r="D823">
        <v>3717.35</v>
      </c>
      <c r="E823">
        <v>322</v>
      </c>
      <c r="F823" s="1">
        <v>45471</v>
      </c>
      <c r="G823" t="str">
        <f>IF(COUNTIFS(Table1_3[Country],Table1_3[[#This Row],[Country]],Table1_3[Product],Table1_3[[#This Row],[Product]],Table1_3[Sales Person],Table1_3[[#This Row],[Sales Person]],Table1_3[Amount],"&lt;=100")&gt;=2,"Contract","Deal")</f>
        <v>Deal</v>
      </c>
    </row>
    <row r="824" spans="1:7" x14ac:dyDescent="0.3">
      <c r="A824" t="s">
        <v>48</v>
      </c>
      <c r="B824" t="s">
        <v>35</v>
      </c>
      <c r="C824" t="s">
        <v>100</v>
      </c>
      <c r="D824">
        <v>2303</v>
      </c>
      <c r="E824">
        <v>7</v>
      </c>
      <c r="F824" s="1">
        <v>44592</v>
      </c>
      <c r="G824" t="str">
        <f>IF(COUNTIFS(Table1_3[Country],Table1_3[[#This Row],[Country]],Table1_3[Product],Table1_3[[#This Row],[Product]],Table1_3[Sales Person],Table1_3[[#This Row],[Sales Person]],Table1_3[Amount],"&lt;=100")&gt;=2,"Contract","Deal")</f>
        <v>Deal</v>
      </c>
    </row>
    <row r="825" spans="1:7" x14ac:dyDescent="0.3">
      <c r="A825" t="s">
        <v>48</v>
      </c>
      <c r="B825" t="s">
        <v>35</v>
      </c>
      <c r="C825" t="s">
        <v>100</v>
      </c>
      <c r="D825">
        <v>2413.87</v>
      </c>
      <c r="E825">
        <v>7</v>
      </c>
      <c r="F825" s="1">
        <v>44957</v>
      </c>
      <c r="G825" t="str">
        <f>IF(COUNTIFS(Table1_3[Country],Table1_3[[#This Row],[Country]],Table1_3[Product],Table1_3[[#This Row],[Product]],Table1_3[Sales Person],Table1_3[[#This Row],[Sales Person]],Table1_3[Amount],"&lt;=100")&gt;=2,"Contract","Deal")</f>
        <v>Deal</v>
      </c>
    </row>
    <row r="826" spans="1:7" x14ac:dyDescent="0.3">
      <c r="A826" t="s">
        <v>48</v>
      </c>
      <c r="B826" t="s">
        <v>35</v>
      </c>
      <c r="C826" t="s">
        <v>100</v>
      </c>
      <c r="D826">
        <v>2504.9</v>
      </c>
      <c r="E826">
        <v>7</v>
      </c>
      <c r="F826" s="1">
        <v>45322</v>
      </c>
      <c r="G826" t="str">
        <f>IF(COUNTIFS(Table1_3[Country],Table1_3[[#This Row],[Country]],Table1_3[Product],Table1_3[[#This Row],[Product]],Table1_3[Sales Person],Table1_3[[#This Row],[Sales Person]],Table1_3[Amount],"&lt;=100")&gt;=2,"Contract","Deal")</f>
        <v>Deal</v>
      </c>
    </row>
    <row r="827" spans="1:7" x14ac:dyDescent="0.3">
      <c r="A827" t="s">
        <v>48</v>
      </c>
      <c r="B827" t="s">
        <v>35</v>
      </c>
      <c r="C827" t="s">
        <v>20</v>
      </c>
      <c r="D827">
        <v>12586</v>
      </c>
      <c r="E827">
        <v>7</v>
      </c>
      <c r="F827" s="1">
        <v>44749</v>
      </c>
      <c r="G827" t="str">
        <f>IF(COUNTIFS(Table1_3[Country],Table1_3[[#This Row],[Country]],Table1_3[Product],Table1_3[[#This Row],[Product]],Table1_3[Sales Person],Table1_3[[#This Row],[Sales Person]],Table1_3[Amount],"&lt;=100")&gt;=2,"Contract","Deal")</f>
        <v>Deal</v>
      </c>
    </row>
    <row r="828" spans="1:7" x14ac:dyDescent="0.3">
      <c r="A828" t="s">
        <v>48</v>
      </c>
      <c r="B828" t="s">
        <v>35</v>
      </c>
      <c r="C828" t="s">
        <v>20</v>
      </c>
      <c r="D828">
        <v>13232.74</v>
      </c>
      <c r="E828">
        <v>7</v>
      </c>
      <c r="F828" s="1">
        <v>45114</v>
      </c>
      <c r="G828" t="str">
        <f>IF(COUNTIFS(Table1_3[Country],Table1_3[[#This Row],[Country]],Table1_3[Product],Table1_3[[#This Row],[Product]],Table1_3[Sales Person],Table1_3[[#This Row],[Sales Person]],Table1_3[Amount],"&lt;=100")&gt;=2,"Contract","Deal")</f>
        <v>Deal</v>
      </c>
    </row>
    <row r="829" spans="1:7" x14ac:dyDescent="0.3">
      <c r="A829" t="s">
        <v>48</v>
      </c>
      <c r="B829" t="s">
        <v>35</v>
      </c>
      <c r="C829" t="s">
        <v>20</v>
      </c>
      <c r="D829">
        <v>14990.79</v>
      </c>
      <c r="E829">
        <v>7</v>
      </c>
      <c r="F829" s="1">
        <v>45480</v>
      </c>
      <c r="G829" t="str">
        <f>IF(COUNTIFS(Table1_3[Country],Table1_3[[#This Row],[Country]],Table1_3[Product],Table1_3[[#This Row],[Product]],Table1_3[Sales Person],Table1_3[[#This Row],[Sales Person]],Table1_3[Amount],"&lt;=100")&gt;=2,"Contract","Deal")</f>
        <v>Deal</v>
      </c>
    </row>
    <row r="830" spans="1:7" x14ac:dyDescent="0.3">
      <c r="A830" t="s">
        <v>48</v>
      </c>
      <c r="B830" t="s">
        <v>35</v>
      </c>
      <c r="C830" t="s">
        <v>65</v>
      </c>
      <c r="D830">
        <v>4865</v>
      </c>
      <c r="E830">
        <v>70</v>
      </c>
      <c r="F830" s="1">
        <v>44644</v>
      </c>
      <c r="G830" t="str">
        <f>IF(COUNTIFS(Table1_3[Country],Table1_3[[#This Row],[Country]],Table1_3[Product],Table1_3[[#This Row],[Product]],Table1_3[Sales Person],Table1_3[[#This Row],[Sales Person]],Table1_3[Amount],"&lt;=100")&gt;=2,"Contract","Deal")</f>
        <v>Deal</v>
      </c>
    </row>
    <row r="831" spans="1:7" x14ac:dyDescent="0.3">
      <c r="A831" t="s">
        <v>48</v>
      </c>
      <c r="B831" t="s">
        <v>35</v>
      </c>
      <c r="C831" t="s">
        <v>65</v>
      </c>
      <c r="D831">
        <v>5148.7</v>
      </c>
      <c r="E831">
        <v>76</v>
      </c>
      <c r="F831" s="1">
        <v>45009</v>
      </c>
      <c r="G831" t="str">
        <f>IF(COUNTIFS(Table1_3[Country],Table1_3[[#This Row],[Country]],Table1_3[Product],Table1_3[[#This Row],[Product]],Table1_3[Sales Person],Table1_3[[#This Row],[Sales Person]],Table1_3[Amount],"&lt;=100")&gt;=2,"Contract","Deal")</f>
        <v>Deal</v>
      </c>
    </row>
    <row r="832" spans="1:7" x14ac:dyDescent="0.3">
      <c r="A832" t="s">
        <v>48</v>
      </c>
      <c r="B832" t="s">
        <v>35</v>
      </c>
      <c r="C832" t="s">
        <v>65</v>
      </c>
      <c r="D832">
        <v>5879.1</v>
      </c>
      <c r="E832">
        <v>75</v>
      </c>
      <c r="F832" s="1">
        <v>45375</v>
      </c>
      <c r="G832" t="str">
        <f>IF(COUNTIFS(Table1_3[Country],Table1_3[[#This Row],[Country]],Table1_3[Product],Table1_3[[#This Row],[Product]],Table1_3[Sales Person],Table1_3[[#This Row],[Sales Person]],Table1_3[Amount],"&lt;=100")&gt;=2,"Contract","Deal")</f>
        <v>Deal</v>
      </c>
    </row>
    <row r="833" spans="1:7" x14ac:dyDescent="0.3">
      <c r="A833" t="s">
        <v>48</v>
      </c>
      <c r="B833" t="s">
        <v>35</v>
      </c>
      <c r="C833" t="s">
        <v>75</v>
      </c>
      <c r="D833">
        <v>5859</v>
      </c>
      <c r="E833">
        <v>7</v>
      </c>
      <c r="F833" s="1">
        <v>44791</v>
      </c>
      <c r="G833" t="str">
        <f>IF(COUNTIFS(Table1_3[Country],Table1_3[[#This Row],[Country]],Table1_3[Product],Table1_3[[#This Row],[Product]],Table1_3[Sales Person],Table1_3[[#This Row],[Sales Person]],Table1_3[Amount],"&lt;=100")&gt;=2,"Contract","Deal")</f>
        <v>Deal</v>
      </c>
    </row>
    <row r="834" spans="1:7" x14ac:dyDescent="0.3">
      <c r="A834" t="s">
        <v>48</v>
      </c>
      <c r="B834" t="s">
        <v>35</v>
      </c>
      <c r="C834" t="s">
        <v>75</v>
      </c>
      <c r="D834">
        <v>5895.88</v>
      </c>
      <c r="E834">
        <v>7</v>
      </c>
      <c r="F834" s="1">
        <v>45156</v>
      </c>
      <c r="G834" t="str">
        <f>IF(COUNTIFS(Table1_3[Country],Table1_3[[#This Row],[Country]],Table1_3[Product],Table1_3[[#This Row],[Product]],Table1_3[Sales Person],Table1_3[[#This Row],[Sales Person]],Table1_3[Amount],"&lt;=100")&gt;=2,"Contract","Deal")</f>
        <v>Deal</v>
      </c>
    </row>
    <row r="835" spans="1:7" x14ac:dyDescent="0.3">
      <c r="A835" t="s">
        <v>48</v>
      </c>
      <c r="B835" t="s">
        <v>35</v>
      </c>
      <c r="C835" t="s">
        <v>75</v>
      </c>
      <c r="D835">
        <v>6997.57</v>
      </c>
      <c r="E835">
        <v>7</v>
      </c>
      <c r="F835" s="1">
        <v>45522</v>
      </c>
      <c r="G835" t="str">
        <f>IF(COUNTIFS(Table1_3[Country],Table1_3[[#This Row],[Country]],Table1_3[Product],Table1_3[[#This Row],[Product]],Table1_3[Sales Person],Table1_3[[#This Row],[Sales Person]],Table1_3[Amount],"&lt;=100")&gt;=2,"Contract","Deal")</f>
        <v>Deal</v>
      </c>
    </row>
    <row r="836" spans="1:7" x14ac:dyDescent="0.3">
      <c r="A836" t="s">
        <v>48</v>
      </c>
      <c r="B836" t="s">
        <v>35</v>
      </c>
      <c r="C836" t="s">
        <v>36</v>
      </c>
      <c r="D836">
        <v>721</v>
      </c>
      <c r="E836">
        <v>203</v>
      </c>
      <c r="F836" s="1">
        <v>44687</v>
      </c>
      <c r="G836" t="str">
        <f>IF(COUNTIFS(Table1_3[Country],Table1_3[[#This Row],[Country]],Table1_3[Product],Table1_3[[#This Row],[Product]],Table1_3[Sales Person],Table1_3[[#This Row],[Sales Person]],Table1_3[Amount],"&lt;=100")&gt;=2,"Contract","Deal")</f>
        <v>Deal</v>
      </c>
    </row>
    <row r="837" spans="1:7" x14ac:dyDescent="0.3">
      <c r="A837" t="s">
        <v>48</v>
      </c>
      <c r="B837" t="s">
        <v>35</v>
      </c>
      <c r="C837" t="s">
        <v>36</v>
      </c>
      <c r="D837">
        <v>740.07</v>
      </c>
      <c r="E837">
        <v>205</v>
      </c>
      <c r="F837" s="1">
        <v>45052</v>
      </c>
      <c r="G837" t="str">
        <f>IF(COUNTIFS(Table1_3[Country],Table1_3[[#This Row],[Country]],Table1_3[Product],Table1_3[[#This Row],[Product]],Table1_3[Sales Person],Table1_3[[#This Row],[Sales Person]],Table1_3[Amount],"&lt;=100")&gt;=2,"Contract","Deal")</f>
        <v>Deal</v>
      </c>
    </row>
    <row r="838" spans="1:7" x14ac:dyDescent="0.3">
      <c r="A838" t="s">
        <v>48</v>
      </c>
      <c r="B838" t="s">
        <v>35</v>
      </c>
      <c r="C838" t="s">
        <v>36</v>
      </c>
      <c r="D838">
        <v>857.34</v>
      </c>
      <c r="E838">
        <v>197</v>
      </c>
      <c r="F838" s="1">
        <v>45418</v>
      </c>
      <c r="G838" t="str">
        <f>IF(COUNTIFS(Table1_3[Country],Table1_3[[#This Row],[Country]],Table1_3[Product],Table1_3[[#This Row],[Product]],Table1_3[Sales Person],Table1_3[[#This Row],[Sales Person]],Table1_3[Amount],"&lt;=100")&gt;=2,"Contract","Deal")</f>
        <v>Deal</v>
      </c>
    </row>
    <row r="839" spans="1:7" x14ac:dyDescent="0.3">
      <c r="A839" t="s">
        <v>48</v>
      </c>
      <c r="B839" t="s">
        <v>35</v>
      </c>
      <c r="C839" t="s">
        <v>57</v>
      </c>
      <c r="D839">
        <v>4193</v>
      </c>
      <c r="E839">
        <v>195</v>
      </c>
      <c r="F839" s="1">
        <v>44655</v>
      </c>
      <c r="G839" t="str">
        <f>IF(COUNTIFS(Table1_3[Country],Table1_3[[#This Row],[Country]],Table1_3[Product],Table1_3[[#This Row],[Product]],Table1_3[Sales Person],Table1_3[[#This Row],[Sales Person]],Table1_3[Amount],"&lt;=100")&gt;=2,"Contract","Deal")</f>
        <v>Deal</v>
      </c>
    </row>
    <row r="840" spans="1:7" x14ac:dyDescent="0.3">
      <c r="A840" t="s">
        <v>48</v>
      </c>
      <c r="B840" t="s">
        <v>35</v>
      </c>
      <c r="C840" t="s">
        <v>57</v>
      </c>
      <c r="D840">
        <v>4382.07</v>
      </c>
      <c r="E840">
        <v>210</v>
      </c>
      <c r="F840" s="1">
        <v>45020</v>
      </c>
      <c r="G840" t="str">
        <f>IF(COUNTIFS(Table1_3[Country],Table1_3[[#This Row],[Country]],Table1_3[Product],Table1_3[[#This Row],[Product]],Table1_3[Sales Person],Table1_3[[#This Row],[Sales Person]],Table1_3[Amount],"&lt;=100")&gt;=2,"Contract","Deal")</f>
        <v>Deal</v>
      </c>
    </row>
    <row r="841" spans="1:7" x14ac:dyDescent="0.3">
      <c r="A841" t="s">
        <v>48</v>
      </c>
      <c r="B841" t="s">
        <v>35</v>
      </c>
      <c r="C841" t="s">
        <v>57</v>
      </c>
      <c r="D841">
        <v>4712.55</v>
      </c>
      <c r="E841">
        <v>211</v>
      </c>
      <c r="F841" s="1">
        <v>45386</v>
      </c>
      <c r="G841" t="str">
        <f>IF(COUNTIFS(Table1_3[Country],Table1_3[[#This Row],[Country]],Table1_3[Product],Table1_3[[#This Row],[Product]],Table1_3[Sales Person],Table1_3[[#This Row],[Sales Person]],Table1_3[Amount],"&lt;=100")&gt;=2,"Contract","Deal")</f>
        <v>Deal</v>
      </c>
    </row>
    <row r="842" spans="1:7" x14ac:dyDescent="0.3">
      <c r="A842" t="s">
        <v>48</v>
      </c>
      <c r="B842" t="s">
        <v>35</v>
      </c>
      <c r="C842" t="s">
        <v>42</v>
      </c>
      <c r="D842">
        <v>791</v>
      </c>
      <c r="E842">
        <v>22</v>
      </c>
      <c r="F842" s="1">
        <v>44614</v>
      </c>
      <c r="G842" t="str">
        <f>IF(COUNTIFS(Table1_3[Country],Table1_3[[#This Row],[Country]],Table1_3[Product],Table1_3[[#This Row],[Product]],Table1_3[Sales Person],Table1_3[[#This Row],[Sales Person]],Table1_3[Amount],"&lt;=100")&gt;=2,"Contract","Deal")</f>
        <v>Deal</v>
      </c>
    </row>
    <row r="843" spans="1:7" x14ac:dyDescent="0.3">
      <c r="A843" t="s">
        <v>48</v>
      </c>
      <c r="B843" t="s">
        <v>35</v>
      </c>
      <c r="C843" t="s">
        <v>42</v>
      </c>
      <c r="D843">
        <v>897.3</v>
      </c>
      <c r="E843">
        <v>21</v>
      </c>
      <c r="F843" s="1">
        <v>44979</v>
      </c>
      <c r="G843" t="str">
        <f>IF(COUNTIFS(Table1_3[Country],Table1_3[[#This Row],[Country]],Table1_3[Product],Table1_3[[#This Row],[Product]],Table1_3[Sales Person],Table1_3[[#This Row],[Sales Person]],Table1_3[Amount],"&lt;=100")&gt;=2,"Contract","Deal")</f>
        <v>Deal</v>
      </c>
    </row>
    <row r="844" spans="1:7" x14ac:dyDescent="0.3">
      <c r="A844" t="s">
        <v>48</v>
      </c>
      <c r="B844" t="s">
        <v>35</v>
      </c>
      <c r="C844" t="s">
        <v>42</v>
      </c>
      <c r="D844">
        <v>897.13</v>
      </c>
      <c r="E844">
        <v>24</v>
      </c>
      <c r="F844" s="1">
        <v>45344</v>
      </c>
      <c r="G844" t="str">
        <f>IF(COUNTIFS(Table1_3[Country],Table1_3[[#This Row],[Country]],Table1_3[Product],Table1_3[[#This Row],[Product]],Table1_3[Sales Person],Table1_3[[#This Row],[Sales Person]],Table1_3[Amount],"&lt;=100")&gt;=2,"Contract","Deal")</f>
        <v>Deal</v>
      </c>
    </row>
    <row r="845" spans="1:7" x14ac:dyDescent="0.3">
      <c r="A845" t="s">
        <v>48</v>
      </c>
      <c r="B845" t="s">
        <v>35</v>
      </c>
      <c r="C845" t="s">
        <v>13</v>
      </c>
      <c r="D845">
        <v>4935</v>
      </c>
      <c r="E845">
        <v>63</v>
      </c>
      <c r="F845" s="1">
        <v>44700</v>
      </c>
      <c r="G845" t="str">
        <f>IF(COUNTIFS(Table1_3[Country],Table1_3[[#This Row],[Country]],Table1_3[Product],Table1_3[[#This Row],[Product]],Table1_3[Sales Person],Table1_3[[#This Row],[Sales Person]],Table1_3[Amount],"&lt;=100")&gt;=2,"Contract","Deal")</f>
        <v>Deal</v>
      </c>
    </row>
    <row r="846" spans="1:7" x14ac:dyDescent="0.3">
      <c r="A846" t="s">
        <v>48</v>
      </c>
      <c r="B846" t="s">
        <v>35</v>
      </c>
      <c r="C846" t="s">
        <v>13</v>
      </c>
      <c r="D846">
        <v>5646.99</v>
      </c>
      <c r="E846">
        <v>64</v>
      </c>
      <c r="F846" s="1">
        <v>45065</v>
      </c>
      <c r="G846" t="str">
        <f>IF(COUNTIFS(Table1_3[Country],Table1_3[[#This Row],[Country]],Table1_3[Product],Table1_3[[#This Row],[Product]],Table1_3[Sales Person],Table1_3[[#This Row],[Sales Person]],Table1_3[Amount],"&lt;=100")&gt;=2,"Contract","Deal")</f>
        <v>Deal</v>
      </c>
    </row>
    <row r="847" spans="1:7" x14ac:dyDescent="0.3">
      <c r="A847" t="s">
        <v>48</v>
      </c>
      <c r="B847" t="s">
        <v>35</v>
      </c>
      <c r="C847" t="s">
        <v>13</v>
      </c>
      <c r="D847">
        <v>5605.82</v>
      </c>
      <c r="E847">
        <v>64</v>
      </c>
      <c r="F847" s="1">
        <v>45431</v>
      </c>
      <c r="G847" t="str">
        <f>IF(COUNTIFS(Table1_3[Country],Table1_3[[#This Row],[Country]],Table1_3[Product],Table1_3[[#This Row],[Product]],Table1_3[Sales Person],Table1_3[[#This Row],[Sales Person]],Table1_3[Amount],"&lt;=100")&gt;=2,"Contract","Deal")</f>
        <v>Deal</v>
      </c>
    </row>
    <row r="848" spans="1:7" x14ac:dyDescent="0.3">
      <c r="A848" t="s">
        <v>48</v>
      </c>
      <c r="B848" t="s">
        <v>35</v>
      </c>
      <c r="C848" t="s">
        <v>18</v>
      </c>
      <c r="D848">
        <v>2660</v>
      </c>
      <c r="E848">
        <v>12</v>
      </c>
      <c r="F848" s="1">
        <v>44774</v>
      </c>
      <c r="G848" t="str">
        <f>IF(COUNTIFS(Table1_3[Country],Table1_3[[#This Row],[Country]],Table1_3[Product],Table1_3[[#This Row],[Product]],Table1_3[Sales Person],Table1_3[[#This Row],[Sales Person]],Table1_3[Amount],"&lt;=100")&gt;=2,"Contract","Deal")</f>
        <v>Deal</v>
      </c>
    </row>
    <row r="849" spans="1:7" x14ac:dyDescent="0.3">
      <c r="A849" t="s">
        <v>48</v>
      </c>
      <c r="B849" t="s">
        <v>35</v>
      </c>
      <c r="C849" t="s">
        <v>18</v>
      </c>
      <c r="D849">
        <v>3047.18</v>
      </c>
      <c r="E849">
        <v>12</v>
      </c>
      <c r="F849" s="1">
        <v>45139</v>
      </c>
      <c r="G849" t="str">
        <f>IF(COUNTIFS(Table1_3[Country],Table1_3[[#This Row],[Country]],Table1_3[Product],Table1_3[[#This Row],[Product]],Table1_3[Sales Person],Table1_3[[#This Row],[Sales Person]],Table1_3[Amount],"&lt;=100")&gt;=2,"Contract","Deal")</f>
        <v>Deal</v>
      </c>
    </row>
    <row r="850" spans="1:7" x14ac:dyDescent="0.3">
      <c r="A850" t="s">
        <v>48</v>
      </c>
      <c r="B850" t="s">
        <v>35</v>
      </c>
      <c r="C850" t="s">
        <v>18</v>
      </c>
      <c r="D850">
        <v>2901.91</v>
      </c>
      <c r="E850">
        <v>12</v>
      </c>
      <c r="F850" s="1">
        <v>45505</v>
      </c>
      <c r="G850" t="str">
        <f>IF(COUNTIFS(Table1_3[Country],Table1_3[[#This Row],[Country]],Table1_3[Product],Table1_3[[#This Row],[Product]],Table1_3[Sales Person],Table1_3[[#This Row],[Sales Person]],Table1_3[Amount],"&lt;=100")&gt;=2,"Contract","Deal")</f>
        <v>Deal</v>
      </c>
    </row>
    <row r="851" spans="1:7" x14ac:dyDescent="0.3">
      <c r="A851" t="s">
        <v>48</v>
      </c>
      <c r="B851" t="s">
        <v>35</v>
      </c>
      <c r="C851" t="s">
        <v>50</v>
      </c>
      <c r="D851">
        <v>854</v>
      </c>
      <c r="E851">
        <v>118</v>
      </c>
      <c r="F851" s="1">
        <v>44728</v>
      </c>
      <c r="G851" t="str">
        <f>IF(COUNTIFS(Table1_3[Country],Table1_3[[#This Row],[Country]],Table1_3[Product],Table1_3[[#This Row],[Product]],Table1_3[Sales Person],Table1_3[[#This Row],[Sales Person]],Table1_3[Amount],"&lt;=100")&gt;=2,"Contract","Deal")</f>
        <v>Deal</v>
      </c>
    </row>
    <row r="852" spans="1:7" x14ac:dyDescent="0.3">
      <c r="A852" t="s">
        <v>48</v>
      </c>
      <c r="B852" t="s">
        <v>35</v>
      </c>
      <c r="C852" t="s">
        <v>50</v>
      </c>
      <c r="D852">
        <v>933.45</v>
      </c>
      <c r="E852">
        <v>122</v>
      </c>
      <c r="F852" s="1">
        <v>45093</v>
      </c>
      <c r="G852" t="str">
        <f>IF(COUNTIFS(Table1_3[Country],Table1_3[[#This Row],[Country]],Table1_3[Product],Table1_3[[#This Row],[Product]],Table1_3[Sales Person],Table1_3[[#This Row],[Sales Person]],Table1_3[Amount],"&lt;=100")&gt;=2,"Contract","Deal")</f>
        <v>Deal</v>
      </c>
    </row>
    <row r="853" spans="1:7" x14ac:dyDescent="0.3">
      <c r="A853" t="s">
        <v>48</v>
      </c>
      <c r="B853" t="s">
        <v>35</v>
      </c>
      <c r="C853" t="s">
        <v>50</v>
      </c>
      <c r="D853">
        <v>911.46</v>
      </c>
      <c r="E853">
        <v>126</v>
      </c>
      <c r="F853" s="1">
        <v>45459</v>
      </c>
      <c r="G853" t="str">
        <f>IF(COUNTIFS(Table1_3[Country],Table1_3[[#This Row],[Country]],Table1_3[Product],Table1_3[[#This Row],[Product]],Table1_3[Sales Person],Table1_3[[#This Row],[Sales Person]],Table1_3[Amount],"&lt;=100")&gt;=2,"Contract","Deal")</f>
        <v>Deal</v>
      </c>
    </row>
    <row r="854" spans="1:7" x14ac:dyDescent="0.3">
      <c r="A854" t="s">
        <v>48</v>
      </c>
      <c r="B854" t="s">
        <v>10</v>
      </c>
      <c r="C854" t="s">
        <v>100</v>
      </c>
      <c r="D854">
        <v>2282</v>
      </c>
      <c r="E854">
        <v>44</v>
      </c>
      <c r="F854" s="1">
        <v>44747</v>
      </c>
      <c r="G854" t="str">
        <f>IF(COUNTIFS(Table1_3[Country],Table1_3[[#This Row],[Country]],Table1_3[Product],Table1_3[[#This Row],[Product]],Table1_3[Sales Person],Table1_3[[#This Row],[Sales Person]],Table1_3[Amount],"&lt;=100")&gt;=2,"Contract","Deal")</f>
        <v>Deal</v>
      </c>
    </row>
    <row r="855" spans="1:7" x14ac:dyDescent="0.3">
      <c r="A855" t="s">
        <v>48</v>
      </c>
      <c r="B855" t="s">
        <v>10</v>
      </c>
      <c r="C855" t="s">
        <v>100</v>
      </c>
      <c r="D855">
        <v>2393.79</v>
      </c>
      <c r="E855">
        <v>48</v>
      </c>
      <c r="F855" s="1">
        <v>45112</v>
      </c>
      <c r="G855" t="str">
        <f>IF(COUNTIFS(Table1_3[Country],Table1_3[[#This Row],[Country]],Table1_3[Product],Table1_3[[#This Row],[Product]],Table1_3[Sales Person],Table1_3[[#This Row],[Sales Person]],Table1_3[Amount],"&lt;=100")&gt;=2,"Contract","Deal")</f>
        <v>Deal</v>
      </c>
    </row>
    <row r="856" spans="1:7" x14ac:dyDescent="0.3">
      <c r="A856" t="s">
        <v>48</v>
      </c>
      <c r="B856" t="s">
        <v>10</v>
      </c>
      <c r="C856" t="s">
        <v>100</v>
      </c>
      <c r="D856">
        <v>2453.44</v>
      </c>
      <c r="E856">
        <v>43</v>
      </c>
      <c r="F856" s="1">
        <v>45478</v>
      </c>
      <c r="G856" t="str">
        <f>IF(COUNTIFS(Table1_3[Country],Table1_3[[#This Row],[Country]],Table1_3[Product],Table1_3[[#This Row],[Product]],Table1_3[Sales Person],Table1_3[[#This Row],[Sales Person]],Table1_3[Amount],"&lt;=100")&gt;=2,"Contract","Deal")</f>
        <v>Deal</v>
      </c>
    </row>
    <row r="857" spans="1:7" x14ac:dyDescent="0.3">
      <c r="A857" t="s">
        <v>48</v>
      </c>
      <c r="B857" t="s">
        <v>10</v>
      </c>
      <c r="C857" t="s">
        <v>11</v>
      </c>
      <c r="D857">
        <v>273</v>
      </c>
      <c r="E857">
        <v>402</v>
      </c>
      <c r="F857" s="1">
        <v>44579</v>
      </c>
      <c r="G857" t="str">
        <f>IF(COUNTIFS(Table1_3[Country],Table1_3[[#This Row],[Country]],Table1_3[Product],Table1_3[[#This Row],[Product]],Table1_3[Sales Person],Table1_3[[#This Row],[Sales Person]],Table1_3[Amount],"&lt;=100")&gt;=2,"Contract","Deal")</f>
        <v>Deal</v>
      </c>
    </row>
    <row r="858" spans="1:7" x14ac:dyDescent="0.3">
      <c r="A858" t="s">
        <v>48</v>
      </c>
      <c r="B858" t="s">
        <v>10</v>
      </c>
      <c r="C858" t="s">
        <v>11</v>
      </c>
      <c r="D858">
        <v>298.33999999999997</v>
      </c>
      <c r="E858">
        <v>399</v>
      </c>
      <c r="F858" s="1">
        <v>44944</v>
      </c>
      <c r="G858" t="str">
        <f>IF(COUNTIFS(Table1_3[Country],Table1_3[[#This Row],[Country]],Table1_3[Product],Table1_3[[#This Row],[Product]],Table1_3[Sales Person],Table1_3[[#This Row],[Sales Person]],Table1_3[Amount],"&lt;=100")&gt;=2,"Contract","Deal")</f>
        <v>Deal</v>
      </c>
    </row>
    <row r="859" spans="1:7" x14ac:dyDescent="0.3">
      <c r="A859" t="s">
        <v>48</v>
      </c>
      <c r="B859" t="s">
        <v>10</v>
      </c>
      <c r="C859" t="s">
        <v>11</v>
      </c>
      <c r="D859">
        <v>308.24</v>
      </c>
      <c r="E859">
        <v>402</v>
      </c>
      <c r="F859" s="1">
        <v>45309</v>
      </c>
      <c r="G859" t="str">
        <f>IF(COUNTIFS(Table1_3[Country],Table1_3[[#This Row],[Country]],Table1_3[Product],Table1_3[[#This Row],[Product]],Table1_3[Sales Person],Table1_3[[#This Row],[Sales Person]],Table1_3[Amount],"&lt;=100")&gt;=2,"Contract","Deal")</f>
        <v>Deal</v>
      </c>
    </row>
    <row r="860" spans="1:7" x14ac:dyDescent="0.3">
      <c r="A860" t="s">
        <v>48</v>
      </c>
      <c r="B860" t="s">
        <v>10</v>
      </c>
      <c r="C860" t="s">
        <v>57</v>
      </c>
      <c r="D860">
        <v>5243</v>
      </c>
      <c r="E860">
        <v>176</v>
      </c>
      <c r="F860" s="1">
        <v>44749</v>
      </c>
      <c r="G860" t="str">
        <f>IF(COUNTIFS(Table1_3[Country],Table1_3[[#This Row],[Country]],Table1_3[Product],Table1_3[[#This Row],[Product]],Table1_3[Sales Person],Table1_3[[#This Row],[Sales Person]],Table1_3[Amount],"&lt;=100")&gt;=2,"Contract","Deal")</f>
        <v>Deal</v>
      </c>
    </row>
    <row r="861" spans="1:7" x14ac:dyDescent="0.3">
      <c r="A861" t="s">
        <v>48</v>
      </c>
      <c r="B861" t="s">
        <v>10</v>
      </c>
      <c r="C861" t="s">
        <v>57</v>
      </c>
      <c r="D861">
        <v>5806.11</v>
      </c>
      <c r="E861">
        <v>190</v>
      </c>
      <c r="F861" s="1">
        <v>45114</v>
      </c>
      <c r="G861" t="str">
        <f>IF(COUNTIFS(Table1_3[Country],Table1_3[[#This Row],[Country]],Table1_3[Product],Table1_3[[#This Row],[Product]],Table1_3[Sales Person],Table1_3[[#This Row],[Sales Person]],Table1_3[Amount],"&lt;=100")&gt;=2,"Contract","Deal")</f>
        <v>Deal</v>
      </c>
    </row>
    <row r="862" spans="1:7" x14ac:dyDescent="0.3">
      <c r="A862" t="s">
        <v>48</v>
      </c>
      <c r="B862" t="s">
        <v>10</v>
      </c>
      <c r="C862" t="s">
        <v>57</v>
      </c>
      <c r="D862">
        <v>5693.6</v>
      </c>
      <c r="E862">
        <v>177</v>
      </c>
      <c r="F862" s="1">
        <v>45480</v>
      </c>
      <c r="G862" t="str">
        <f>IF(COUNTIFS(Table1_3[Country],Table1_3[[#This Row],[Country]],Table1_3[Product],Table1_3[[#This Row],[Product]],Table1_3[Sales Person],Table1_3[[#This Row],[Sales Person]],Table1_3[Amount],"&lt;=100")&gt;=2,"Contract","Deal")</f>
        <v>Deal</v>
      </c>
    </row>
    <row r="863" spans="1:7" x14ac:dyDescent="0.3">
      <c r="A863" t="s">
        <v>48</v>
      </c>
      <c r="B863" t="s">
        <v>10</v>
      </c>
      <c r="C863" t="s">
        <v>60</v>
      </c>
      <c r="D863">
        <v>1547</v>
      </c>
      <c r="E863">
        <v>170</v>
      </c>
      <c r="F863" s="1">
        <v>44704</v>
      </c>
      <c r="G863" t="str">
        <f>IF(COUNTIFS(Table1_3[Country],Table1_3[[#This Row],[Country]],Table1_3[Product],Table1_3[[#This Row],[Product]],Table1_3[Sales Person],Table1_3[[#This Row],[Sales Person]],Table1_3[Amount],"&lt;=100")&gt;=2,"Contract","Deal")</f>
        <v>Deal</v>
      </c>
    </row>
    <row r="864" spans="1:7" x14ac:dyDescent="0.3">
      <c r="A864" t="s">
        <v>48</v>
      </c>
      <c r="B864" t="s">
        <v>10</v>
      </c>
      <c r="C864" t="s">
        <v>60</v>
      </c>
      <c r="D864">
        <v>1683.88</v>
      </c>
      <c r="E864">
        <v>169</v>
      </c>
      <c r="F864" s="1">
        <v>45069</v>
      </c>
      <c r="G864" t="str">
        <f>IF(COUNTIFS(Table1_3[Country],Table1_3[[#This Row],[Country]],Table1_3[Product],Table1_3[[#This Row],[Product]],Table1_3[Sales Person],Table1_3[[#This Row],[Sales Person]],Table1_3[Amount],"&lt;=100")&gt;=2,"Contract","Deal")</f>
        <v>Deal</v>
      </c>
    </row>
    <row r="865" spans="1:7" x14ac:dyDescent="0.3">
      <c r="A865" t="s">
        <v>48</v>
      </c>
      <c r="B865" t="s">
        <v>10</v>
      </c>
      <c r="C865" t="s">
        <v>60</v>
      </c>
      <c r="D865">
        <v>1844.54</v>
      </c>
      <c r="E865">
        <v>185</v>
      </c>
      <c r="F865" s="1">
        <v>45435</v>
      </c>
      <c r="G865" t="str">
        <f>IF(COUNTIFS(Table1_3[Country],Table1_3[[#This Row],[Country]],Table1_3[Product],Table1_3[[#This Row],[Product]],Table1_3[Sales Person],Table1_3[[#This Row],[Sales Person]],Table1_3[Amount],"&lt;=100")&gt;=2,"Contract","Deal")</f>
        <v>Deal</v>
      </c>
    </row>
    <row r="866" spans="1:7" x14ac:dyDescent="0.3">
      <c r="A866" t="s">
        <v>48</v>
      </c>
      <c r="B866" t="s">
        <v>10</v>
      </c>
      <c r="C866" t="s">
        <v>46</v>
      </c>
      <c r="D866">
        <v>3437</v>
      </c>
      <c r="E866">
        <v>201</v>
      </c>
      <c r="F866" s="1">
        <v>44656</v>
      </c>
      <c r="G866" t="str">
        <f>IF(COUNTIFS(Table1_3[Country],Table1_3[[#This Row],[Country]],Table1_3[Product],Table1_3[[#This Row],[Product]],Table1_3[Sales Person],Table1_3[[#This Row],[Sales Person]],Table1_3[Amount],"&lt;=100")&gt;=2,"Contract","Deal")</f>
        <v>Deal</v>
      </c>
    </row>
    <row r="867" spans="1:7" x14ac:dyDescent="0.3">
      <c r="A867" t="s">
        <v>48</v>
      </c>
      <c r="B867" t="s">
        <v>10</v>
      </c>
      <c r="C867" t="s">
        <v>46</v>
      </c>
      <c r="D867">
        <v>3902.04</v>
      </c>
      <c r="E867">
        <v>214</v>
      </c>
      <c r="F867" s="1">
        <v>45021</v>
      </c>
      <c r="G867" t="str">
        <f>IF(COUNTIFS(Table1_3[Country],Table1_3[[#This Row],[Country]],Table1_3[Product],Table1_3[[#This Row],[Product]],Table1_3[Sales Person],Table1_3[[#This Row],[Sales Person]],Table1_3[Amount],"&lt;=100")&gt;=2,"Contract","Deal")</f>
        <v>Deal</v>
      </c>
    </row>
    <row r="868" spans="1:7" x14ac:dyDescent="0.3">
      <c r="A868" t="s">
        <v>48</v>
      </c>
      <c r="B868" t="s">
        <v>10</v>
      </c>
      <c r="C868" t="s">
        <v>46</v>
      </c>
      <c r="D868">
        <v>3658.27</v>
      </c>
      <c r="E868">
        <v>210</v>
      </c>
      <c r="F868" s="1">
        <v>45387</v>
      </c>
      <c r="G868" t="str">
        <f>IF(COUNTIFS(Table1_3[Country],Table1_3[[#This Row],[Country]],Table1_3[Product],Table1_3[[#This Row],[Product]],Table1_3[Sales Person],Table1_3[[#This Row],[Sales Person]],Table1_3[Amount],"&lt;=100")&gt;=2,"Contract","Deal")</f>
        <v>Deal</v>
      </c>
    </row>
    <row r="869" spans="1:7" x14ac:dyDescent="0.3">
      <c r="A869" t="s">
        <v>48</v>
      </c>
      <c r="B869" t="s">
        <v>10</v>
      </c>
      <c r="C869" t="s">
        <v>8</v>
      </c>
      <c r="D869">
        <v>8155</v>
      </c>
      <c r="E869">
        <v>96</v>
      </c>
      <c r="F869" s="1">
        <v>44623</v>
      </c>
      <c r="G869" t="str">
        <f>IF(COUNTIFS(Table1_3[Country],Table1_3[[#This Row],[Country]],Table1_3[Product],Table1_3[[#This Row],[Product]],Table1_3[Sales Person],Table1_3[[#This Row],[Sales Person]],Table1_3[Amount],"&lt;=100")&gt;=2,"Contract","Deal")</f>
        <v>Deal</v>
      </c>
    </row>
    <row r="870" spans="1:7" x14ac:dyDescent="0.3">
      <c r="A870" t="s">
        <v>48</v>
      </c>
      <c r="B870" t="s">
        <v>10</v>
      </c>
      <c r="C870" t="s">
        <v>8</v>
      </c>
      <c r="D870">
        <v>8447.48</v>
      </c>
      <c r="E870">
        <v>96</v>
      </c>
      <c r="F870" s="1">
        <v>44988</v>
      </c>
      <c r="G870" t="str">
        <f>IF(COUNTIFS(Table1_3[Country],Table1_3[[#This Row],[Country]],Table1_3[Product],Table1_3[[#This Row],[Product]],Table1_3[Sales Person],Table1_3[[#This Row],[Sales Person]],Table1_3[Amount],"&lt;=100")&gt;=2,"Contract","Deal")</f>
        <v>Deal</v>
      </c>
    </row>
    <row r="871" spans="1:7" x14ac:dyDescent="0.3">
      <c r="A871" t="s">
        <v>48</v>
      </c>
      <c r="B871" t="s">
        <v>10</v>
      </c>
      <c r="C871" t="s">
        <v>8</v>
      </c>
      <c r="D871">
        <v>9813.42</v>
      </c>
      <c r="E871">
        <v>100</v>
      </c>
      <c r="F871" s="1">
        <v>45354</v>
      </c>
      <c r="G871" t="str">
        <f>IF(COUNTIFS(Table1_3[Country],Table1_3[[#This Row],[Country]],Table1_3[Product],Table1_3[[#This Row],[Product]],Table1_3[Sales Person],Table1_3[[#This Row],[Sales Person]],Table1_3[Amount],"&lt;=100")&gt;=2,"Contract","Deal")</f>
        <v>Deal</v>
      </c>
    </row>
    <row r="872" spans="1:7" x14ac:dyDescent="0.3">
      <c r="A872" t="s">
        <v>48</v>
      </c>
      <c r="B872" t="s">
        <v>10</v>
      </c>
      <c r="C872" t="s">
        <v>18</v>
      </c>
      <c r="D872">
        <v>19327</v>
      </c>
      <c r="E872">
        <v>135</v>
      </c>
      <c r="F872" s="1">
        <v>44670</v>
      </c>
      <c r="G872" t="str">
        <f>IF(COUNTIFS(Table1_3[Country],Table1_3[[#This Row],[Country]],Table1_3[Product],Table1_3[[#This Row],[Product]],Table1_3[Sales Person],Table1_3[[#This Row],[Sales Person]],Table1_3[Amount],"&lt;=100")&gt;=2,"Contract","Deal")</f>
        <v>Deal</v>
      </c>
    </row>
    <row r="873" spans="1:7" x14ac:dyDescent="0.3">
      <c r="A873" t="s">
        <v>48</v>
      </c>
      <c r="B873" t="s">
        <v>10</v>
      </c>
      <c r="C873" t="s">
        <v>18</v>
      </c>
      <c r="D873">
        <v>19283.64</v>
      </c>
      <c r="E873">
        <v>139</v>
      </c>
      <c r="F873" s="1">
        <v>45035</v>
      </c>
      <c r="G873" t="str">
        <f>IF(COUNTIFS(Table1_3[Country],Table1_3[[#This Row],[Country]],Table1_3[Product],Table1_3[[#This Row],[Product]],Table1_3[Sales Person],Table1_3[[#This Row],[Sales Person]],Table1_3[Amount],"&lt;=100")&gt;=2,"Contract","Deal")</f>
        <v>Deal</v>
      </c>
    </row>
    <row r="874" spans="1:7" x14ac:dyDescent="0.3">
      <c r="A874" t="s">
        <v>48</v>
      </c>
      <c r="B874" t="s">
        <v>10</v>
      </c>
      <c r="C874" t="s">
        <v>18</v>
      </c>
      <c r="D874">
        <v>22717.09</v>
      </c>
      <c r="E874">
        <v>143</v>
      </c>
      <c r="F874" s="1">
        <v>45401</v>
      </c>
      <c r="G874" t="str">
        <f>IF(COUNTIFS(Table1_3[Country],Table1_3[[#This Row],[Country]],Table1_3[Product],Table1_3[[#This Row],[Product]],Table1_3[Sales Person],Table1_3[[#This Row],[Sales Person]],Table1_3[Amount],"&lt;=100")&gt;=2,"Contract","Deal")</f>
        <v>Deal</v>
      </c>
    </row>
    <row r="875" spans="1:7" x14ac:dyDescent="0.3">
      <c r="A875" t="s">
        <v>48</v>
      </c>
      <c r="B875" t="s">
        <v>10</v>
      </c>
      <c r="C875" t="s">
        <v>50</v>
      </c>
      <c r="D875">
        <v>161</v>
      </c>
      <c r="E875">
        <v>134</v>
      </c>
      <c r="F875" s="1">
        <v>44732</v>
      </c>
      <c r="G875" t="str">
        <f>IF(COUNTIFS(Table1_3[Country],Table1_3[[#This Row],[Country]],Table1_3[Product],Table1_3[[#This Row],[Product]],Table1_3[Sales Person],Table1_3[[#This Row],[Sales Person]],Table1_3[Amount],"&lt;=100")&gt;=2,"Contract","Deal")</f>
        <v>Deal</v>
      </c>
    </row>
    <row r="876" spans="1:7" x14ac:dyDescent="0.3">
      <c r="A876" t="s">
        <v>48</v>
      </c>
      <c r="B876" t="s">
        <v>10</v>
      </c>
      <c r="C876" t="s">
        <v>50</v>
      </c>
      <c r="D876">
        <v>167.33</v>
      </c>
      <c r="E876">
        <v>143</v>
      </c>
      <c r="F876" s="1">
        <v>45097</v>
      </c>
      <c r="G876" t="str">
        <f>IF(COUNTIFS(Table1_3[Country],Table1_3[[#This Row],[Country]],Table1_3[Product],Table1_3[[#This Row],[Product]],Table1_3[Sales Person],Table1_3[[#This Row],[Sales Person]],Table1_3[Amount],"&lt;=100")&gt;=2,"Contract","Deal")</f>
        <v>Deal</v>
      </c>
    </row>
    <row r="877" spans="1:7" x14ac:dyDescent="0.3">
      <c r="A877" t="s">
        <v>48</v>
      </c>
      <c r="B877" t="s">
        <v>10</v>
      </c>
      <c r="C877" t="s">
        <v>50</v>
      </c>
      <c r="D877">
        <v>189.34</v>
      </c>
      <c r="E877">
        <v>140</v>
      </c>
      <c r="F877" s="1">
        <v>45463</v>
      </c>
      <c r="G877" t="str">
        <f>IF(COUNTIFS(Table1_3[Country],Table1_3[[#This Row],[Country]],Table1_3[Product],Table1_3[[#This Row],[Product]],Table1_3[Sales Person],Table1_3[[#This Row],[Sales Person]],Table1_3[Amount],"&lt;=100")&gt;=2,"Contract","Deal")</f>
        <v>Deal</v>
      </c>
    </row>
    <row r="878" spans="1:7" x14ac:dyDescent="0.3">
      <c r="A878" t="s">
        <v>48</v>
      </c>
      <c r="B878" t="s">
        <v>10</v>
      </c>
      <c r="C878" t="s">
        <v>59</v>
      </c>
      <c r="D878">
        <v>7154</v>
      </c>
      <c r="E878">
        <v>342</v>
      </c>
      <c r="F878" s="1">
        <v>44746</v>
      </c>
      <c r="G878" t="str">
        <f>IF(COUNTIFS(Table1_3[Country],Table1_3[[#This Row],[Country]],Table1_3[Product],Table1_3[[#This Row],[Product]],Table1_3[Sales Person],Table1_3[[#This Row],[Sales Person]],Table1_3[Amount],"&lt;=100")&gt;=2,"Contract","Deal")</f>
        <v>Deal</v>
      </c>
    </row>
    <row r="879" spans="1:7" x14ac:dyDescent="0.3">
      <c r="A879" t="s">
        <v>48</v>
      </c>
      <c r="B879" t="s">
        <v>10</v>
      </c>
      <c r="C879" t="s">
        <v>59</v>
      </c>
      <c r="D879">
        <v>7887.15</v>
      </c>
      <c r="E879">
        <v>335</v>
      </c>
      <c r="F879" s="1">
        <v>45111</v>
      </c>
      <c r="G879" t="str">
        <f>IF(COUNTIFS(Table1_3[Country],Table1_3[[#This Row],[Country]],Table1_3[Product],Table1_3[[#This Row],[Product]],Table1_3[Sales Person],Table1_3[[#This Row],[Sales Person]],Table1_3[Amount],"&lt;=100")&gt;=2,"Contract","Deal")</f>
        <v>Deal</v>
      </c>
    </row>
    <row r="880" spans="1:7" x14ac:dyDescent="0.3">
      <c r="A880" t="s">
        <v>48</v>
      </c>
      <c r="B880" t="s">
        <v>10</v>
      </c>
      <c r="C880" t="s">
        <v>59</v>
      </c>
      <c r="D880">
        <v>7666.62</v>
      </c>
      <c r="E880">
        <v>347</v>
      </c>
      <c r="F880" s="1">
        <v>45477</v>
      </c>
      <c r="G880" t="str">
        <f>IF(COUNTIFS(Table1_3[Country],Table1_3[[#This Row],[Country]],Table1_3[Product],Table1_3[[#This Row],[Product]],Table1_3[Sales Person],Table1_3[[#This Row],[Sales Person]],Table1_3[Amount],"&lt;=100")&gt;=2,"Contract","Deal")</f>
        <v>Deal</v>
      </c>
    </row>
    <row r="881" spans="1:7" x14ac:dyDescent="0.3">
      <c r="A881" t="s">
        <v>48</v>
      </c>
      <c r="B881" t="s">
        <v>25</v>
      </c>
      <c r="C881" t="s">
        <v>26</v>
      </c>
      <c r="D881">
        <v>9765</v>
      </c>
      <c r="E881">
        <v>85</v>
      </c>
      <c r="F881" s="1">
        <v>44588</v>
      </c>
      <c r="G881" t="str">
        <f>IF(COUNTIFS(Table1_3[Country],Table1_3[[#This Row],[Country]],Table1_3[Product],Table1_3[[#This Row],[Product]],Table1_3[Sales Person],Table1_3[[#This Row],[Sales Person]],Table1_3[Amount],"&lt;=100")&gt;=2,"Contract","Deal")</f>
        <v>Deal</v>
      </c>
    </row>
    <row r="882" spans="1:7" x14ac:dyDescent="0.3">
      <c r="A882" t="s">
        <v>48</v>
      </c>
      <c r="B882" t="s">
        <v>25</v>
      </c>
      <c r="C882" t="s">
        <v>26</v>
      </c>
      <c r="D882">
        <v>10791.46</v>
      </c>
      <c r="E882">
        <v>88</v>
      </c>
      <c r="F882" s="1">
        <v>44953</v>
      </c>
      <c r="G882" t="str">
        <f>IF(COUNTIFS(Table1_3[Country],Table1_3[[#This Row],[Country]],Table1_3[Product],Table1_3[[#This Row],[Product]],Table1_3[Sales Person],Table1_3[[#This Row],[Sales Person]],Table1_3[Amount],"&lt;=100")&gt;=2,"Contract","Deal")</f>
        <v>Deal</v>
      </c>
    </row>
    <row r="883" spans="1:7" x14ac:dyDescent="0.3">
      <c r="A883" t="s">
        <v>48</v>
      </c>
      <c r="B883" t="s">
        <v>25</v>
      </c>
      <c r="C883" t="s">
        <v>26</v>
      </c>
      <c r="D883">
        <v>11226.14</v>
      </c>
      <c r="E883">
        <v>84</v>
      </c>
      <c r="F883" s="1">
        <v>45318</v>
      </c>
      <c r="G883" t="str">
        <f>IF(COUNTIFS(Table1_3[Country],Table1_3[[#This Row],[Country]],Table1_3[Product],Table1_3[[#This Row],[Product]],Table1_3[Sales Person],Table1_3[[#This Row],[Sales Person]],Table1_3[Amount],"&lt;=100")&gt;=2,"Contract","Deal")</f>
        <v>Deal</v>
      </c>
    </row>
    <row r="884" spans="1:7" x14ac:dyDescent="0.3">
      <c r="A884" t="s">
        <v>48</v>
      </c>
      <c r="B884" t="s">
        <v>25</v>
      </c>
      <c r="C884" t="s">
        <v>11</v>
      </c>
      <c r="D884">
        <v>5404</v>
      </c>
      <c r="E884">
        <v>187</v>
      </c>
      <c r="F884" s="1">
        <v>44693</v>
      </c>
      <c r="G884" t="str">
        <f>IF(COUNTIFS(Table1_3[Country],Table1_3[[#This Row],[Country]],Table1_3[Product],Table1_3[[#This Row],[Product]],Table1_3[Sales Person],Table1_3[[#This Row],[Sales Person]],Table1_3[Amount],"&lt;=100")&gt;=2,"Contract","Deal")</f>
        <v>Deal</v>
      </c>
    </row>
    <row r="885" spans="1:7" x14ac:dyDescent="0.3">
      <c r="A885" t="s">
        <v>48</v>
      </c>
      <c r="B885" t="s">
        <v>25</v>
      </c>
      <c r="C885" t="s">
        <v>11</v>
      </c>
      <c r="D885">
        <v>5936.81</v>
      </c>
      <c r="E885">
        <v>180</v>
      </c>
      <c r="F885" s="1">
        <v>45058</v>
      </c>
      <c r="G885" t="str">
        <f>IF(COUNTIFS(Table1_3[Country],Table1_3[[#This Row],[Country]],Table1_3[Product],Table1_3[[#This Row],[Product]],Table1_3[Sales Person],Table1_3[[#This Row],[Sales Person]],Table1_3[Amount],"&lt;=100")&gt;=2,"Contract","Deal")</f>
        <v>Deal</v>
      </c>
    </row>
    <row r="886" spans="1:7" x14ac:dyDescent="0.3">
      <c r="A886" t="s">
        <v>48</v>
      </c>
      <c r="B886" t="s">
        <v>25</v>
      </c>
      <c r="C886" t="s">
        <v>11</v>
      </c>
      <c r="D886">
        <v>5798.43</v>
      </c>
      <c r="E886">
        <v>206</v>
      </c>
      <c r="F886" s="1">
        <v>45424</v>
      </c>
      <c r="G886" t="str">
        <f>IF(COUNTIFS(Table1_3[Country],Table1_3[[#This Row],[Country]],Table1_3[Product],Table1_3[[#This Row],[Product]],Table1_3[Sales Person],Table1_3[[#This Row],[Sales Person]],Table1_3[Amount],"&lt;=100")&gt;=2,"Contract","Deal")</f>
        <v>Deal</v>
      </c>
    </row>
    <row r="887" spans="1:7" x14ac:dyDescent="0.3">
      <c r="A887" t="s">
        <v>48</v>
      </c>
      <c r="B887" t="s">
        <v>25</v>
      </c>
      <c r="C887" t="s">
        <v>23</v>
      </c>
      <c r="D887">
        <v>7959</v>
      </c>
      <c r="E887">
        <v>30</v>
      </c>
      <c r="F887" s="1">
        <v>44656</v>
      </c>
      <c r="G887" t="str">
        <f>IF(COUNTIFS(Table1_3[Country],Table1_3[[#This Row],[Country]],Table1_3[Product],Table1_3[[#This Row],[Product]],Table1_3[Sales Person],Table1_3[[#This Row],[Sales Person]],Table1_3[Amount],"&lt;=100")&gt;=2,"Contract","Deal")</f>
        <v>Deal</v>
      </c>
    </row>
    <row r="888" spans="1:7" x14ac:dyDescent="0.3">
      <c r="A888" t="s">
        <v>48</v>
      </c>
      <c r="B888" t="s">
        <v>25</v>
      </c>
      <c r="C888" t="s">
        <v>23</v>
      </c>
      <c r="D888">
        <v>7944.07</v>
      </c>
      <c r="E888">
        <v>33</v>
      </c>
      <c r="F888" s="1">
        <v>45021</v>
      </c>
      <c r="G888" t="str">
        <f>IF(COUNTIFS(Table1_3[Country],Table1_3[[#This Row],[Country]],Table1_3[Product],Table1_3[[#This Row],[Product]],Table1_3[Sales Person],Table1_3[[#This Row],[Sales Person]],Table1_3[Amount],"&lt;=100")&gt;=2,"Contract","Deal")</f>
        <v>Deal</v>
      </c>
    </row>
    <row r="889" spans="1:7" x14ac:dyDescent="0.3">
      <c r="A889" t="s">
        <v>48</v>
      </c>
      <c r="B889" t="s">
        <v>25</v>
      </c>
      <c r="C889" t="s">
        <v>23</v>
      </c>
      <c r="D889">
        <v>8416.7999999999993</v>
      </c>
      <c r="E889">
        <v>29</v>
      </c>
      <c r="F889" s="1">
        <v>45387</v>
      </c>
      <c r="G889" t="str">
        <f>IF(COUNTIFS(Table1_3[Country],Table1_3[[#This Row],[Country]],Table1_3[Product],Table1_3[[#This Row],[Product]],Table1_3[Sales Person],Table1_3[[#This Row],[Sales Person]],Table1_3[Amount],"&lt;=100")&gt;=2,"Contract","Deal")</f>
        <v>Deal</v>
      </c>
    </row>
    <row r="890" spans="1:7" x14ac:dyDescent="0.3">
      <c r="A890" t="s">
        <v>48</v>
      </c>
      <c r="B890" t="s">
        <v>25</v>
      </c>
      <c r="C890" t="s">
        <v>8</v>
      </c>
      <c r="D890">
        <v>3220</v>
      </c>
      <c r="E890">
        <v>265</v>
      </c>
      <c r="F890" s="1">
        <v>44587</v>
      </c>
      <c r="G890" t="str">
        <f>IF(COUNTIFS(Table1_3[Country],Table1_3[[#This Row],[Country]],Table1_3[Product],Table1_3[[#This Row],[Product]],Table1_3[Sales Person],Table1_3[[#This Row],[Sales Person]],Table1_3[Amount],"&lt;=100")&gt;=2,"Contract","Deal")</f>
        <v>Deal</v>
      </c>
    </row>
    <row r="891" spans="1:7" x14ac:dyDescent="0.3">
      <c r="A891" t="s">
        <v>48</v>
      </c>
      <c r="B891" t="s">
        <v>25</v>
      </c>
      <c r="C891" t="s">
        <v>8</v>
      </c>
      <c r="D891">
        <v>3691.63</v>
      </c>
      <c r="E891">
        <v>284</v>
      </c>
      <c r="F891" s="1">
        <v>44952</v>
      </c>
      <c r="G891" t="str">
        <f>IF(COUNTIFS(Table1_3[Country],Table1_3[[#This Row],[Country]],Table1_3[Product],Table1_3[[#This Row],[Product]],Table1_3[Sales Person],Table1_3[[#This Row],[Sales Person]],Table1_3[Amount],"&lt;=100")&gt;=2,"Contract","Deal")</f>
        <v>Deal</v>
      </c>
    </row>
    <row r="892" spans="1:7" x14ac:dyDescent="0.3">
      <c r="A892" t="s">
        <v>48</v>
      </c>
      <c r="B892" t="s">
        <v>25</v>
      </c>
      <c r="C892" t="s">
        <v>8</v>
      </c>
      <c r="D892">
        <v>3703.51</v>
      </c>
      <c r="E892">
        <v>260</v>
      </c>
      <c r="F892" s="1">
        <v>45317</v>
      </c>
      <c r="G892" t="str">
        <f>IF(COUNTIFS(Table1_3[Country],Table1_3[[#This Row],[Country]],Table1_3[Product],Table1_3[[#This Row],[Product]],Table1_3[Sales Person],Table1_3[[#This Row],[Sales Person]],Table1_3[Amount],"&lt;=100")&gt;=2,"Contract","Deal")</f>
        <v>Deal</v>
      </c>
    </row>
    <row r="893" spans="1:7" x14ac:dyDescent="0.3">
      <c r="A893" t="s">
        <v>48</v>
      </c>
      <c r="B893" t="s">
        <v>25</v>
      </c>
      <c r="C893" t="s">
        <v>13</v>
      </c>
      <c r="D893">
        <v>1533</v>
      </c>
      <c r="E893">
        <v>434</v>
      </c>
      <c r="F893" s="1">
        <v>44635</v>
      </c>
      <c r="G893" t="str">
        <f>IF(COUNTIFS(Table1_3[Country],Table1_3[[#This Row],[Country]],Table1_3[Product],Table1_3[[#This Row],[Product]],Table1_3[Sales Person],Table1_3[[#This Row],[Sales Person]],Table1_3[Amount],"&lt;=100")&gt;=2,"Contract","Deal")</f>
        <v>Deal</v>
      </c>
    </row>
    <row r="894" spans="1:7" x14ac:dyDescent="0.3">
      <c r="A894" t="s">
        <v>48</v>
      </c>
      <c r="B894" t="s">
        <v>25</v>
      </c>
      <c r="C894" t="s">
        <v>13</v>
      </c>
      <c r="D894">
        <v>1637.72</v>
      </c>
      <c r="E894">
        <v>454</v>
      </c>
      <c r="F894" s="1">
        <v>45000</v>
      </c>
      <c r="G894" t="str">
        <f>IF(COUNTIFS(Table1_3[Country],Table1_3[[#This Row],[Country]],Table1_3[Product],Table1_3[[#This Row],[Product]],Table1_3[Sales Person],Table1_3[[#This Row],[Sales Person]],Table1_3[Amount],"&lt;=100")&gt;=2,"Contract","Deal")</f>
        <v>Deal</v>
      </c>
    </row>
    <row r="895" spans="1:7" x14ac:dyDescent="0.3">
      <c r="A895" t="s">
        <v>48</v>
      </c>
      <c r="B895" t="s">
        <v>25</v>
      </c>
      <c r="C895" t="s">
        <v>13</v>
      </c>
      <c r="D895">
        <v>1684.28</v>
      </c>
      <c r="E895">
        <v>419</v>
      </c>
      <c r="F895" s="1">
        <v>45366</v>
      </c>
      <c r="G895" t="str">
        <f>IF(COUNTIFS(Table1_3[Country],Table1_3[[#This Row],[Country]],Table1_3[Product],Table1_3[[#This Row],[Product]],Table1_3[Sales Person],Table1_3[[#This Row],[Sales Person]],Table1_3[Amount],"&lt;=100")&gt;=2,"Contract","Deal")</f>
        <v>Deal</v>
      </c>
    </row>
    <row r="896" spans="1:7" x14ac:dyDescent="0.3">
      <c r="A896" t="s">
        <v>48</v>
      </c>
      <c r="B896" t="s">
        <v>25</v>
      </c>
      <c r="C896" t="s">
        <v>50</v>
      </c>
      <c r="D896">
        <v>4074</v>
      </c>
      <c r="E896">
        <v>469</v>
      </c>
      <c r="F896" s="1">
        <v>44571</v>
      </c>
      <c r="G896" t="str">
        <f>IF(COUNTIFS(Table1_3[Country],Table1_3[[#This Row],[Country]],Table1_3[Product],Table1_3[[#This Row],[Product]],Table1_3[Sales Person],Table1_3[[#This Row],[Sales Person]],Table1_3[Amount],"&lt;=100")&gt;=2,"Contract","Deal")</f>
        <v>Deal</v>
      </c>
    </row>
    <row r="897" spans="1:7" x14ac:dyDescent="0.3">
      <c r="A897" t="s">
        <v>48</v>
      </c>
      <c r="B897" t="s">
        <v>25</v>
      </c>
      <c r="C897" t="s">
        <v>50</v>
      </c>
      <c r="D897">
        <v>4153.59</v>
      </c>
      <c r="E897">
        <v>513</v>
      </c>
      <c r="F897" s="1">
        <v>44936</v>
      </c>
      <c r="G897" t="str">
        <f>IF(COUNTIFS(Table1_3[Country],Table1_3[[#This Row],[Country]],Table1_3[Product],Table1_3[[#This Row],[Product]],Table1_3[Sales Person],Table1_3[[#This Row],[Sales Person]],Table1_3[Amount],"&lt;=100")&gt;=2,"Contract","Deal")</f>
        <v>Deal</v>
      </c>
    </row>
    <row r="898" spans="1:7" x14ac:dyDescent="0.3">
      <c r="A898" t="s">
        <v>48</v>
      </c>
      <c r="B898" t="s">
        <v>25</v>
      </c>
      <c r="C898" t="s">
        <v>50</v>
      </c>
      <c r="D898">
        <v>4651.03</v>
      </c>
      <c r="E898">
        <v>494</v>
      </c>
      <c r="F898" s="1">
        <v>45301</v>
      </c>
      <c r="G898" t="str">
        <f>IF(COUNTIFS(Table1_3[Country],Table1_3[[#This Row],[Country]],Table1_3[Product],Table1_3[[#This Row],[Product]],Table1_3[Sales Person],Table1_3[[#This Row],[Sales Person]],Table1_3[Amount],"&lt;=100")&gt;=2,"Contract","Deal")</f>
        <v>Deal</v>
      </c>
    </row>
    <row r="899" spans="1:7" x14ac:dyDescent="0.3">
      <c r="A899" t="s">
        <v>48</v>
      </c>
      <c r="B899" t="s">
        <v>7</v>
      </c>
      <c r="C899" t="s">
        <v>26</v>
      </c>
      <c r="D899">
        <v>3374</v>
      </c>
      <c r="E899">
        <v>142</v>
      </c>
      <c r="F899" s="1">
        <v>44628</v>
      </c>
      <c r="G899" t="str">
        <f>IF(COUNTIFS(Table1_3[Country],Table1_3[[#This Row],[Country]],Table1_3[Product],Table1_3[[#This Row],[Product]],Table1_3[Sales Person],Table1_3[[#This Row],[Sales Person]],Table1_3[Amount],"&lt;=100")&gt;=2,"Contract","Deal")</f>
        <v>Deal</v>
      </c>
    </row>
    <row r="900" spans="1:7" x14ac:dyDescent="0.3">
      <c r="A900" t="s">
        <v>48</v>
      </c>
      <c r="B900" t="s">
        <v>7</v>
      </c>
      <c r="C900" t="s">
        <v>26</v>
      </c>
      <c r="D900">
        <v>3442.99</v>
      </c>
      <c r="E900">
        <v>142</v>
      </c>
      <c r="F900" s="1">
        <v>44993</v>
      </c>
      <c r="G900" t="str">
        <f>IF(COUNTIFS(Table1_3[Country],Table1_3[[#This Row],[Country]],Table1_3[Product],Table1_3[[#This Row],[Product]],Table1_3[Sales Person],Table1_3[[#This Row],[Sales Person]],Table1_3[Amount],"&lt;=100")&gt;=2,"Contract","Deal")</f>
        <v>Deal</v>
      </c>
    </row>
    <row r="901" spans="1:7" x14ac:dyDescent="0.3">
      <c r="A901" t="s">
        <v>48</v>
      </c>
      <c r="B901" t="s">
        <v>7</v>
      </c>
      <c r="C901" t="s">
        <v>26</v>
      </c>
      <c r="D901">
        <v>3572.26</v>
      </c>
      <c r="E901">
        <v>156</v>
      </c>
      <c r="F901" s="1">
        <v>45359</v>
      </c>
      <c r="G901" t="str">
        <f>IF(COUNTIFS(Table1_3[Country],Table1_3[[#This Row],[Country]],Table1_3[Product],Table1_3[[#This Row],[Product]],Table1_3[Sales Person],Table1_3[[#This Row],[Sales Person]],Table1_3[Amount],"&lt;=100")&gt;=2,"Contract","Deal")</f>
        <v>Deal</v>
      </c>
    </row>
    <row r="902" spans="1:7" x14ac:dyDescent="0.3">
      <c r="A902" t="s">
        <v>48</v>
      </c>
      <c r="B902" t="s">
        <v>7</v>
      </c>
      <c r="C902" t="s">
        <v>11</v>
      </c>
      <c r="D902">
        <v>1085</v>
      </c>
      <c r="E902">
        <v>172</v>
      </c>
      <c r="F902" s="1">
        <v>44720</v>
      </c>
      <c r="G902" t="str">
        <f>IF(COUNTIFS(Table1_3[Country],Table1_3[[#This Row],[Country]],Table1_3[Product],Table1_3[[#This Row],[Product]],Table1_3[Sales Person],Table1_3[[#This Row],[Sales Person]],Table1_3[Amount],"&lt;=100")&gt;=2,"Contract","Deal")</f>
        <v>Deal</v>
      </c>
    </row>
    <row r="903" spans="1:7" x14ac:dyDescent="0.3">
      <c r="A903" t="s">
        <v>48</v>
      </c>
      <c r="B903" t="s">
        <v>7</v>
      </c>
      <c r="C903" t="s">
        <v>11</v>
      </c>
      <c r="D903">
        <v>1131.25</v>
      </c>
      <c r="E903">
        <v>175</v>
      </c>
      <c r="F903" s="1">
        <v>45085</v>
      </c>
      <c r="G903" t="str">
        <f>IF(COUNTIFS(Table1_3[Country],Table1_3[[#This Row],[Country]],Table1_3[Product],Table1_3[[#This Row],[Product]],Table1_3[Sales Person],Table1_3[[#This Row],[Sales Person]],Table1_3[Amount],"&lt;=100")&gt;=2,"Contract","Deal")</f>
        <v>Deal</v>
      </c>
    </row>
    <row r="904" spans="1:7" x14ac:dyDescent="0.3">
      <c r="A904" t="s">
        <v>48</v>
      </c>
      <c r="B904" t="s">
        <v>7</v>
      </c>
      <c r="C904" t="s">
        <v>11</v>
      </c>
      <c r="D904">
        <v>1206.95</v>
      </c>
      <c r="E904">
        <v>174</v>
      </c>
      <c r="F904" s="1">
        <v>45451</v>
      </c>
      <c r="G904" t="str">
        <f>IF(COUNTIFS(Table1_3[Country],Table1_3[[#This Row],[Country]],Table1_3[Product],Table1_3[[#This Row],[Product]],Table1_3[Sales Person],Table1_3[[#This Row],[Sales Person]],Table1_3[Amount],"&lt;=100")&gt;=2,"Contract","Deal")</f>
        <v>Deal</v>
      </c>
    </row>
    <row r="905" spans="1:7" x14ac:dyDescent="0.3">
      <c r="A905" t="s">
        <v>48</v>
      </c>
      <c r="B905" t="s">
        <v>7</v>
      </c>
      <c r="C905" t="s">
        <v>38</v>
      </c>
      <c r="D905">
        <v>455</v>
      </c>
      <c r="E905">
        <v>174</v>
      </c>
      <c r="F905" s="1">
        <v>44754</v>
      </c>
      <c r="G905" t="str">
        <f>IF(COUNTIFS(Table1_3[Country],Table1_3[[#This Row],[Country]],Table1_3[Product],Table1_3[[#This Row],[Product]],Table1_3[Sales Person],Table1_3[[#This Row],[Sales Person]],Table1_3[Amount],"&lt;=100")&gt;=2,"Contract","Deal")</f>
        <v>Deal</v>
      </c>
    </row>
    <row r="906" spans="1:7" x14ac:dyDescent="0.3">
      <c r="A906" t="s">
        <v>48</v>
      </c>
      <c r="B906" t="s">
        <v>7</v>
      </c>
      <c r="C906" t="s">
        <v>38</v>
      </c>
      <c r="D906">
        <v>460.98</v>
      </c>
      <c r="E906">
        <v>182</v>
      </c>
      <c r="F906" s="1">
        <v>45119</v>
      </c>
      <c r="G906" t="str">
        <f>IF(COUNTIFS(Table1_3[Country],Table1_3[[#This Row],[Country]],Table1_3[Product],Table1_3[[#This Row],[Product]],Table1_3[Sales Person],Table1_3[[#This Row],[Sales Person]],Table1_3[Amount],"&lt;=100")&gt;=2,"Contract","Deal")</f>
        <v>Deal</v>
      </c>
    </row>
    <row r="907" spans="1:7" x14ac:dyDescent="0.3">
      <c r="A907" t="s">
        <v>48</v>
      </c>
      <c r="B907" t="s">
        <v>7</v>
      </c>
      <c r="C907" t="s">
        <v>38</v>
      </c>
      <c r="D907">
        <v>494.27</v>
      </c>
      <c r="E907">
        <v>186</v>
      </c>
      <c r="F907" s="1">
        <v>45485</v>
      </c>
      <c r="G907" t="str">
        <f>IF(COUNTIFS(Table1_3[Country],Table1_3[[#This Row],[Country]],Table1_3[Product],Table1_3[[#This Row],[Product]],Table1_3[Sales Person],Table1_3[[#This Row],[Sales Person]],Table1_3[Amount],"&lt;=100")&gt;=2,"Contract","Deal")</f>
        <v>Deal</v>
      </c>
    </row>
    <row r="908" spans="1:7" x14ac:dyDescent="0.3">
      <c r="A908" t="s">
        <v>48</v>
      </c>
      <c r="B908" t="s">
        <v>7</v>
      </c>
      <c r="C908" t="s">
        <v>57</v>
      </c>
      <c r="D908">
        <v>10927</v>
      </c>
      <c r="E908">
        <v>136</v>
      </c>
      <c r="F908" s="1">
        <v>44736</v>
      </c>
      <c r="G908" t="str">
        <f>IF(COUNTIFS(Table1_3[Country],Table1_3[[#This Row],[Country]],Table1_3[Product],Table1_3[[#This Row],[Product]],Table1_3[Sales Person],Table1_3[[#This Row],[Sales Person]],Table1_3[Amount],"&lt;=100")&gt;=2,"Contract","Deal")</f>
        <v>Deal</v>
      </c>
    </row>
    <row r="909" spans="1:7" x14ac:dyDescent="0.3">
      <c r="A909" t="s">
        <v>48</v>
      </c>
      <c r="B909" t="s">
        <v>7</v>
      </c>
      <c r="C909" t="s">
        <v>57</v>
      </c>
      <c r="D909">
        <v>11688.75</v>
      </c>
      <c r="E909">
        <v>136</v>
      </c>
      <c r="F909" s="1">
        <v>45101</v>
      </c>
      <c r="G909" t="str">
        <f>IF(COUNTIFS(Table1_3[Country],Table1_3[[#This Row],[Country]],Table1_3[Product],Table1_3[[#This Row],[Product]],Table1_3[Sales Person],Table1_3[[#This Row],[Sales Person]],Table1_3[Amount],"&lt;=100")&gt;=2,"Contract","Deal")</f>
        <v>Deal</v>
      </c>
    </row>
    <row r="910" spans="1:7" x14ac:dyDescent="0.3">
      <c r="A910" t="s">
        <v>48</v>
      </c>
      <c r="B910" t="s">
        <v>7</v>
      </c>
      <c r="C910" t="s">
        <v>57</v>
      </c>
      <c r="D910">
        <v>12197.19</v>
      </c>
      <c r="E910">
        <v>135</v>
      </c>
      <c r="F910" s="1">
        <v>45467</v>
      </c>
      <c r="G910" t="str">
        <f>IF(COUNTIFS(Table1_3[Country],Table1_3[[#This Row],[Country]],Table1_3[Product],Table1_3[[#This Row],[Product]],Table1_3[Sales Person],Table1_3[[#This Row],[Sales Person]],Table1_3[Amount],"&lt;=100")&gt;=2,"Contract","Deal")</f>
        <v>Deal</v>
      </c>
    </row>
    <row r="911" spans="1:7" x14ac:dyDescent="0.3">
      <c r="A911" t="s">
        <v>48</v>
      </c>
      <c r="B911" t="s">
        <v>7</v>
      </c>
      <c r="C911" t="s">
        <v>60</v>
      </c>
      <c r="D911">
        <v>1666</v>
      </c>
      <c r="E911">
        <v>106</v>
      </c>
      <c r="F911" s="1">
        <v>44599</v>
      </c>
      <c r="G911" t="str">
        <f>IF(COUNTIFS(Table1_3[Country],Table1_3[[#This Row],[Country]],Table1_3[Product],Table1_3[[#This Row],[Product]],Table1_3[Sales Person],Table1_3[[#This Row],[Sales Person]],Table1_3[Amount],"&lt;=100")&gt;=2,"Contract","Deal")</f>
        <v>Deal</v>
      </c>
    </row>
    <row r="912" spans="1:7" x14ac:dyDescent="0.3">
      <c r="A912" t="s">
        <v>48</v>
      </c>
      <c r="B912" t="s">
        <v>7</v>
      </c>
      <c r="C912" t="s">
        <v>60</v>
      </c>
      <c r="D912">
        <v>1710.48</v>
      </c>
      <c r="E912">
        <v>108</v>
      </c>
      <c r="F912" s="1">
        <v>44964</v>
      </c>
      <c r="G912" t="str">
        <f>IF(COUNTIFS(Table1_3[Country],Table1_3[[#This Row],[Country]],Table1_3[Product],Table1_3[[#This Row],[Product]],Table1_3[Sales Person],Table1_3[[#This Row],[Sales Person]],Table1_3[Amount],"&lt;=100")&gt;=2,"Contract","Deal")</f>
        <v>Deal</v>
      </c>
    </row>
    <row r="913" spans="1:7" x14ac:dyDescent="0.3">
      <c r="A913" t="s">
        <v>48</v>
      </c>
      <c r="B913" t="s">
        <v>7</v>
      </c>
      <c r="C913" t="s">
        <v>60</v>
      </c>
      <c r="D913">
        <v>1969.62</v>
      </c>
      <c r="E913">
        <v>114</v>
      </c>
      <c r="F913" s="1">
        <v>45329</v>
      </c>
      <c r="G913" t="str">
        <f>IF(COUNTIFS(Table1_3[Country],Table1_3[[#This Row],[Country]],Table1_3[Product],Table1_3[[#This Row],[Product]],Table1_3[Sales Person],Table1_3[[#This Row],[Sales Person]],Table1_3[Amount],"&lt;=100")&gt;=2,"Contract","Deal")</f>
        <v>Deal</v>
      </c>
    </row>
    <row r="914" spans="1:7" x14ac:dyDescent="0.3">
      <c r="A914" t="s">
        <v>48</v>
      </c>
      <c r="B914" t="s">
        <v>7</v>
      </c>
      <c r="C914" t="s">
        <v>13</v>
      </c>
      <c r="D914">
        <v>15008</v>
      </c>
      <c r="E914">
        <v>165</v>
      </c>
      <c r="F914" s="1">
        <v>44621</v>
      </c>
      <c r="G914" t="str">
        <f>IF(COUNTIFS(Table1_3[Country],Table1_3[[#This Row],[Country]],Table1_3[Product],Table1_3[[#This Row],[Product]],Table1_3[Sales Person],Table1_3[[#This Row],[Sales Person]],Table1_3[Amount],"&lt;=100")&gt;=2,"Contract","Deal")</f>
        <v>Deal</v>
      </c>
    </row>
    <row r="915" spans="1:7" x14ac:dyDescent="0.3">
      <c r="A915" t="s">
        <v>48</v>
      </c>
      <c r="B915" t="s">
        <v>7</v>
      </c>
      <c r="C915" t="s">
        <v>13</v>
      </c>
      <c r="D915">
        <v>15653.44</v>
      </c>
      <c r="E915">
        <v>175</v>
      </c>
      <c r="F915" s="1">
        <v>44986</v>
      </c>
      <c r="G915" t="str">
        <f>IF(COUNTIFS(Table1_3[Country],Table1_3[[#This Row],[Country]],Table1_3[Product],Table1_3[[#This Row],[Product]],Table1_3[Sales Person],Table1_3[[#This Row],[Sales Person]],Table1_3[Amount],"&lt;=100")&gt;=2,"Contract","Deal")</f>
        <v>Deal</v>
      </c>
    </row>
    <row r="916" spans="1:7" x14ac:dyDescent="0.3">
      <c r="A916" t="s">
        <v>48</v>
      </c>
      <c r="B916" t="s">
        <v>7</v>
      </c>
      <c r="C916" t="s">
        <v>13</v>
      </c>
      <c r="D916">
        <v>16460.650000000001</v>
      </c>
      <c r="E916">
        <v>171</v>
      </c>
      <c r="F916" s="1">
        <v>45352</v>
      </c>
      <c r="G916" t="str">
        <f>IF(COUNTIFS(Table1_3[Country],Table1_3[[#This Row],[Country]],Table1_3[Product],Table1_3[[#This Row],[Product]],Table1_3[Sales Person],Table1_3[[#This Row],[Sales Person]],Table1_3[Amount],"&lt;=100")&gt;=2,"Contract","Deal")</f>
        <v>Deal</v>
      </c>
    </row>
    <row r="917" spans="1:7" x14ac:dyDescent="0.3">
      <c r="A917" t="s">
        <v>48</v>
      </c>
      <c r="B917" t="s">
        <v>7</v>
      </c>
      <c r="C917" t="s">
        <v>59</v>
      </c>
      <c r="D917">
        <v>1540</v>
      </c>
      <c r="E917">
        <v>73</v>
      </c>
      <c r="F917" s="1">
        <v>44593</v>
      </c>
      <c r="G917" t="str">
        <f>IF(COUNTIFS(Table1_3[Country],Table1_3[[#This Row],[Country]],Table1_3[Product],Table1_3[[#This Row],[Product]],Table1_3[Sales Person],Table1_3[[#This Row],[Sales Person]],Table1_3[Amount],"&lt;=100")&gt;=2,"Contract","Deal")</f>
        <v>Deal</v>
      </c>
    </row>
    <row r="918" spans="1:7" x14ac:dyDescent="0.3">
      <c r="A918" t="s">
        <v>48</v>
      </c>
      <c r="B918" t="s">
        <v>7</v>
      </c>
      <c r="C918" t="s">
        <v>59</v>
      </c>
      <c r="D918">
        <v>1775.18</v>
      </c>
      <c r="E918">
        <v>73</v>
      </c>
      <c r="F918" s="1">
        <v>44958</v>
      </c>
      <c r="G918" t="str">
        <f>IF(COUNTIFS(Table1_3[Country],Table1_3[[#This Row],[Country]],Table1_3[Product],Table1_3[[#This Row],[Product]],Table1_3[Sales Person],Table1_3[[#This Row],[Sales Person]],Table1_3[Amount],"&lt;=100")&gt;=2,"Contract","Deal")</f>
        <v>Deal</v>
      </c>
    </row>
    <row r="919" spans="1:7" x14ac:dyDescent="0.3">
      <c r="A919" t="s">
        <v>48</v>
      </c>
      <c r="B919" t="s">
        <v>7</v>
      </c>
      <c r="C919" t="s">
        <v>59</v>
      </c>
      <c r="D919">
        <v>1634.54</v>
      </c>
      <c r="E919">
        <v>70</v>
      </c>
      <c r="F919" s="1">
        <v>45323</v>
      </c>
      <c r="G919" t="str">
        <f>IF(COUNTIFS(Table1_3[Country],Table1_3[[#This Row],[Country]],Table1_3[Product],Table1_3[[#This Row],[Product]],Table1_3[Sales Person],Table1_3[[#This Row],[Sales Person]],Table1_3[Amount],"&lt;=100")&gt;=2,"Contract","Deal")</f>
        <v>Deal</v>
      </c>
    </row>
    <row r="920" spans="1:7" x14ac:dyDescent="0.3">
      <c r="A920" t="s">
        <v>48</v>
      </c>
      <c r="B920" t="s">
        <v>32</v>
      </c>
      <c r="C920" t="s">
        <v>23</v>
      </c>
      <c r="D920">
        <v>14147</v>
      </c>
      <c r="E920">
        <v>235</v>
      </c>
      <c r="F920" s="1">
        <v>44664</v>
      </c>
      <c r="G920" t="str">
        <f>IF(COUNTIFS(Table1_3[Country],Table1_3[[#This Row],[Country]],Table1_3[Product],Table1_3[[#This Row],[Product]],Table1_3[Sales Person],Table1_3[[#This Row],[Sales Person]],Table1_3[Amount],"&lt;=100")&gt;=2,"Contract","Deal")</f>
        <v>Deal</v>
      </c>
    </row>
    <row r="921" spans="1:7" x14ac:dyDescent="0.3">
      <c r="A921" t="s">
        <v>48</v>
      </c>
      <c r="B921" t="s">
        <v>32</v>
      </c>
      <c r="C921" t="s">
        <v>23</v>
      </c>
      <c r="D921">
        <v>15728.81</v>
      </c>
      <c r="E921">
        <v>256</v>
      </c>
      <c r="F921" s="1">
        <v>45029</v>
      </c>
      <c r="G921" t="str">
        <f>IF(COUNTIFS(Table1_3[Country],Table1_3[[#This Row],[Country]],Table1_3[Product],Table1_3[[#This Row],[Product]],Table1_3[Sales Person],Table1_3[[#This Row],[Sales Person]],Table1_3[Amount],"&lt;=100")&gt;=2,"Contract","Deal")</f>
        <v>Deal</v>
      </c>
    </row>
    <row r="922" spans="1:7" x14ac:dyDescent="0.3">
      <c r="A922" t="s">
        <v>48</v>
      </c>
      <c r="B922" t="s">
        <v>32</v>
      </c>
      <c r="C922" t="s">
        <v>23</v>
      </c>
      <c r="D922">
        <v>14885.97</v>
      </c>
      <c r="E922">
        <v>248</v>
      </c>
      <c r="F922" s="1">
        <v>45395</v>
      </c>
      <c r="G922" t="str">
        <f>IF(COUNTIFS(Table1_3[Country],Table1_3[[#This Row],[Country]],Table1_3[Product],Table1_3[[#This Row],[Product]],Table1_3[Sales Person],Table1_3[[#This Row],[Sales Person]],Table1_3[Amount],"&lt;=100")&gt;=2,"Contract","Deal")</f>
        <v>Deal</v>
      </c>
    </row>
    <row r="923" spans="1:7" x14ac:dyDescent="0.3">
      <c r="A923" t="s">
        <v>48</v>
      </c>
      <c r="B923" t="s">
        <v>32</v>
      </c>
      <c r="C923" t="s">
        <v>38</v>
      </c>
      <c r="D923">
        <v>5187</v>
      </c>
      <c r="E923">
        <v>142</v>
      </c>
      <c r="F923" s="1">
        <v>44599</v>
      </c>
      <c r="G923" t="str">
        <f>IF(COUNTIFS(Table1_3[Country],Table1_3[[#This Row],[Country]],Table1_3[Product],Table1_3[[#This Row],[Product]],Table1_3[Sales Person],Table1_3[[#This Row],[Sales Person]],Table1_3[Amount],"&lt;=100")&gt;=2,"Contract","Deal")</f>
        <v>Deal</v>
      </c>
    </row>
    <row r="924" spans="1:7" x14ac:dyDescent="0.3">
      <c r="A924" t="s">
        <v>48</v>
      </c>
      <c r="B924" t="s">
        <v>32</v>
      </c>
      <c r="C924" t="s">
        <v>38</v>
      </c>
      <c r="D924">
        <v>5378.09</v>
      </c>
      <c r="E924">
        <v>142</v>
      </c>
      <c r="F924" s="1">
        <v>44964</v>
      </c>
      <c r="G924" t="str">
        <f>IF(COUNTIFS(Table1_3[Country],Table1_3[[#This Row],[Country]],Table1_3[Product],Table1_3[[#This Row],[Product]],Table1_3[Sales Person],Table1_3[[#This Row],[Sales Person]],Table1_3[Amount],"&lt;=100")&gt;=2,"Contract","Deal")</f>
        <v>Deal</v>
      </c>
    </row>
    <row r="925" spans="1:7" x14ac:dyDescent="0.3">
      <c r="A925" t="s">
        <v>48</v>
      </c>
      <c r="B925" t="s">
        <v>32</v>
      </c>
      <c r="C925" t="s">
        <v>38</v>
      </c>
      <c r="D925">
        <v>6170.75</v>
      </c>
      <c r="E925">
        <v>149</v>
      </c>
      <c r="F925" s="1">
        <v>45329</v>
      </c>
      <c r="G925" t="str">
        <f>IF(COUNTIFS(Table1_3[Country],Table1_3[[#This Row],[Country]],Table1_3[Product],Table1_3[[#This Row],[Product]],Table1_3[Sales Person],Table1_3[[#This Row],[Sales Person]],Table1_3[Amount],"&lt;=100")&gt;=2,"Contract","Deal")</f>
        <v>Deal</v>
      </c>
    </row>
    <row r="926" spans="1:7" x14ac:dyDescent="0.3">
      <c r="A926" t="s">
        <v>48</v>
      </c>
      <c r="B926" t="s">
        <v>32</v>
      </c>
      <c r="C926" t="s">
        <v>8</v>
      </c>
      <c r="D926">
        <v>4802</v>
      </c>
      <c r="E926">
        <v>296</v>
      </c>
      <c r="F926" s="1">
        <v>44797</v>
      </c>
      <c r="G926" t="str">
        <f>IF(COUNTIFS(Table1_3[Country],Table1_3[[#This Row],[Country]],Table1_3[Product],Table1_3[[#This Row],[Product]],Table1_3[Sales Person],Table1_3[[#This Row],[Sales Person]],Table1_3[Amount],"&lt;=100")&gt;=2,"Contract","Deal")</f>
        <v>Deal</v>
      </c>
    </row>
    <row r="927" spans="1:7" x14ac:dyDescent="0.3">
      <c r="A927" t="s">
        <v>48</v>
      </c>
      <c r="B927" t="s">
        <v>32</v>
      </c>
      <c r="C927" t="s">
        <v>8</v>
      </c>
      <c r="D927">
        <v>5188.8900000000003</v>
      </c>
      <c r="E927">
        <v>293</v>
      </c>
      <c r="F927" s="1">
        <v>45162</v>
      </c>
      <c r="G927" t="str">
        <f>IF(COUNTIFS(Table1_3[Country],Table1_3[[#This Row],[Country]],Table1_3[Product],Table1_3[[#This Row],[Product]],Table1_3[Sales Person],Table1_3[[#This Row],[Sales Person]],Table1_3[Amount],"&lt;=100")&gt;=2,"Contract","Deal")</f>
        <v>Deal</v>
      </c>
    </row>
    <row r="928" spans="1:7" x14ac:dyDescent="0.3">
      <c r="A928" t="s">
        <v>48</v>
      </c>
      <c r="B928" t="s">
        <v>32</v>
      </c>
      <c r="C928" t="s">
        <v>8</v>
      </c>
      <c r="D928">
        <v>5679.57</v>
      </c>
      <c r="E928">
        <v>285</v>
      </c>
      <c r="F928" s="1">
        <v>45528</v>
      </c>
      <c r="G928" t="str">
        <f>IF(COUNTIFS(Table1_3[Country],Table1_3[[#This Row],[Country]],Table1_3[Product],Table1_3[[#This Row],[Product]],Table1_3[Sales Person],Table1_3[[#This Row],[Sales Person]],Table1_3[Amount],"&lt;=100")&gt;=2,"Contract","Deal")</f>
        <v>Deal</v>
      </c>
    </row>
    <row r="929" spans="1:7" x14ac:dyDescent="0.3">
      <c r="A929" t="s">
        <v>48</v>
      </c>
      <c r="B929" t="s">
        <v>32</v>
      </c>
      <c r="C929" t="s">
        <v>73</v>
      </c>
      <c r="D929">
        <v>2996</v>
      </c>
      <c r="E929">
        <v>139</v>
      </c>
      <c r="F929" s="1">
        <v>44635</v>
      </c>
      <c r="G929" t="str">
        <f>IF(COUNTIFS(Table1_3[Country],Table1_3[[#This Row],[Country]],Table1_3[Product],Table1_3[[#This Row],[Product]],Table1_3[Sales Person],Table1_3[[#This Row],[Sales Person]],Table1_3[Amount],"&lt;=100")&gt;=2,"Contract","Deal")</f>
        <v>Deal</v>
      </c>
    </row>
    <row r="930" spans="1:7" x14ac:dyDescent="0.3">
      <c r="A930" t="s">
        <v>48</v>
      </c>
      <c r="B930" t="s">
        <v>32</v>
      </c>
      <c r="C930" t="s">
        <v>73</v>
      </c>
      <c r="D930">
        <v>3086.89</v>
      </c>
      <c r="E930">
        <v>153</v>
      </c>
      <c r="F930" s="1">
        <v>45000</v>
      </c>
      <c r="G930" t="str">
        <f>IF(COUNTIFS(Table1_3[Country],Table1_3[[#This Row],[Country]],Table1_3[Product],Table1_3[[#This Row],[Product]],Table1_3[Sales Person],Table1_3[[#This Row],[Sales Person]],Table1_3[Amount],"&lt;=100")&gt;=2,"Contract","Deal")</f>
        <v>Deal</v>
      </c>
    </row>
    <row r="931" spans="1:7" x14ac:dyDescent="0.3">
      <c r="A931" t="s">
        <v>48</v>
      </c>
      <c r="B931" t="s">
        <v>32</v>
      </c>
      <c r="C931" t="s">
        <v>73</v>
      </c>
      <c r="D931">
        <v>3151.23</v>
      </c>
      <c r="E931">
        <v>144</v>
      </c>
      <c r="F931" s="1">
        <v>45366</v>
      </c>
      <c r="G931" t="str">
        <f>IF(COUNTIFS(Table1_3[Country],Table1_3[[#This Row],[Country]],Table1_3[Product],Table1_3[[#This Row],[Product]],Table1_3[Sales Person],Table1_3[[#This Row],[Sales Person]],Table1_3[Amount],"&lt;=100")&gt;=2,"Contract","Deal")</f>
        <v>Deal</v>
      </c>
    </row>
    <row r="932" spans="1:7" x14ac:dyDescent="0.3">
      <c r="A932" t="s">
        <v>48</v>
      </c>
      <c r="B932" t="s">
        <v>32</v>
      </c>
      <c r="C932" t="s">
        <v>50</v>
      </c>
      <c r="D932">
        <v>1603</v>
      </c>
      <c r="E932">
        <v>264</v>
      </c>
      <c r="F932" s="1">
        <v>44753</v>
      </c>
      <c r="G932" t="str">
        <f>IF(COUNTIFS(Table1_3[Country],Table1_3[[#This Row],[Country]],Table1_3[Product],Table1_3[[#This Row],[Product]],Table1_3[Sales Person],Table1_3[[#This Row],[Sales Person]],Table1_3[Amount],"&lt;=100")&gt;=2,"Contract","Deal")</f>
        <v>Deal</v>
      </c>
    </row>
    <row r="933" spans="1:7" x14ac:dyDescent="0.3">
      <c r="A933" t="s">
        <v>48</v>
      </c>
      <c r="B933" t="s">
        <v>32</v>
      </c>
      <c r="C933" t="s">
        <v>50</v>
      </c>
      <c r="D933">
        <v>1788.1</v>
      </c>
      <c r="E933">
        <v>271</v>
      </c>
      <c r="F933" s="1">
        <v>45118</v>
      </c>
      <c r="G933" t="str">
        <f>IF(COUNTIFS(Table1_3[Country],Table1_3[[#This Row],[Country]],Table1_3[Product],Table1_3[[#This Row],[Product]],Table1_3[Sales Person],Table1_3[[#This Row],[Sales Person]],Table1_3[Amount],"&lt;=100")&gt;=2,"Contract","Deal")</f>
        <v>Deal</v>
      </c>
    </row>
    <row r="934" spans="1:7" x14ac:dyDescent="0.3">
      <c r="A934" t="s">
        <v>48</v>
      </c>
      <c r="B934" t="s">
        <v>32</v>
      </c>
      <c r="C934" t="s">
        <v>50</v>
      </c>
      <c r="D934">
        <v>1679.89</v>
      </c>
      <c r="E934">
        <v>287</v>
      </c>
      <c r="F934" s="1">
        <v>45484</v>
      </c>
      <c r="G934" t="str">
        <f>IF(COUNTIFS(Table1_3[Country],Table1_3[[#This Row],[Country]],Table1_3[Product],Table1_3[[#This Row],[Product]],Table1_3[Sales Person],Table1_3[[#This Row],[Sales Person]],Table1_3[Amount],"&lt;=100")&gt;=2,"Contract","Deal")</f>
        <v>Deal</v>
      </c>
    </row>
    <row r="935" spans="1:7" x14ac:dyDescent="0.3">
      <c r="A935" t="s">
        <v>58</v>
      </c>
      <c r="B935" t="s">
        <v>15</v>
      </c>
      <c r="C935" t="s">
        <v>26</v>
      </c>
      <c r="D935">
        <v>7287</v>
      </c>
      <c r="E935">
        <v>12</v>
      </c>
      <c r="F935" s="1">
        <v>44652</v>
      </c>
      <c r="G935" t="str">
        <f>IF(COUNTIFS(Table1_3[Country],Table1_3[[#This Row],[Country]],Table1_3[Product],Table1_3[[#This Row],[Product]],Table1_3[Sales Person],Table1_3[[#This Row],[Sales Person]],Table1_3[Amount],"&lt;=100")&gt;=2,"Contract","Deal")</f>
        <v>Deal</v>
      </c>
    </row>
    <row r="936" spans="1:7" x14ac:dyDescent="0.3">
      <c r="A936" t="s">
        <v>58</v>
      </c>
      <c r="B936" t="s">
        <v>15</v>
      </c>
      <c r="C936" t="s">
        <v>26</v>
      </c>
      <c r="D936">
        <v>7374.26</v>
      </c>
      <c r="E936">
        <v>12</v>
      </c>
      <c r="F936" s="1">
        <v>45017</v>
      </c>
      <c r="G936" t="str">
        <f>IF(COUNTIFS(Table1_3[Country],Table1_3[[#This Row],[Country]],Table1_3[Product],Table1_3[[#This Row],[Product]],Table1_3[Sales Person],Table1_3[[#This Row],[Sales Person]],Table1_3[Amount],"&lt;=100")&gt;=2,"Contract","Deal")</f>
        <v>Deal</v>
      </c>
    </row>
    <row r="937" spans="1:7" x14ac:dyDescent="0.3">
      <c r="A937" t="s">
        <v>58</v>
      </c>
      <c r="B937" t="s">
        <v>15</v>
      </c>
      <c r="C937" t="s">
        <v>26</v>
      </c>
      <c r="D937">
        <v>7618.91</v>
      </c>
      <c r="E937">
        <v>12</v>
      </c>
      <c r="F937" s="1">
        <v>45383</v>
      </c>
      <c r="G937" t="str">
        <f>IF(COUNTIFS(Table1_3[Country],Table1_3[[#This Row],[Country]],Table1_3[Product],Table1_3[[#This Row],[Product]],Table1_3[Sales Person],Table1_3[[#This Row],[Sales Person]],Table1_3[Amount],"&lt;=100")&gt;=2,"Contract","Deal")</f>
        <v>Deal</v>
      </c>
    </row>
    <row r="938" spans="1:7" x14ac:dyDescent="0.3">
      <c r="A938" t="s">
        <v>58</v>
      </c>
      <c r="B938" t="s">
        <v>15</v>
      </c>
      <c r="C938" t="s">
        <v>100</v>
      </c>
      <c r="D938">
        <v>5859</v>
      </c>
      <c r="E938">
        <v>108</v>
      </c>
      <c r="F938" s="1">
        <v>44599</v>
      </c>
      <c r="G938" t="str">
        <f>IF(COUNTIFS(Table1_3[Country],Table1_3[[#This Row],[Country]],Table1_3[Product],Table1_3[[#This Row],[Product]],Table1_3[Sales Person],Table1_3[[#This Row],[Sales Person]],Table1_3[Amount],"&lt;=100")&gt;=2,"Contract","Deal")</f>
        <v>Deal</v>
      </c>
    </row>
    <row r="939" spans="1:7" x14ac:dyDescent="0.3">
      <c r="A939" t="s">
        <v>58</v>
      </c>
      <c r="B939" t="s">
        <v>15</v>
      </c>
      <c r="C939" t="s">
        <v>100</v>
      </c>
      <c r="D939">
        <v>6087.53</v>
      </c>
      <c r="E939">
        <v>113</v>
      </c>
      <c r="F939" s="1">
        <v>44964</v>
      </c>
      <c r="G939" t="str">
        <f>IF(COUNTIFS(Table1_3[Country],Table1_3[[#This Row],[Country]],Table1_3[Product],Table1_3[[#This Row],[Product]],Table1_3[Sales Person],Table1_3[[#This Row],[Sales Person]],Table1_3[Amount],"&lt;=100")&gt;=2,"Contract","Deal")</f>
        <v>Deal</v>
      </c>
    </row>
    <row r="940" spans="1:7" x14ac:dyDescent="0.3">
      <c r="A940" t="s">
        <v>58</v>
      </c>
      <c r="B940" t="s">
        <v>15</v>
      </c>
      <c r="C940" t="s">
        <v>100</v>
      </c>
      <c r="D940">
        <v>6166.8</v>
      </c>
      <c r="E940">
        <v>114</v>
      </c>
      <c r="F940" s="1">
        <v>45329</v>
      </c>
      <c r="G940" t="str">
        <f>IF(COUNTIFS(Table1_3[Country],Table1_3[[#This Row],[Country]],Table1_3[Product],Table1_3[[#This Row],[Product]],Table1_3[Sales Person],Table1_3[[#This Row],[Sales Person]],Table1_3[Amount],"&lt;=100")&gt;=2,"Contract","Deal")</f>
        <v>Deal</v>
      </c>
    </row>
    <row r="941" spans="1:7" x14ac:dyDescent="0.3">
      <c r="A941" t="s">
        <v>58</v>
      </c>
      <c r="B941" t="s">
        <v>15</v>
      </c>
      <c r="C941" t="s">
        <v>11</v>
      </c>
      <c r="D941">
        <v>6881</v>
      </c>
      <c r="E941">
        <v>420</v>
      </c>
      <c r="F941" s="1">
        <v>44656</v>
      </c>
      <c r="G941" t="str">
        <f>IF(COUNTIFS(Table1_3[Country],Table1_3[[#This Row],[Country]],Table1_3[Product],Table1_3[[#This Row],[Product]],Table1_3[Sales Person],Table1_3[[#This Row],[Sales Person]],Table1_3[Amount],"&lt;=100")&gt;=2,"Contract","Deal")</f>
        <v>Deal</v>
      </c>
    </row>
    <row r="942" spans="1:7" x14ac:dyDescent="0.3">
      <c r="A942" t="s">
        <v>58</v>
      </c>
      <c r="B942" t="s">
        <v>15</v>
      </c>
      <c r="C942" t="s">
        <v>11</v>
      </c>
      <c r="D942">
        <v>7807.02</v>
      </c>
      <c r="E942">
        <v>419</v>
      </c>
      <c r="F942" s="1">
        <v>45021</v>
      </c>
      <c r="G942" t="str">
        <f>IF(COUNTIFS(Table1_3[Country],Table1_3[[#This Row],[Country]],Table1_3[Product],Table1_3[[#This Row],[Product]],Table1_3[Sales Person],Table1_3[[#This Row],[Sales Person]],Table1_3[Amount],"&lt;=100")&gt;=2,"Contract","Deal")</f>
        <v>Deal</v>
      </c>
    </row>
    <row r="943" spans="1:7" x14ac:dyDescent="0.3">
      <c r="A943" t="s">
        <v>58</v>
      </c>
      <c r="B943" t="s">
        <v>15</v>
      </c>
      <c r="C943" t="s">
        <v>11</v>
      </c>
      <c r="D943">
        <v>8278.86</v>
      </c>
      <c r="E943">
        <v>453</v>
      </c>
      <c r="F943" s="1">
        <v>45387</v>
      </c>
      <c r="G943" t="str">
        <f>IF(COUNTIFS(Table1_3[Country],Table1_3[[#This Row],[Country]],Table1_3[Product],Table1_3[[#This Row],[Product]],Table1_3[Sales Person],Table1_3[[#This Row],[Sales Person]],Table1_3[Amount],"&lt;=100")&gt;=2,"Contract","Deal")</f>
        <v>Deal</v>
      </c>
    </row>
    <row r="944" spans="1:7" x14ac:dyDescent="0.3">
      <c r="A944" t="s">
        <v>58</v>
      </c>
      <c r="B944" t="s">
        <v>15</v>
      </c>
      <c r="C944" t="s">
        <v>20</v>
      </c>
      <c r="D944">
        <v>2758</v>
      </c>
      <c r="E944">
        <v>18</v>
      </c>
      <c r="F944" s="1">
        <v>44592</v>
      </c>
      <c r="G944" t="str">
        <f>IF(COUNTIFS(Table1_3[Country],Table1_3[[#This Row],[Country]],Table1_3[Product],Table1_3[[#This Row],[Product]],Table1_3[Sales Person],Table1_3[[#This Row],[Sales Person]],Table1_3[Amount],"&lt;=100")&gt;=2,"Contract","Deal")</f>
        <v>Deal</v>
      </c>
    </row>
    <row r="945" spans="1:7" x14ac:dyDescent="0.3">
      <c r="A945" t="s">
        <v>58</v>
      </c>
      <c r="B945" t="s">
        <v>15</v>
      </c>
      <c r="C945" t="s">
        <v>20</v>
      </c>
      <c r="D945">
        <v>3017.66</v>
      </c>
      <c r="E945">
        <v>19</v>
      </c>
      <c r="F945" s="1">
        <v>44957</v>
      </c>
      <c r="G945" t="str">
        <f>IF(COUNTIFS(Table1_3[Country],Table1_3[[#This Row],[Country]],Table1_3[Product],Table1_3[[#This Row],[Product]],Table1_3[Sales Person],Table1_3[[#This Row],[Sales Person]],Table1_3[Amount],"&lt;=100")&gt;=2,"Contract","Deal")</f>
        <v>Deal</v>
      </c>
    </row>
    <row r="946" spans="1:7" x14ac:dyDescent="0.3">
      <c r="A946" t="s">
        <v>58</v>
      </c>
      <c r="B946" t="s">
        <v>15</v>
      </c>
      <c r="C946" t="s">
        <v>20</v>
      </c>
      <c r="D946">
        <v>3020.67</v>
      </c>
      <c r="E946">
        <v>19</v>
      </c>
      <c r="F946" s="1">
        <v>45322</v>
      </c>
      <c r="G946" t="str">
        <f>IF(COUNTIFS(Table1_3[Country],Table1_3[[#This Row],[Country]],Table1_3[Product],Table1_3[[#This Row],[Product]],Table1_3[Sales Person],Table1_3[[#This Row],[Sales Person]],Table1_3[Amount],"&lt;=100")&gt;=2,"Contract","Deal")</f>
        <v>Deal</v>
      </c>
    </row>
    <row r="947" spans="1:7" x14ac:dyDescent="0.3">
      <c r="A947" t="s">
        <v>58</v>
      </c>
      <c r="B947" t="s">
        <v>15</v>
      </c>
      <c r="C947" t="s">
        <v>87</v>
      </c>
      <c r="D947">
        <v>13846</v>
      </c>
      <c r="E947">
        <v>421</v>
      </c>
      <c r="F947" s="1">
        <v>44572</v>
      </c>
      <c r="G947" t="str">
        <f>IF(COUNTIFS(Table1_3[Country],Table1_3[[#This Row],[Country]],Table1_3[Product],Table1_3[[#This Row],[Product]],Table1_3[Sales Person],Table1_3[[#This Row],[Sales Person]],Table1_3[Amount],"&lt;=100")&gt;=2,"Contract","Deal")</f>
        <v>Deal</v>
      </c>
    </row>
    <row r="948" spans="1:7" x14ac:dyDescent="0.3">
      <c r="A948" t="s">
        <v>58</v>
      </c>
      <c r="B948" t="s">
        <v>15</v>
      </c>
      <c r="C948" t="s">
        <v>87</v>
      </c>
      <c r="D948">
        <v>15870.43</v>
      </c>
      <c r="E948">
        <v>449</v>
      </c>
      <c r="F948" s="1">
        <v>44937</v>
      </c>
      <c r="G948" t="str">
        <f>IF(COUNTIFS(Table1_3[Country],Table1_3[[#This Row],[Country]],Table1_3[Product],Table1_3[[#This Row],[Product]],Table1_3[Sales Person],Table1_3[[#This Row],[Sales Person]],Table1_3[Amount],"&lt;=100")&gt;=2,"Contract","Deal")</f>
        <v>Deal</v>
      </c>
    </row>
    <row r="949" spans="1:7" x14ac:dyDescent="0.3">
      <c r="A949" t="s">
        <v>58</v>
      </c>
      <c r="B949" t="s">
        <v>15</v>
      </c>
      <c r="C949" t="s">
        <v>87</v>
      </c>
      <c r="D949">
        <v>16435.38</v>
      </c>
      <c r="E949">
        <v>425</v>
      </c>
      <c r="F949" s="1">
        <v>45302</v>
      </c>
      <c r="G949" t="str">
        <f>IF(COUNTIFS(Table1_3[Country],Table1_3[[#This Row],[Country]],Table1_3[Product],Table1_3[[#This Row],[Product]],Table1_3[Sales Person],Table1_3[[#This Row],[Sales Person]],Table1_3[Amount],"&lt;=100")&gt;=2,"Contract","Deal")</f>
        <v>Deal</v>
      </c>
    </row>
    <row r="950" spans="1:7" x14ac:dyDescent="0.3">
      <c r="A950" t="s">
        <v>58</v>
      </c>
      <c r="B950" t="s">
        <v>15</v>
      </c>
      <c r="C950" t="s">
        <v>38</v>
      </c>
      <c r="D950">
        <v>7091</v>
      </c>
      <c r="E950">
        <v>194</v>
      </c>
      <c r="F950" s="1">
        <v>44755</v>
      </c>
      <c r="G950" t="str">
        <f>IF(COUNTIFS(Table1_3[Country],Table1_3[[#This Row],[Country]],Table1_3[Product],Table1_3[[#This Row],[Product]],Table1_3[Sales Person],Table1_3[[#This Row],[Sales Person]],Table1_3[Amount],"&lt;=100")&gt;=2,"Contract","Deal")</f>
        <v>Deal</v>
      </c>
    </row>
    <row r="951" spans="1:7" x14ac:dyDescent="0.3">
      <c r="A951" t="s">
        <v>58</v>
      </c>
      <c r="B951" t="s">
        <v>15</v>
      </c>
      <c r="C951" t="s">
        <v>38</v>
      </c>
      <c r="D951">
        <v>7722.58</v>
      </c>
      <c r="E951">
        <v>188</v>
      </c>
      <c r="F951" s="1">
        <v>45120</v>
      </c>
      <c r="G951" t="str">
        <f>IF(COUNTIFS(Table1_3[Country],Table1_3[[#This Row],[Country]],Table1_3[Product],Table1_3[[#This Row],[Product]],Table1_3[Sales Person],Table1_3[[#This Row],[Sales Person]],Table1_3[Amount],"&lt;=100")&gt;=2,"Contract","Deal")</f>
        <v>Deal</v>
      </c>
    </row>
    <row r="952" spans="1:7" x14ac:dyDescent="0.3">
      <c r="A952" t="s">
        <v>58</v>
      </c>
      <c r="B952" t="s">
        <v>15</v>
      </c>
      <c r="C952" t="s">
        <v>38</v>
      </c>
      <c r="D952">
        <v>7497.22</v>
      </c>
      <c r="E952">
        <v>184</v>
      </c>
      <c r="F952" s="1">
        <v>45486</v>
      </c>
      <c r="G952" t="str">
        <f>IF(COUNTIFS(Table1_3[Country],Table1_3[[#This Row],[Country]],Table1_3[Product],Table1_3[[#This Row],[Product]],Table1_3[Sales Person],Table1_3[[#This Row],[Sales Person]],Table1_3[Amount],"&lt;=100")&gt;=2,"Contract","Deal")</f>
        <v>Deal</v>
      </c>
    </row>
    <row r="953" spans="1:7" x14ac:dyDescent="0.3">
      <c r="A953" t="s">
        <v>58</v>
      </c>
      <c r="B953" t="s">
        <v>15</v>
      </c>
      <c r="C953" t="s">
        <v>46</v>
      </c>
      <c r="D953">
        <v>10038</v>
      </c>
      <c r="E953">
        <v>286</v>
      </c>
      <c r="F953" s="1">
        <v>44721</v>
      </c>
      <c r="G953" t="str">
        <f>IF(COUNTIFS(Table1_3[Country],Table1_3[[#This Row],[Country]],Table1_3[Product],Table1_3[[#This Row],[Product]],Table1_3[Sales Person],Table1_3[[#This Row],[Sales Person]],Table1_3[Amount],"&lt;=100")&gt;=2,"Contract","Deal")</f>
        <v>Deal</v>
      </c>
    </row>
    <row r="954" spans="1:7" x14ac:dyDescent="0.3">
      <c r="A954" t="s">
        <v>58</v>
      </c>
      <c r="B954" t="s">
        <v>15</v>
      </c>
      <c r="C954" t="s">
        <v>46</v>
      </c>
      <c r="D954">
        <v>11389.29</v>
      </c>
      <c r="E954">
        <v>282</v>
      </c>
      <c r="F954" s="1">
        <v>45086</v>
      </c>
      <c r="G954" t="str">
        <f>IF(COUNTIFS(Table1_3[Country],Table1_3[[#This Row],[Country]],Table1_3[Product],Table1_3[[#This Row],[Product]],Table1_3[Sales Person],Table1_3[[#This Row],[Sales Person]],Table1_3[Amount],"&lt;=100")&gt;=2,"Contract","Deal")</f>
        <v>Deal</v>
      </c>
    </row>
    <row r="955" spans="1:7" x14ac:dyDescent="0.3">
      <c r="A955" t="s">
        <v>58</v>
      </c>
      <c r="B955" t="s">
        <v>15</v>
      </c>
      <c r="C955" t="s">
        <v>46</v>
      </c>
      <c r="D955">
        <v>11326.55</v>
      </c>
      <c r="E955">
        <v>296</v>
      </c>
      <c r="F955" s="1">
        <v>45452</v>
      </c>
      <c r="G955" t="str">
        <f>IF(COUNTIFS(Table1_3[Country],Table1_3[[#This Row],[Country]],Table1_3[Product],Table1_3[[#This Row],[Product]],Table1_3[Sales Person],Table1_3[[#This Row],[Sales Person]],Table1_3[Amount],"&lt;=100")&gt;=2,"Contract","Deal")</f>
        <v>Deal</v>
      </c>
    </row>
    <row r="956" spans="1:7" x14ac:dyDescent="0.3">
      <c r="A956" t="s">
        <v>58</v>
      </c>
      <c r="B956" t="s">
        <v>15</v>
      </c>
      <c r="C956" t="s">
        <v>42</v>
      </c>
      <c r="D956">
        <v>5775</v>
      </c>
      <c r="E956">
        <v>41</v>
      </c>
      <c r="F956" s="1">
        <v>44691</v>
      </c>
      <c r="G956" t="str">
        <f>IF(COUNTIFS(Table1_3[Country],Table1_3[[#This Row],[Country]],Table1_3[Product],Table1_3[[#This Row],[Product]],Table1_3[Sales Person],Table1_3[[#This Row],[Sales Person]],Table1_3[Amount],"&lt;=100")&gt;=2,"Contract","Deal")</f>
        <v>Deal</v>
      </c>
    </row>
    <row r="957" spans="1:7" x14ac:dyDescent="0.3">
      <c r="A957" t="s">
        <v>58</v>
      </c>
      <c r="B957" t="s">
        <v>15</v>
      </c>
      <c r="C957" t="s">
        <v>42</v>
      </c>
      <c r="D957">
        <v>6655.62</v>
      </c>
      <c r="E957">
        <v>39</v>
      </c>
      <c r="F957" s="1">
        <v>45056</v>
      </c>
      <c r="G957" t="str">
        <f>IF(COUNTIFS(Table1_3[Country],Table1_3[[#This Row],[Country]],Table1_3[Product],Table1_3[[#This Row],[Product]],Table1_3[Sales Person],Table1_3[[#This Row],[Sales Person]],Table1_3[Amount],"&lt;=100")&gt;=2,"Contract","Deal")</f>
        <v>Deal</v>
      </c>
    </row>
    <row r="958" spans="1:7" x14ac:dyDescent="0.3">
      <c r="A958" t="s">
        <v>58</v>
      </c>
      <c r="B958" t="s">
        <v>15</v>
      </c>
      <c r="C958" t="s">
        <v>42</v>
      </c>
      <c r="D958">
        <v>6885.01</v>
      </c>
      <c r="E958">
        <v>40</v>
      </c>
      <c r="F958" s="1">
        <v>45422</v>
      </c>
      <c r="G958" t="str">
        <f>IF(COUNTIFS(Table1_3[Country],Table1_3[[#This Row],[Country]],Table1_3[Product],Table1_3[[#This Row],[Product]],Table1_3[Sales Person],Table1_3[[#This Row],[Sales Person]],Table1_3[Amount],"&lt;=100")&gt;=2,"Contract","Deal")</f>
        <v>Deal</v>
      </c>
    </row>
    <row r="959" spans="1:7" x14ac:dyDescent="0.3">
      <c r="A959" t="s">
        <v>58</v>
      </c>
      <c r="B959" t="s">
        <v>15</v>
      </c>
      <c r="C959" t="s">
        <v>73</v>
      </c>
      <c r="D959">
        <v>5740</v>
      </c>
      <c r="E959">
        <v>31</v>
      </c>
      <c r="F959" s="1">
        <v>44634</v>
      </c>
      <c r="G959" t="str">
        <f>IF(COUNTIFS(Table1_3[Country],Table1_3[[#This Row],[Country]],Table1_3[Product],Table1_3[[#This Row],[Product]],Table1_3[Sales Person],Table1_3[[#This Row],[Sales Person]],Table1_3[Amount],"&lt;=100")&gt;=2,"Contract","Deal")</f>
        <v>Deal</v>
      </c>
    </row>
    <row r="960" spans="1:7" x14ac:dyDescent="0.3">
      <c r="A960" t="s">
        <v>58</v>
      </c>
      <c r="B960" t="s">
        <v>15</v>
      </c>
      <c r="C960" t="s">
        <v>73</v>
      </c>
      <c r="D960">
        <v>5997.71</v>
      </c>
      <c r="E960">
        <v>31</v>
      </c>
      <c r="F960" s="1">
        <v>44999</v>
      </c>
      <c r="G960" t="str">
        <f>IF(COUNTIFS(Table1_3[Country],Table1_3[[#This Row],[Country]],Table1_3[Product],Table1_3[[#This Row],[Product]],Table1_3[Sales Person],Table1_3[[#This Row],[Sales Person]],Table1_3[Amount],"&lt;=100")&gt;=2,"Contract","Deal")</f>
        <v>Deal</v>
      </c>
    </row>
    <row r="961" spans="1:7" x14ac:dyDescent="0.3">
      <c r="A961" t="s">
        <v>58</v>
      </c>
      <c r="B961" t="s">
        <v>15</v>
      </c>
      <c r="C961" t="s">
        <v>73</v>
      </c>
      <c r="D961">
        <v>6265.59</v>
      </c>
      <c r="E961">
        <v>31</v>
      </c>
      <c r="F961" s="1">
        <v>45365</v>
      </c>
      <c r="G961" t="str">
        <f>IF(COUNTIFS(Table1_3[Country],Table1_3[[#This Row],[Country]],Table1_3[Product],Table1_3[[#This Row],[Product]],Table1_3[Sales Person],Table1_3[[#This Row],[Sales Person]],Table1_3[Amount],"&lt;=100")&gt;=2,"Contract","Deal")</f>
        <v>Deal</v>
      </c>
    </row>
    <row r="962" spans="1:7" x14ac:dyDescent="0.3">
      <c r="A962" t="s">
        <v>58</v>
      </c>
      <c r="B962" t="s">
        <v>35</v>
      </c>
      <c r="C962" t="s">
        <v>11</v>
      </c>
      <c r="D962">
        <v>10885</v>
      </c>
      <c r="E962">
        <v>90</v>
      </c>
      <c r="F962" s="1">
        <v>44774</v>
      </c>
      <c r="G962" t="str">
        <f>IF(COUNTIFS(Table1_3[Country],Table1_3[[#This Row],[Country]],Table1_3[Product],Table1_3[[#This Row],[Product]],Table1_3[Sales Person],Table1_3[[#This Row],[Sales Person]],Table1_3[Amount],"&lt;=100")&gt;=2,"Contract","Deal")</f>
        <v>Deal</v>
      </c>
    </row>
    <row r="963" spans="1:7" x14ac:dyDescent="0.3">
      <c r="A963" t="s">
        <v>58</v>
      </c>
      <c r="B963" t="s">
        <v>35</v>
      </c>
      <c r="C963" t="s">
        <v>11</v>
      </c>
      <c r="D963">
        <v>11334.77</v>
      </c>
      <c r="E963">
        <v>89</v>
      </c>
      <c r="F963" s="1">
        <v>45139</v>
      </c>
      <c r="G963" t="str">
        <f>IF(COUNTIFS(Table1_3[Country],Table1_3[[#This Row],[Country]],Table1_3[Product],Table1_3[[#This Row],[Product]],Table1_3[Sales Person],Table1_3[[#This Row],[Sales Person]],Table1_3[Amount],"&lt;=100")&gt;=2,"Contract","Deal")</f>
        <v>Deal</v>
      </c>
    </row>
    <row r="964" spans="1:7" x14ac:dyDescent="0.3">
      <c r="A964" t="s">
        <v>58</v>
      </c>
      <c r="B964" t="s">
        <v>35</v>
      </c>
      <c r="C964" t="s">
        <v>11</v>
      </c>
      <c r="D964">
        <v>11719.06</v>
      </c>
      <c r="E964">
        <v>87</v>
      </c>
      <c r="F964" s="1">
        <v>45505</v>
      </c>
      <c r="G964" t="str">
        <f>IF(COUNTIFS(Table1_3[Country],Table1_3[[#This Row],[Country]],Table1_3[Product],Table1_3[[#This Row],[Product]],Table1_3[Sales Person],Table1_3[[#This Row],[Sales Person]],Table1_3[Amount],"&lt;=100")&gt;=2,"Contract","Deal")</f>
        <v>Deal</v>
      </c>
    </row>
    <row r="965" spans="1:7" x14ac:dyDescent="0.3">
      <c r="A965" t="s">
        <v>58</v>
      </c>
      <c r="B965" t="s">
        <v>35</v>
      </c>
      <c r="C965" t="s">
        <v>75</v>
      </c>
      <c r="D965">
        <v>10479</v>
      </c>
      <c r="E965">
        <v>118</v>
      </c>
      <c r="F965" s="1">
        <v>44574</v>
      </c>
      <c r="G965" t="str">
        <f>IF(COUNTIFS(Table1_3[Country],Table1_3[[#This Row],[Country]],Table1_3[Product],Table1_3[[#This Row],[Product]],Table1_3[Sales Person],Table1_3[[#This Row],[Sales Person]],Table1_3[Amount],"&lt;=100")&gt;=2,"Contract","Deal")</f>
        <v>Deal</v>
      </c>
    </row>
    <row r="966" spans="1:7" x14ac:dyDescent="0.3">
      <c r="A966" t="s">
        <v>58</v>
      </c>
      <c r="B966" t="s">
        <v>35</v>
      </c>
      <c r="C966" t="s">
        <v>75</v>
      </c>
      <c r="D966">
        <v>10707.82</v>
      </c>
      <c r="E966">
        <v>124</v>
      </c>
      <c r="F966" s="1">
        <v>44939</v>
      </c>
      <c r="G966" t="str">
        <f>IF(COUNTIFS(Table1_3[Country],Table1_3[[#This Row],[Country]],Table1_3[Product],Table1_3[[#This Row],[Product]],Table1_3[Sales Person],Table1_3[[#This Row],[Sales Person]],Table1_3[Amount],"&lt;=100")&gt;=2,"Contract","Deal")</f>
        <v>Deal</v>
      </c>
    </row>
    <row r="967" spans="1:7" x14ac:dyDescent="0.3">
      <c r="A967" t="s">
        <v>58</v>
      </c>
      <c r="B967" t="s">
        <v>35</v>
      </c>
      <c r="C967" t="s">
        <v>75</v>
      </c>
      <c r="D967">
        <v>11691.86</v>
      </c>
      <c r="E967">
        <v>128</v>
      </c>
      <c r="F967" s="1">
        <v>45304</v>
      </c>
      <c r="G967" t="str">
        <f>IF(COUNTIFS(Table1_3[Country],Table1_3[[#This Row],[Country]],Table1_3[Product],Table1_3[[#This Row],[Product]],Table1_3[Sales Person],Table1_3[[#This Row],[Sales Person]],Table1_3[Amount],"&lt;=100")&gt;=2,"Contract","Deal")</f>
        <v>Deal</v>
      </c>
    </row>
    <row r="968" spans="1:7" x14ac:dyDescent="0.3">
      <c r="A968" t="s">
        <v>58</v>
      </c>
      <c r="B968" t="s">
        <v>35</v>
      </c>
      <c r="C968" t="s">
        <v>38</v>
      </c>
      <c r="D968">
        <v>2702</v>
      </c>
      <c r="E968">
        <v>24</v>
      </c>
      <c r="F968" s="1">
        <v>44571</v>
      </c>
      <c r="G968" t="str">
        <f>IF(COUNTIFS(Table1_3[Country],Table1_3[[#This Row],[Country]],Table1_3[Product],Table1_3[[#This Row],[Product]],Table1_3[Sales Person],Table1_3[[#This Row],[Sales Person]],Table1_3[Amount],"&lt;=100")&gt;=2,"Contract","Deal")</f>
        <v>Deal</v>
      </c>
    </row>
    <row r="969" spans="1:7" x14ac:dyDescent="0.3">
      <c r="A969" t="s">
        <v>58</v>
      </c>
      <c r="B969" t="s">
        <v>35</v>
      </c>
      <c r="C969" t="s">
        <v>38</v>
      </c>
      <c r="D969">
        <v>2924.46</v>
      </c>
      <c r="E969">
        <v>25</v>
      </c>
      <c r="F969" s="1">
        <v>44936</v>
      </c>
      <c r="G969" t="str">
        <f>IF(COUNTIFS(Table1_3[Country],Table1_3[[#This Row],[Country]],Table1_3[Product],Table1_3[[#This Row],[Product]],Table1_3[Sales Person],Table1_3[[#This Row],[Sales Person]],Table1_3[Amount],"&lt;=100")&gt;=2,"Contract","Deal")</f>
        <v>Deal</v>
      </c>
    </row>
    <row r="970" spans="1:7" x14ac:dyDescent="0.3">
      <c r="A970" t="s">
        <v>58</v>
      </c>
      <c r="B970" t="s">
        <v>35</v>
      </c>
      <c r="C970" t="s">
        <v>38</v>
      </c>
      <c r="D970">
        <v>3010.07</v>
      </c>
      <c r="E970">
        <v>24</v>
      </c>
      <c r="F970" s="1">
        <v>45301</v>
      </c>
      <c r="G970" t="str">
        <f>IF(COUNTIFS(Table1_3[Country],Table1_3[[#This Row],[Country]],Table1_3[Product],Table1_3[[#This Row],[Product]],Table1_3[Sales Person],Table1_3[[#This Row],[Sales Person]],Table1_3[Amount],"&lt;=100")&gt;=2,"Contract","Deal")</f>
        <v>Deal</v>
      </c>
    </row>
    <row r="971" spans="1:7" x14ac:dyDescent="0.3">
      <c r="A971" t="s">
        <v>58</v>
      </c>
      <c r="B971" t="s">
        <v>35</v>
      </c>
      <c r="C971" t="s">
        <v>36</v>
      </c>
      <c r="D971">
        <v>455</v>
      </c>
      <c r="E971">
        <v>45</v>
      </c>
      <c r="F971" s="1">
        <v>44635</v>
      </c>
      <c r="G971" t="str">
        <f>IF(COUNTIFS(Table1_3[Country],Table1_3[[#This Row],[Country]],Table1_3[Product],Table1_3[[#This Row],[Product]],Table1_3[Sales Person],Table1_3[[#This Row],[Sales Person]],Table1_3[Amount],"&lt;=100")&gt;=2,"Contract","Deal")</f>
        <v>Deal</v>
      </c>
    </row>
    <row r="972" spans="1:7" x14ac:dyDescent="0.3">
      <c r="A972" t="s">
        <v>58</v>
      </c>
      <c r="B972" t="s">
        <v>35</v>
      </c>
      <c r="C972" t="s">
        <v>36</v>
      </c>
      <c r="D972">
        <v>483.04</v>
      </c>
      <c r="E972">
        <v>45</v>
      </c>
      <c r="F972" s="1">
        <v>45000</v>
      </c>
      <c r="G972" t="str">
        <f>IF(COUNTIFS(Table1_3[Country],Table1_3[[#This Row],[Country]],Table1_3[Product],Table1_3[[#This Row],[Product]],Table1_3[Sales Person],Table1_3[[#This Row],[Sales Person]],Table1_3[Amount],"&lt;=100")&gt;=2,"Contract","Deal")</f>
        <v>Deal</v>
      </c>
    </row>
    <row r="973" spans="1:7" x14ac:dyDescent="0.3">
      <c r="A973" t="s">
        <v>58</v>
      </c>
      <c r="B973" t="s">
        <v>35</v>
      </c>
      <c r="C973" t="s">
        <v>36</v>
      </c>
      <c r="D973">
        <v>492.21</v>
      </c>
      <c r="E973">
        <v>45</v>
      </c>
      <c r="F973" s="1">
        <v>45366</v>
      </c>
      <c r="G973" t="str">
        <f>IF(COUNTIFS(Table1_3[Country],Table1_3[[#This Row],[Country]],Table1_3[Product],Table1_3[[#This Row],[Product]],Table1_3[Sales Person],Table1_3[[#This Row],[Sales Person]],Table1_3[Amount],"&lt;=100")&gt;=2,"Contract","Deal")</f>
        <v>Deal</v>
      </c>
    </row>
    <row r="974" spans="1:7" x14ac:dyDescent="0.3">
      <c r="A974" t="s">
        <v>58</v>
      </c>
      <c r="B974" t="s">
        <v>35</v>
      </c>
      <c r="C974" t="s">
        <v>8</v>
      </c>
      <c r="D974">
        <v>1694</v>
      </c>
      <c r="E974">
        <v>289</v>
      </c>
      <c r="F974" s="1">
        <v>44659</v>
      </c>
      <c r="G974" t="str">
        <f>IF(COUNTIFS(Table1_3[Country],Table1_3[[#This Row],[Country]],Table1_3[Product],Table1_3[[#This Row],[Product]],Table1_3[Sales Person],Table1_3[[#This Row],[Sales Person]],Table1_3[Amount],"&lt;=100")&gt;=2,"Contract","Deal")</f>
        <v>Deal</v>
      </c>
    </row>
    <row r="975" spans="1:7" x14ac:dyDescent="0.3">
      <c r="A975" t="s">
        <v>58</v>
      </c>
      <c r="B975" t="s">
        <v>35</v>
      </c>
      <c r="C975" t="s">
        <v>8</v>
      </c>
      <c r="D975">
        <v>1943.7</v>
      </c>
      <c r="E975">
        <v>297</v>
      </c>
      <c r="F975" s="1">
        <v>45024</v>
      </c>
      <c r="G975" t="str">
        <f>IF(COUNTIFS(Table1_3[Country],Table1_3[[#This Row],[Country]],Table1_3[Product],Table1_3[[#This Row],[Product]],Table1_3[Sales Person],Table1_3[[#This Row],[Sales Person]],Table1_3[Amount],"&lt;=100")&gt;=2,"Contract","Deal")</f>
        <v>Deal</v>
      </c>
    </row>
    <row r="976" spans="1:7" x14ac:dyDescent="0.3">
      <c r="A976" t="s">
        <v>58</v>
      </c>
      <c r="B976" t="s">
        <v>35</v>
      </c>
      <c r="C976" t="s">
        <v>8</v>
      </c>
      <c r="D976">
        <v>1914.65</v>
      </c>
      <c r="E976">
        <v>304</v>
      </c>
      <c r="F976" s="1">
        <v>45390</v>
      </c>
      <c r="G976" t="str">
        <f>IF(COUNTIFS(Table1_3[Country],Table1_3[[#This Row],[Country]],Table1_3[Product],Table1_3[[#This Row],[Product]],Table1_3[Sales Person],Table1_3[[#This Row],[Sales Person]],Table1_3[Amount],"&lt;=100")&gt;=2,"Contract","Deal")</f>
        <v>Deal</v>
      </c>
    </row>
    <row r="977" spans="1:7" x14ac:dyDescent="0.3">
      <c r="A977" t="s">
        <v>58</v>
      </c>
      <c r="B977" t="s">
        <v>35</v>
      </c>
      <c r="C977" t="s">
        <v>42</v>
      </c>
      <c r="D977">
        <v>8491</v>
      </c>
      <c r="E977">
        <v>75</v>
      </c>
      <c r="F977" s="1">
        <v>44589</v>
      </c>
      <c r="G977" t="str">
        <f>IF(COUNTIFS(Table1_3[Country],Table1_3[[#This Row],[Country]],Table1_3[Product],Table1_3[[#This Row],[Product]],Table1_3[Sales Person],Table1_3[[#This Row],[Sales Person]],Table1_3[Amount],"&lt;=100")&gt;=2,"Contract","Deal")</f>
        <v>Deal</v>
      </c>
    </row>
    <row r="978" spans="1:7" x14ac:dyDescent="0.3">
      <c r="A978" t="s">
        <v>58</v>
      </c>
      <c r="B978" t="s">
        <v>35</v>
      </c>
      <c r="C978" t="s">
        <v>42</v>
      </c>
      <c r="D978">
        <v>8831.89</v>
      </c>
      <c r="E978">
        <v>79</v>
      </c>
      <c r="F978" s="1">
        <v>44954</v>
      </c>
      <c r="G978" t="str">
        <f>IF(COUNTIFS(Table1_3[Country],Table1_3[[#This Row],[Country]],Table1_3[Product],Table1_3[[#This Row],[Product]],Table1_3[Sales Person],Table1_3[[#This Row],[Sales Person]],Table1_3[Amount],"&lt;=100")&gt;=2,"Contract","Deal")</f>
        <v>Deal</v>
      </c>
    </row>
    <row r="979" spans="1:7" x14ac:dyDescent="0.3">
      <c r="A979" t="s">
        <v>58</v>
      </c>
      <c r="B979" t="s">
        <v>35</v>
      </c>
      <c r="C979" t="s">
        <v>42</v>
      </c>
      <c r="D979">
        <v>9251.3700000000008</v>
      </c>
      <c r="E979">
        <v>79</v>
      </c>
      <c r="F979" s="1">
        <v>45319</v>
      </c>
      <c r="G979" t="str">
        <f>IF(COUNTIFS(Table1_3[Country],Table1_3[[#This Row],[Country]],Table1_3[Product],Table1_3[[#This Row],[Product]],Table1_3[Sales Person],Table1_3[[#This Row],[Sales Person]],Table1_3[Amount],"&lt;=100")&gt;=2,"Contract","Deal")</f>
        <v>Deal</v>
      </c>
    </row>
    <row r="980" spans="1:7" x14ac:dyDescent="0.3">
      <c r="A980" t="s">
        <v>58</v>
      </c>
      <c r="B980" t="s">
        <v>35</v>
      </c>
      <c r="C980" t="s">
        <v>18</v>
      </c>
      <c r="D980">
        <v>1750</v>
      </c>
      <c r="E980">
        <v>479</v>
      </c>
      <c r="F980" s="1">
        <v>44637</v>
      </c>
      <c r="G980" t="str">
        <f>IF(COUNTIFS(Table1_3[Country],Table1_3[[#This Row],[Country]],Table1_3[Product],Table1_3[[#This Row],[Product]],Table1_3[Sales Person],Table1_3[[#This Row],[Sales Person]],Table1_3[Amount],"&lt;=100")&gt;=2,"Contract","Deal")</f>
        <v>Deal</v>
      </c>
    </row>
    <row r="981" spans="1:7" x14ac:dyDescent="0.3">
      <c r="A981" t="s">
        <v>58</v>
      </c>
      <c r="B981" t="s">
        <v>35</v>
      </c>
      <c r="C981" t="s">
        <v>18</v>
      </c>
      <c r="D981">
        <v>1887.19</v>
      </c>
      <c r="E981">
        <v>488</v>
      </c>
      <c r="F981" s="1">
        <v>45002</v>
      </c>
      <c r="G981" t="str">
        <f>IF(COUNTIFS(Table1_3[Country],Table1_3[[#This Row],[Country]],Table1_3[Product],Table1_3[[#This Row],[Product]],Table1_3[Sales Person],Table1_3[[#This Row],[Sales Person]],Table1_3[Amount],"&lt;=100")&gt;=2,"Contract","Deal")</f>
        <v>Deal</v>
      </c>
    </row>
    <row r="982" spans="1:7" x14ac:dyDescent="0.3">
      <c r="A982" t="s">
        <v>58</v>
      </c>
      <c r="B982" t="s">
        <v>35</v>
      </c>
      <c r="C982" t="s">
        <v>18</v>
      </c>
      <c r="D982">
        <v>2055.4</v>
      </c>
      <c r="E982">
        <v>485</v>
      </c>
      <c r="F982" s="1">
        <v>45368</v>
      </c>
      <c r="G982" t="str">
        <f>IF(COUNTIFS(Table1_3[Country],Table1_3[[#This Row],[Country]],Table1_3[Product],Table1_3[[#This Row],[Product]],Table1_3[Sales Person],Table1_3[[#This Row],[Sales Person]],Table1_3[Amount],"&lt;=100")&gt;=2,"Contract","Deal")</f>
        <v>Deal</v>
      </c>
    </row>
    <row r="983" spans="1:7" x14ac:dyDescent="0.3">
      <c r="A983" t="s">
        <v>58</v>
      </c>
      <c r="B983" t="s">
        <v>35</v>
      </c>
      <c r="C983" t="s">
        <v>50</v>
      </c>
      <c r="D983">
        <v>2527</v>
      </c>
      <c r="E983">
        <v>216</v>
      </c>
      <c r="F983" s="1">
        <v>44783</v>
      </c>
      <c r="G983" t="str">
        <f>IF(COUNTIFS(Table1_3[Country],Table1_3[[#This Row],[Country]],Table1_3[Product],Table1_3[[#This Row],[Product]],Table1_3[Sales Person],Table1_3[[#This Row],[Sales Person]],Table1_3[Amount],"&lt;=100")&gt;=2,"Contract","Deal")</f>
        <v>Deal</v>
      </c>
    </row>
    <row r="984" spans="1:7" x14ac:dyDescent="0.3">
      <c r="A984" t="s">
        <v>58</v>
      </c>
      <c r="B984" t="s">
        <v>35</v>
      </c>
      <c r="C984" t="s">
        <v>50</v>
      </c>
      <c r="D984">
        <v>2634.13</v>
      </c>
      <c r="E984">
        <v>234</v>
      </c>
      <c r="F984" s="1">
        <v>45148</v>
      </c>
      <c r="G984" t="str">
        <f>IF(COUNTIFS(Table1_3[Country],Table1_3[[#This Row],[Country]],Table1_3[Product],Table1_3[[#This Row],[Product]],Table1_3[Sales Person],Table1_3[[#This Row],[Sales Person]],Table1_3[Amount],"&lt;=100")&gt;=2,"Contract","Deal")</f>
        <v>Deal</v>
      </c>
    </row>
    <row r="985" spans="1:7" x14ac:dyDescent="0.3">
      <c r="A985" t="s">
        <v>58</v>
      </c>
      <c r="B985" t="s">
        <v>35</v>
      </c>
      <c r="C985" t="s">
        <v>50</v>
      </c>
      <c r="D985">
        <v>2711.58</v>
      </c>
      <c r="E985">
        <v>216</v>
      </c>
      <c r="F985" s="1">
        <v>45514</v>
      </c>
      <c r="G985" t="str">
        <f>IF(COUNTIFS(Table1_3[Country],Table1_3[[#This Row],[Country]],Table1_3[Product],Table1_3[[#This Row],[Product]],Table1_3[Sales Person],Table1_3[[#This Row],[Sales Person]],Table1_3[Amount],"&lt;=100")&gt;=2,"Contract","Deal")</f>
        <v>Deal</v>
      </c>
    </row>
    <row r="986" spans="1:7" x14ac:dyDescent="0.3">
      <c r="A986" t="s">
        <v>58</v>
      </c>
      <c r="B986" t="s">
        <v>10</v>
      </c>
      <c r="C986" t="s">
        <v>11</v>
      </c>
      <c r="D986">
        <v>4515</v>
      </c>
      <c r="E986">
        <v>22</v>
      </c>
      <c r="F986" s="1">
        <v>44742</v>
      </c>
      <c r="G986" t="str">
        <f>IF(COUNTIFS(Table1_3[Country],Table1_3[[#This Row],[Country]],Table1_3[Product],Table1_3[[#This Row],[Product]],Table1_3[Sales Person],Table1_3[[#This Row],[Sales Person]],Table1_3[Amount],"&lt;=100")&gt;=2,"Contract","Deal")</f>
        <v>Deal</v>
      </c>
    </row>
    <row r="987" spans="1:7" x14ac:dyDescent="0.3">
      <c r="A987" t="s">
        <v>58</v>
      </c>
      <c r="B987" t="s">
        <v>10</v>
      </c>
      <c r="C987" t="s">
        <v>11</v>
      </c>
      <c r="D987">
        <v>4562.97</v>
      </c>
      <c r="E987">
        <v>21</v>
      </c>
      <c r="F987" s="1">
        <v>45107</v>
      </c>
      <c r="G987" t="str">
        <f>IF(COUNTIFS(Table1_3[Country],Table1_3[[#This Row],[Country]],Table1_3[Product],Table1_3[[#This Row],[Product]],Table1_3[Sales Person],Table1_3[[#This Row],[Sales Person]],Table1_3[Amount],"&lt;=100")&gt;=2,"Contract","Deal")</f>
        <v>Deal</v>
      </c>
    </row>
    <row r="988" spans="1:7" x14ac:dyDescent="0.3">
      <c r="A988" t="s">
        <v>58</v>
      </c>
      <c r="B988" t="s">
        <v>10</v>
      </c>
      <c r="C988" t="s">
        <v>11</v>
      </c>
      <c r="D988">
        <v>4886.1499999999996</v>
      </c>
      <c r="E988">
        <v>23</v>
      </c>
      <c r="F988" s="1">
        <v>45473</v>
      </c>
      <c r="G988" t="str">
        <f>IF(COUNTIFS(Table1_3[Country],Table1_3[[#This Row],[Country]],Table1_3[Product],Table1_3[[#This Row],[Product]],Table1_3[Sales Person],Table1_3[[#This Row],[Sales Person]],Table1_3[Amount],"&lt;=100")&gt;=2,"Contract","Deal")</f>
        <v>Deal</v>
      </c>
    </row>
    <row r="989" spans="1:7" x14ac:dyDescent="0.3">
      <c r="A989" t="s">
        <v>58</v>
      </c>
      <c r="B989" t="s">
        <v>10</v>
      </c>
      <c r="C989" t="s">
        <v>20</v>
      </c>
      <c r="D989">
        <v>6888</v>
      </c>
      <c r="E989">
        <v>311</v>
      </c>
      <c r="F989" s="1">
        <v>44735</v>
      </c>
      <c r="G989" t="str">
        <f>IF(COUNTIFS(Table1_3[Country],Table1_3[[#This Row],[Country]],Table1_3[Product],Table1_3[[#This Row],[Product]],Table1_3[Sales Person],Table1_3[[#This Row],[Sales Person]],Table1_3[Amount],"&lt;=100")&gt;=2,"Contract","Deal")</f>
        <v>Deal</v>
      </c>
    </row>
    <row r="990" spans="1:7" x14ac:dyDescent="0.3">
      <c r="A990" t="s">
        <v>58</v>
      </c>
      <c r="B990" t="s">
        <v>10</v>
      </c>
      <c r="C990" t="s">
        <v>20</v>
      </c>
      <c r="D990">
        <v>7369.69</v>
      </c>
      <c r="E990">
        <v>325</v>
      </c>
      <c r="F990" s="1">
        <v>45100</v>
      </c>
      <c r="G990" t="str">
        <f>IF(COUNTIFS(Table1_3[Country],Table1_3[[#This Row],[Country]],Table1_3[Product],Table1_3[[#This Row],[Product]],Table1_3[Sales Person],Table1_3[[#This Row],[Sales Person]],Table1_3[Amount],"&lt;=100")&gt;=2,"Contract","Deal")</f>
        <v>Deal</v>
      </c>
    </row>
    <row r="991" spans="1:7" x14ac:dyDescent="0.3">
      <c r="A991" t="s">
        <v>58</v>
      </c>
      <c r="B991" t="s">
        <v>10</v>
      </c>
      <c r="C991" t="s">
        <v>20</v>
      </c>
      <c r="D991">
        <v>8328.7999999999993</v>
      </c>
      <c r="E991">
        <v>327</v>
      </c>
      <c r="F991" s="1">
        <v>45466</v>
      </c>
      <c r="G991" t="str">
        <f>IF(COUNTIFS(Table1_3[Country],Table1_3[[#This Row],[Country]],Table1_3[Product],Table1_3[[#This Row],[Product]],Table1_3[Sales Person],Table1_3[[#This Row],[Sales Person]],Table1_3[Amount],"&lt;=100")&gt;=2,"Contract","Deal")</f>
        <v>Deal</v>
      </c>
    </row>
    <row r="992" spans="1:7" x14ac:dyDescent="0.3">
      <c r="A992" t="s">
        <v>58</v>
      </c>
      <c r="B992" t="s">
        <v>10</v>
      </c>
      <c r="C992" t="s">
        <v>57</v>
      </c>
      <c r="D992">
        <v>952</v>
      </c>
      <c r="E992">
        <v>24</v>
      </c>
      <c r="F992" s="1">
        <v>44771</v>
      </c>
      <c r="G992" t="str">
        <f>IF(COUNTIFS(Table1_3[Country],Table1_3[[#This Row],[Country]],Table1_3[Product],Table1_3[[#This Row],[Product]],Table1_3[Sales Person],Table1_3[[#This Row],[Sales Person]],Table1_3[Amount],"&lt;=100")&gt;=2,"Contract","Deal")</f>
        <v>Deal</v>
      </c>
    </row>
    <row r="993" spans="1:7" x14ac:dyDescent="0.3">
      <c r="A993" t="s">
        <v>58</v>
      </c>
      <c r="B993" t="s">
        <v>10</v>
      </c>
      <c r="C993" t="s">
        <v>57</v>
      </c>
      <c r="D993">
        <v>1071.31</v>
      </c>
      <c r="E993">
        <v>23</v>
      </c>
      <c r="F993" s="1">
        <v>45136</v>
      </c>
      <c r="G993" t="str">
        <f>IF(COUNTIFS(Table1_3[Country],Table1_3[[#This Row],[Country]],Table1_3[Product],Table1_3[[#This Row],[Product]],Table1_3[Sales Person],Table1_3[[#This Row],[Sales Person]],Table1_3[Amount],"&lt;=100")&gt;=2,"Contract","Deal")</f>
        <v>Deal</v>
      </c>
    </row>
    <row r="994" spans="1:7" x14ac:dyDescent="0.3">
      <c r="A994" t="s">
        <v>58</v>
      </c>
      <c r="B994" t="s">
        <v>10</v>
      </c>
      <c r="C994" t="s">
        <v>57</v>
      </c>
      <c r="D994">
        <v>1126.8699999999999</v>
      </c>
      <c r="E994">
        <v>23</v>
      </c>
      <c r="F994" s="1">
        <v>45502</v>
      </c>
      <c r="G994" t="str">
        <f>IF(COUNTIFS(Table1_3[Country],Table1_3[[#This Row],[Country]],Table1_3[Product],Table1_3[[#This Row],[Product]],Table1_3[Sales Person],Table1_3[[#This Row],[Sales Person]],Table1_3[Amount],"&lt;=100")&gt;=2,"Contract","Deal")</f>
        <v>Deal</v>
      </c>
    </row>
    <row r="995" spans="1:7" x14ac:dyDescent="0.3">
      <c r="A995" t="s">
        <v>58</v>
      </c>
      <c r="B995" t="s">
        <v>10</v>
      </c>
      <c r="C995" t="s">
        <v>46</v>
      </c>
      <c r="D995">
        <v>1526</v>
      </c>
      <c r="E995">
        <v>96</v>
      </c>
      <c r="F995" s="1">
        <v>44672</v>
      </c>
      <c r="G995" t="str">
        <f>IF(COUNTIFS(Table1_3[Country],Table1_3[[#This Row],[Country]],Table1_3[Product],Table1_3[[#This Row],[Product]],Table1_3[Sales Person],Table1_3[[#This Row],[Sales Person]],Table1_3[Amount],"&lt;=100")&gt;=2,"Contract","Deal")</f>
        <v>Deal</v>
      </c>
    </row>
    <row r="996" spans="1:7" x14ac:dyDescent="0.3">
      <c r="A996" t="s">
        <v>58</v>
      </c>
      <c r="B996" t="s">
        <v>10</v>
      </c>
      <c r="C996" t="s">
        <v>46</v>
      </c>
      <c r="D996">
        <v>1712.72</v>
      </c>
      <c r="E996">
        <v>93</v>
      </c>
      <c r="F996" s="1">
        <v>45037</v>
      </c>
      <c r="G996" t="str">
        <f>IF(COUNTIFS(Table1_3[Country],Table1_3[[#This Row],[Country]],Table1_3[Product],Table1_3[[#This Row],[Product]],Table1_3[Sales Person],Table1_3[[#This Row],[Sales Person]],Table1_3[Amount],"&lt;=100")&gt;=2,"Contract","Deal")</f>
        <v>Deal</v>
      </c>
    </row>
    <row r="997" spans="1:7" x14ac:dyDescent="0.3">
      <c r="A997" t="s">
        <v>58</v>
      </c>
      <c r="B997" t="s">
        <v>10</v>
      </c>
      <c r="C997" t="s">
        <v>46</v>
      </c>
      <c r="D997">
        <v>1624.06</v>
      </c>
      <c r="E997">
        <v>96</v>
      </c>
      <c r="F997" s="1">
        <v>45403</v>
      </c>
      <c r="G997" t="str">
        <f>IF(COUNTIFS(Table1_3[Country],Table1_3[[#This Row],[Country]],Table1_3[Product],Table1_3[[#This Row],[Product]],Table1_3[Sales Person],Table1_3[[#This Row],[Sales Person]],Table1_3[Amount],"&lt;=100")&gt;=2,"Contract","Deal")</f>
        <v>Deal</v>
      </c>
    </row>
    <row r="998" spans="1:7" x14ac:dyDescent="0.3">
      <c r="A998" t="s">
        <v>58</v>
      </c>
      <c r="B998" t="s">
        <v>10</v>
      </c>
      <c r="C998" t="s">
        <v>8</v>
      </c>
      <c r="D998">
        <v>13573</v>
      </c>
      <c r="E998">
        <v>138</v>
      </c>
      <c r="F998" s="1">
        <v>44643</v>
      </c>
      <c r="G998" t="str">
        <f>IF(COUNTIFS(Table1_3[Country],Table1_3[[#This Row],[Country]],Table1_3[Product],Table1_3[[#This Row],[Product]],Table1_3[Sales Person],Table1_3[[#This Row],[Sales Person]],Table1_3[Amount],"&lt;=100")&gt;=2,"Contract","Deal")</f>
        <v>Deal</v>
      </c>
    </row>
    <row r="999" spans="1:7" x14ac:dyDescent="0.3">
      <c r="A999" t="s">
        <v>58</v>
      </c>
      <c r="B999" t="s">
        <v>10</v>
      </c>
      <c r="C999" t="s">
        <v>8</v>
      </c>
      <c r="D999">
        <v>14691.77</v>
      </c>
      <c r="E999">
        <v>143</v>
      </c>
      <c r="F999" s="1">
        <v>45008</v>
      </c>
      <c r="G999" t="str">
        <f>IF(COUNTIFS(Table1_3[Country],Table1_3[[#This Row],[Country]],Table1_3[Product],Table1_3[[#This Row],[Product]],Table1_3[Sales Person],Table1_3[[#This Row],[Sales Person]],Table1_3[Amount],"&lt;=100")&gt;=2,"Contract","Deal")</f>
        <v>Deal</v>
      </c>
    </row>
    <row r="1000" spans="1:7" x14ac:dyDescent="0.3">
      <c r="A1000" t="s">
        <v>58</v>
      </c>
      <c r="B1000" t="s">
        <v>10</v>
      </c>
      <c r="C1000" t="s">
        <v>8</v>
      </c>
      <c r="D1000">
        <v>15201.56</v>
      </c>
      <c r="E1000">
        <v>142</v>
      </c>
      <c r="F1000" s="1">
        <v>45374</v>
      </c>
      <c r="G1000" t="str">
        <f>IF(COUNTIFS(Table1_3[Country],Table1_3[[#This Row],[Country]],Table1_3[Product],Table1_3[[#This Row],[Product]],Table1_3[Sales Person],Table1_3[[#This Row],[Sales Person]],Table1_3[Amount],"&lt;=100")&gt;=2,"Contract","Deal")</f>
        <v>Deal</v>
      </c>
    </row>
    <row r="1001" spans="1:7" x14ac:dyDescent="0.3">
      <c r="A1001" t="s">
        <v>58</v>
      </c>
      <c r="B1001" t="s">
        <v>10</v>
      </c>
      <c r="C1001" t="s">
        <v>33</v>
      </c>
      <c r="D1001">
        <v>784</v>
      </c>
      <c r="E1001">
        <v>129</v>
      </c>
      <c r="F1001" s="1">
        <v>44638</v>
      </c>
      <c r="G1001" t="str">
        <f>IF(COUNTIFS(Table1_3[Country],Table1_3[[#This Row],[Country]],Table1_3[Product],Table1_3[[#This Row],[Product]],Table1_3[Sales Person],Table1_3[[#This Row],[Sales Person]],Table1_3[Amount],"&lt;=100")&gt;=2,"Contract","Deal")</f>
        <v>Deal</v>
      </c>
    </row>
    <row r="1002" spans="1:7" x14ac:dyDescent="0.3">
      <c r="A1002" t="s">
        <v>58</v>
      </c>
      <c r="B1002" t="s">
        <v>10</v>
      </c>
      <c r="C1002" t="s">
        <v>33</v>
      </c>
      <c r="D1002">
        <v>873.26</v>
      </c>
      <c r="E1002">
        <v>140</v>
      </c>
      <c r="F1002" s="1">
        <v>45003</v>
      </c>
      <c r="G1002" t="str">
        <f>IF(COUNTIFS(Table1_3[Country],Table1_3[[#This Row],[Country]],Table1_3[Product],Table1_3[[#This Row],[Product]],Table1_3[Sales Person],Table1_3[[#This Row],[Sales Person]],Table1_3[Amount],"&lt;=100")&gt;=2,"Contract","Deal")</f>
        <v>Deal</v>
      </c>
    </row>
    <row r="1003" spans="1:7" x14ac:dyDescent="0.3">
      <c r="A1003" t="s">
        <v>58</v>
      </c>
      <c r="B1003" t="s">
        <v>10</v>
      </c>
      <c r="C1003" t="s">
        <v>33</v>
      </c>
      <c r="D1003">
        <v>852.29</v>
      </c>
      <c r="E1003">
        <v>123</v>
      </c>
      <c r="F1003" s="1">
        <v>45369</v>
      </c>
      <c r="G1003" t="str">
        <f>IF(COUNTIFS(Table1_3[Country],Table1_3[[#This Row],[Country]],Table1_3[Product],Table1_3[[#This Row],[Product]],Table1_3[Sales Person],Table1_3[[#This Row],[Sales Person]],Table1_3[Amount],"&lt;=100")&gt;=2,"Contract","Deal")</f>
        <v>Deal</v>
      </c>
    </row>
    <row r="1004" spans="1:7" x14ac:dyDescent="0.3">
      <c r="A1004" t="s">
        <v>58</v>
      </c>
      <c r="B1004" t="s">
        <v>10</v>
      </c>
      <c r="C1004" t="s">
        <v>42</v>
      </c>
      <c r="D1004">
        <v>8428</v>
      </c>
      <c r="E1004">
        <v>216</v>
      </c>
      <c r="F1004" s="1">
        <v>44588</v>
      </c>
      <c r="G1004" t="str">
        <f>IF(COUNTIFS(Table1_3[Country],Table1_3[[#This Row],[Country]],Table1_3[Product],Table1_3[[#This Row],[Product]],Table1_3[Sales Person],Table1_3[[#This Row],[Sales Person]],Table1_3[Amount],"&lt;=100")&gt;=2,"Contract","Deal")</f>
        <v>Deal</v>
      </c>
    </row>
    <row r="1005" spans="1:7" x14ac:dyDescent="0.3">
      <c r="A1005" t="s">
        <v>58</v>
      </c>
      <c r="B1005" t="s">
        <v>10</v>
      </c>
      <c r="C1005" t="s">
        <v>42</v>
      </c>
      <c r="D1005">
        <v>8693.31</v>
      </c>
      <c r="E1005">
        <v>209</v>
      </c>
      <c r="F1005" s="1">
        <v>44953</v>
      </c>
      <c r="G1005" t="str">
        <f>IF(COUNTIFS(Table1_3[Country],Table1_3[[#This Row],[Country]],Table1_3[Product],Table1_3[[#This Row],[Product]],Table1_3[Sales Person],Table1_3[[#This Row],[Sales Person]],Table1_3[Amount],"&lt;=100")&gt;=2,"Contract","Deal")</f>
        <v>Deal</v>
      </c>
    </row>
    <row r="1006" spans="1:7" x14ac:dyDescent="0.3">
      <c r="A1006" t="s">
        <v>58</v>
      </c>
      <c r="B1006" t="s">
        <v>10</v>
      </c>
      <c r="C1006" t="s">
        <v>42</v>
      </c>
      <c r="D1006">
        <v>9744.5</v>
      </c>
      <c r="E1006">
        <v>225</v>
      </c>
      <c r="F1006" s="1">
        <v>45318</v>
      </c>
      <c r="G1006" t="str">
        <f>IF(COUNTIFS(Table1_3[Country],Table1_3[[#This Row],[Country]],Table1_3[Product],Table1_3[[#This Row],[Product]],Table1_3[Sales Person],Table1_3[[#This Row],[Sales Person]],Table1_3[Amount],"&lt;=100")&gt;=2,"Contract","Deal")</f>
        <v>Deal</v>
      </c>
    </row>
    <row r="1007" spans="1:7" x14ac:dyDescent="0.3">
      <c r="A1007" t="s">
        <v>58</v>
      </c>
      <c r="B1007" t="s">
        <v>10</v>
      </c>
      <c r="C1007" t="s">
        <v>18</v>
      </c>
      <c r="D1007">
        <v>2975</v>
      </c>
      <c r="E1007">
        <v>9</v>
      </c>
      <c r="F1007" s="1">
        <v>44749</v>
      </c>
      <c r="G1007" t="str">
        <f>IF(COUNTIFS(Table1_3[Country],Table1_3[[#This Row],[Country]],Table1_3[Product],Table1_3[[#This Row],[Product]],Table1_3[Sales Person],Table1_3[[#This Row],[Sales Person]],Table1_3[Amount],"&lt;=100")&gt;=2,"Contract","Deal")</f>
        <v>Deal</v>
      </c>
    </row>
    <row r="1008" spans="1:7" x14ac:dyDescent="0.3">
      <c r="A1008" t="s">
        <v>58</v>
      </c>
      <c r="B1008" t="s">
        <v>10</v>
      </c>
      <c r="C1008" t="s">
        <v>18</v>
      </c>
      <c r="D1008">
        <v>3343.85</v>
      </c>
      <c r="E1008">
        <v>10</v>
      </c>
      <c r="F1008" s="1">
        <v>45114</v>
      </c>
      <c r="G1008" t="str">
        <f>IF(COUNTIFS(Table1_3[Country],Table1_3[[#This Row],[Country]],Table1_3[Product],Table1_3[[#This Row],[Product]],Table1_3[Sales Person],Table1_3[[#This Row],[Sales Person]],Table1_3[Amount],"&lt;=100")&gt;=2,"Contract","Deal")</f>
        <v>Deal</v>
      </c>
    </row>
    <row r="1009" spans="1:7" x14ac:dyDescent="0.3">
      <c r="A1009" t="s">
        <v>58</v>
      </c>
      <c r="B1009" t="s">
        <v>10</v>
      </c>
      <c r="C1009" t="s">
        <v>18</v>
      </c>
      <c r="D1009">
        <v>3429.85</v>
      </c>
      <c r="E1009">
        <v>9</v>
      </c>
      <c r="F1009" s="1">
        <v>45480</v>
      </c>
      <c r="G1009" t="str">
        <f>IF(COUNTIFS(Table1_3[Country],Table1_3[[#This Row],[Country]],Table1_3[Product],Table1_3[[#This Row],[Product]],Table1_3[Sales Person],Table1_3[[#This Row],[Sales Person]],Table1_3[Amount],"&lt;=100")&gt;=2,"Contract","Deal")</f>
        <v>Deal</v>
      </c>
    </row>
    <row r="1010" spans="1:7" x14ac:dyDescent="0.3">
      <c r="A1010" t="s">
        <v>58</v>
      </c>
      <c r="B1010" t="s">
        <v>25</v>
      </c>
      <c r="C1010" t="s">
        <v>38</v>
      </c>
      <c r="D1010">
        <v>4109</v>
      </c>
      <c r="E1010">
        <v>197</v>
      </c>
      <c r="F1010" s="1">
        <v>44572</v>
      </c>
      <c r="G1010" t="str">
        <f>IF(COUNTIFS(Table1_3[Country],Table1_3[[#This Row],[Country]],Table1_3[Product],Table1_3[[#This Row],[Product]],Table1_3[Sales Person],Table1_3[[#This Row],[Sales Person]],Table1_3[Amount],"&lt;=100")&gt;=2,"Contract","Deal")</f>
        <v>Deal</v>
      </c>
    </row>
    <row r="1011" spans="1:7" x14ac:dyDescent="0.3">
      <c r="A1011" t="s">
        <v>58</v>
      </c>
      <c r="B1011" t="s">
        <v>25</v>
      </c>
      <c r="C1011" t="s">
        <v>38</v>
      </c>
      <c r="D1011">
        <v>4437.46</v>
      </c>
      <c r="E1011">
        <v>196</v>
      </c>
      <c r="F1011" s="1">
        <v>44937</v>
      </c>
      <c r="G1011" t="str">
        <f>IF(COUNTIFS(Table1_3[Country],Table1_3[[#This Row],[Country]],Table1_3[Product],Table1_3[[#This Row],[Product]],Table1_3[Sales Person],Table1_3[[#This Row],[Sales Person]],Table1_3[Amount],"&lt;=100")&gt;=2,"Contract","Deal")</f>
        <v>Deal</v>
      </c>
    </row>
    <row r="1012" spans="1:7" x14ac:dyDescent="0.3">
      <c r="A1012" t="s">
        <v>58</v>
      </c>
      <c r="B1012" t="s">
        <v>25</v>
      </c>
      <c r="C1012" t="s">
        <v>38</v>
      </c>
      <c r="D1012">
        <v>4324.4799999999996</v>
      </c>
      <c r="E1012">
        <v>202</v>
      </c>
      <c r="F1012" s="1">
        <v>45302</v>
      </c>
      <c r="G1012" t="str">
        <f>IF(COUNTIFS(Table1_3[Country],Table1_3[[#This Row],[Country]],Table1_3[Product],Table1_3[[#This Row],[Product]],Table1_3[Sales Person],Table1_3[[#This Row],[Sales Person]],Table1_3[Amount],"&lt;=100")&gt;=2,"Contract","Deal")</f>
        <v>Deal</v>
      </c>
    </row>
    <row r="1013" spans="1:7" x14ac:dyDescent="0.3">
      <c r="A1013" t="s">
        <v>58</v>
      </c>
      <c r="B1013" t="s">
        <v>25</v>
      </c>
      <c r="C1013" t="s">
        <v>60</v>
      </c>
      <c r="D1013">
        <v>5061</v>
      </c>
      <c r="E1013">
        <v>301</v>
      </c>
      <c r="F1013" s="1">
        <v>44727</v>
      </c>
      <c r="G1013" t="str">
        <f>IF(COUNTIFS(Table1_3[Country],Table1_3[[#This Row],[Country]],Table1_3[Product],Table1_3[[#This Row],[Product]],Table1_3[Sales Person],Table1_3[[#This Row],[Sales Person]],Table1_3[Amount],"&lt;=100")&gt;=2,"Contract","Deal")</f>
        <v>Deal</v>
      </c>
    </row>
    <row r="1014" spans="1:7" x14ac:dyDescent="0.3">
      <c r="A1014" t="s">
        <v>58</v>
      </c>
      <c r="B1014" t="s">
        <v>25</v>
      </c>
      <c r="C1014" t="s">
        <v>60</v>
      </c>
      <c r="D1014">
        <v>5773.51</v>
      </c>
      <c r="E1014">
        <v>325</v>
      </c>
      <c r="F1014" s="1">
        <v>45092</v>
      </c>
      <c r="G1014" t="str">
        <f>IF(COUNTIFS(Table1_3[Country],Table1_3[[#This Row],[Country]],Table1_3[Product],Table1_3[[#This Row],[Product]],Table1_3[Sales Person],Table1_3[[#This Row],[Sales Person]],Table1_3[Amount],"&lt;=100")&gt;=2,"Contract","Deal")</f>
        <v>Deal</v>
      </c>
    </row>
    <row r="1015" spans="1:7" x14ac:dyDescent="0.3">
      <c r="A1015" t="s">
        <v>58</v>
      </c>
      <c r="B1015" t="s">
        <v>25</v>
      </c>
      <c r="C1015" t="s">
        <v>60</v>
      </c>
      <c r="D1015">
        <v>5932.84</v>
      </c>
      <c r="E1015">
        <v>303</v>
      </c>
      <c r="F1015" s="1">
        <v>45458</v>
      </c>
      <c r="G1015" t="str">
        <f>IF(COUNTIFS(Table1_3[Country],Table1_3[[#This Row],[Country]],Table1_3[Product],Table1_3[[#This Row],[Product]],Table1_3[Sales Person],Table1_3[[#This Row],[Sales Person]],Table1_3[Amount],"&lt;=100")&gt;=2,"Contract","Deal")</f>
        <v>Deal</v>
      </c>
    </row>
    <row r="1016" spans="1:7" x14ac:dyDescent="0.3">
      <c r="A1016" t="s">
        <v>58</v>
      </c>
      <c r="B1016" t="s">
        <v>25</v>
      </c>
      <c r="C1016" t="s">
        <v>8</v>
      </c>
      <c r="D1016">
        <v>6454</v>
      </c>
      <c r="E1016">
        <v>417</v>
      </c>
      <c r="F1016" s="1">
        <v>44656</v>
      </c>
      <c r="G1016" t="str">
        <f>IF(COUNTIFS(Table1_3[Country],Table1_3[[#This Row],[Country]],Table1_3[Product],Table1_3[[#This Row],[Product]],Table1_3[Sales Person],Table1_3[[#This Row],[Sales Person]],Table1_3[Amount],"&lt;=100")&gt;=2,"Contract","Deal")</f>
        <v>Deal</v>
      </c>
    </row>
    <row r="1017" spans="1:7" x14ac:dyDescent="0.3">
      <c r="A1017" t="s">
        <v>58</v>
      </c>
      <c r="B1017" t="s">
        <v>25</v>
      </c>
      <c r="C1017" t="s">
        <v>8</v>
      </c>
      <c r="D1017">
        <v>6668.93</v>
      </c>
      <c r="E1017">
        <v>419</v>
      </c>
      <c r="F1017" s="1">
        <v>45021</v>
      </c>
      <c r="G1017" t="str">
        <f>IF(COUNTIFS(Table1_3[Country],Table1_3[[#This Row],[Country]],Table1_3[Product],Table1_3[[#This Row],[Product]],Table1_3[Sales Person],Table1_3[[#This Row],[Sales Person]],Table1_3[Amount],"&lt;=100")&gt;=2,"Contract","Deal")</f>
        <v>Deal</v>
      </c>
    </row>
    <row r="1018" spans="1:7" x14ac:dyDescent="0.3">
      <c r="A1018" t="s">
        <v>58</v>
      </c>
      <c r="B1018" t="s">
        <v>25</v>
      </c>
      <c r="C1018" t="s">
        <v>8</v>
      </c>
      <c r="D1018">
        <v>7121.02</v>
      </c>
      <c r="E1018">
        <v>433</v>
      </c>
      <c r="F1018" s="1">
        <v>45387</v>
      </c>
      <c r="G1018" t="str">
        <f>IF(COUNTIFS(Table1_3[Country],Table1_3[[#This Row],[Country]],Table1_3[Product],Table1_3[[#This Row],[Product]],Table1_3[Sales Person],Table1_3[[#This Row],[Sales Person]],Table1_3[Amount],"&lt;=100")&gt;=2,"Contract","Deal")</f>
        <v>Deal</v>
      </c>
    </row>
    <row r="1019" spans="1:7" x14ac:dyDescent="0.3">
      <c r="A1019" t="s">
        <v>58</v>
      </c>
      <c r="B1019" t="s">
        <v>25</v>
      </c>
      <c r="C1019" t="s">
        <v>33</v>
      </c>
      <c r="D1019">
        <v>4571</v>
      </c>
      <c r="E1019">
        <v>140</v>
      </c>
      <c r="F1019" s="1">
        <v>44636</v>
      </c>
      <c r="G1019" t="str">
        <f>IF(COUNTIFS(Table1_3[Country],Table1_3[[#This Row],[Country]],Table1_3[Product],Table1_3[[#This Row],[Product]],Table1_3[Sales Person],Table1_3[[#This Row],[Sales Person]],Table1_3[Amount],"&lt;=100")&gt;=2,"Contract","Deal")</f>
        <v>Deal</v>
      </c>
    </row>
    <row r="1020" spans="1:7" x14ac:dyDescent="0.3">
      <c r="A1020" t="s">
        <v>58</v>
      </c>
      <c r="B1020" t="s">
        <v>25</v>
      </c>
      <c r="C1020" t="s">
        <v>33</v>
      </c>
      <c r="D1020">
        <v>4944.46</v>
      </c>
      <c r="E1020">
        <v>144</v>
      </c>
      <c r="F1020" s="1">
        <v>45001</v>
      </c>
      <c r="G1020" t="str">
        <f>IF(COUNTIFS(Table1_3[Country],Table1_3[[#This Row],[Country]],Table1_3[Product],Table1_3[[#This Row],[Product]],Table1_3[Sales Person],Table1_3[[#This Row],[Sales Person]],Table1_3[Amount],"&lt;=100")&gt;=2,"Contract","Deal")</f>
        <v>Deal</v>
      </c>
    </row>
    <row r="1021" spans="1:7" x14ac:dyDescent="0.3">
      <c r="A1021" t="s">
        <v>58</v>
      </c>
      <c r="B1021" t="s">
        <v>25</v>
      </c>
      <c r="C1021" t="s">
        <v>33</v>
      </c>
      <c r="D1021">
        <v>5245.53</v>
      </c>
      <c r="E1021">
        <v>144</v>
      </c>
      <c r="F1021" s="1">
        <v>45367</v>
      </c>
      <c r="G1021" t="str">
        <f>IF(COUNTIFS(Table1_3[Country],Table1_3[[#This Row],[Country]],Table1_3[Product],Table1_3[[#This Row],[Product]],Table1_3[Sales Person],Table1_3[[#This Row],[Sales Person]],Table1_3[Amount],"&lt;=100")&gt;=2,"Contract","Deal")</f>
        <v>Deal</v>
      </c>
    </row>
    <row r="1022" spans="1:7" x14ac:dyDescent="0.3">
      <c r="A1022" t="s">
        <v>58</v>
      </c>
      <c r="B1022" t="s">
        <v>25</v>
      </c>
      <c r="C1022" t="s">
        <v>42</v>
      </c>
      <c r="D1022">
        <v>371</v>
      </c>
      <c r="E1022">
        <v>229</v>
      </c>
      <c r="F1022" s="1">
        <v>44565</v>
      </c>
      <c r="G1022" t="str">
        <f>IF(COUNTIFS(Table1_3[Country],Table1_3[[#This Row],[Country]],Table1_3[Product],Table1_3[[#This Row],[Product]],Table1_3[Sales Person],Table1_3[[#This Row],[Sales Person]],Table1_3[Amount],"&lt;=100")&gt;=2,"Contract","Deal")</f>
        <v>Deal</v>
      </c>
    </row>
    <row r="1023" spans="1:7" x14ac:dyDescent="0.3">
      <c r="A1023" t="s">
        <v>58</v>
      </c>
      <c r="B1023" t="s">
        <v>25</v>
      </c>
      <c r="C1023" t="s">
        <v>42</v>
      </c>
      <c r="D1023">
        <v>420.3</v>
      </c>
      <c r="E1023">
        <v>224</v>
      </c>
      <c r="F1023" s="1">
        <v>44930</v>
      </c>
      <c r="G1023" t="str">
        <f>IF(COUNTIFS(Table1_3[Country],Table1_3[[#This Row],[Country]],Table1_3[Product],Table1_3[[#This Row],[Product]],Table1_3[Sales Person],Table1_3[[#This Row],[Sales Person]],Table1_3[Amount],"&lt;=100")&gt;=2,"Contract","Deal")</f>
        <v>Deal</v>
      </c>
    </row>
    <row r="1024" spans="1:7" x14ac:dyDescent="0.3">
      <c r="A1024" t="s">
        <v>58</v>
      </c>
      <c r="B1024" t="s">
        <v>25</v>
      </c>
      <c r="C1024" t="s">
        <v>42</v>
      </c>
      <c r="D1024">
        <v>427.36</v>
      </c>
      <c r="E1024">
        <v>249</v>
      </c>
      <c r="F1024" s="1">
        <v>45295</v>
      </c>
      <c r="G1024" t="str">
        <f>IF(COUNTIFS(Table1_3[Country],Table1_3[[#This Row],[Country]],Table1_3[Product],Table1_3[[#This Row],[Product]],Table1_3[Sales Person],Table1_3[[#This Row],[Sales Person]],Table1_3[Amount],"&lt;=100")&gt;=2,"Contract","Deal")</f>
        <v>Deal</v>
      </c>
    </row>
    <row r="1025" spans="1:7" x14ac:dyDescent="0.3">
      <c r="A1025" t="s">
        <v>58</v>
      </c>
      <c r="B1025" t="s">
        <v>25</v>
      </c>
      <c r="C1025" t="s">
        <v>59</v>
      </c>
      <c r="D1025">
        <v>9492</v>
      </c>
      <c r="E1025">
        <v>151</v>
      </c>
      <c r="F1025" s="1">
        <v>44747</v>
      </c>
      <c r="G1025" t="str">
        <f>IF(COUNTIFS(Table1_3[Country],Table1_3[[#This Row],[Country]],Table1_3[Product],Table1_3[[#This Row],[Product]],Table1_3[Sales Person],Table1_3[[#This Row],[Sales Person]],Table1_3[Amount],"&lt;=100")&gt;=2,"Contract","Deal")</f>
        <v>Deal</v>
      </c>
    </row>
    <row r="1026" spans="1:7" x14ac:dyDescent="0.3">
      <c r="A1026" t="s">
        <v>58</v>
      </c>
      <c r="B1026" t="s">
        <v>25</v>
      </c>
      <c r="C1026" t="s">
        <v>59</v>
      </c>
      <c r="D1026">
        <v>10604.89</v>
      </c>
      <c r="E1026">
        <v>165</v>
      </c>
      <c r="F1026" s="1">
        <v>45112</v>
      </c>
      <c r="G1026" t="str">
        <f>IF(COUNTIFS(Table1_3[Country],Table1_3[[#This Row],[Country]],Table1_3[Product],Table1_3[[#This Row],[Product]],Table1_3[Sales Person],Table1_3[[#This Row],[Sales Person]],Table1_3[Amount],"&lt;=100")&gt;=2,"Contract","Deal")</f>
        <v>Deal</v>
      </c>
    </row>
    <row r="1027" spans="1:7" x14ac:dyDescent="0.3">
      <c r="A1027" t="s">
        <v>58</v>
      </c>
      <c r="B1027" t="s">
        <v>25</v>
      </c>
      <c r="C1027" t="s">
        <v>59</v>
      </c>
      <c r="D1027">
        <v>10113.4</v>
      </c>
      <c r="E1027">
        <v>155</v>
      </c>
      <c r="F1027" s="1">
        <v>45478</v>
      </c>
      <c r="G1027" t="str">
        <f>IF(COUNTIFS(Table1_3[Country],Table1_3[[#This Row],[Country]],Table1_3[Product],Table1_3[[#This Row],[Product]],Table1_3[Sales Person],Table1_3[[#This Row],[Sales Person]],Table1_3[Amount],"&lt;=100")&gt;=2,"Contract","Deal")</f>
        <v>Deal</v>
      </c>
    </row>
    <row r="1028" spans="1:7" x14ac:dyDescent="0.3">
      <c r="A1028" t="s">
        <v>58</v>
      </c>
      <c r="B1028" t="s">
        <v>7</v>
      </c>
      <c r="C1028" t="s">
        <v>20</v>
      </c>
      <c r="D1028">
        <v>12187</v>
      </c>
      <c r="E1028">
        <v>27</v>
      </c>
      <c r="F1028" s="1">
        <v>44711</v>
      </c>
      <c r="G1028" t="str">
        <f>IF(COUNTIFS(Table1_3[Country],Table1_3[[#This Row],[Country]],Table1_3[Product],Table1_3[[#This Row],[Product]],Table1_3[Sales Person],Table1_3[[#This Row],[Sales Person]],Table1_3[Amount],"&lt;=100")&gt;=2,"Contract","Deal")</f>
        <v>Deal</v>
      </c>
    </row>
    <row r="1029" spans="1:7" x14ac:dyDescent="0.3">
      <c r="A1029" t="s">
        <v>58</v>
      </c>
      <c r="B1029" t="s">
        <v>7</v>
      </c>
      <c r="C1029" t="s">
        <v>20</v>
      </c>
      <c r="D1029">
        <v>13205.42</v>
      </c>
      <c r="E1029">
        <v>26</v>
      </c>
      <c r="F1029" s="1">
        <v>45076</v>
      </c>
      <c r="G1029" t="str">
        <f>IF(COUNTIFS(Table1_3[Country],Table1_3[[#This Row],[Country]],Table1_3[Product],Table1_3[[#This Row],[Product]],Table1_3[Sales Person],Table1_3[[#This Row],[Sales Person]],Table1_3[Amount],"&lt;=100")&gt;=2,"Contract","Deal")</f>
        <v>Deal</v>
      </c>
    </row>
    <row r="1030" spans="1:7" x14ac:dyDescent="0.3">
      <c r="A1030" t="s">
        <v>58</v>
      </c>
      <c r="B1030" t="s">
        <v>7</v>
      </c>
      <c r="C1030" t="s">
        <v>20</v>
      </c>
      <c r="D1030">
        <v>12841.79</v>
      </c>
      <c r="E1030">
        <v>26</v>
      </c>
      <c r="F1030" s="1">
        <v>45442</v>
      </c>
      <c r="G1030" t="str">
        <f>IF(COUNTIFS(Table1_3[Country],Table1_3[[#This Row],[Country]],Table1_3[Product],Table1_3[[#This Row],[Product]],Table1_3[Sales Person],Table1_3[[#This Row],[Sales Person]],Table1_3[Amount],"&lt;=100")&gt;=2,"Contract","Deal")</f>
        <v>Deal</v>
      </c>
    </row>
    <row r="1031" spans="1:7" x14ac:dyDescent="0.3">
      <c r="A1031" t="s">
        <v>58</v>
      </c>
      <c r="B1031" t="s">
        <v>7</v>
      </c>
      <c r="C1031" t="s">
        <v>87</v>
      </c>
      <c r="D1031">
        <v>2275</v>
      </c>
      <c r="E1031">
        <v>275</v>
      </c>
      <c r="F1031" s="1">
        <v>44578</v>
      </c>
      <c r="G1031" t="str">
        <f>IF(COUNTIFS(Table1_3[Country],Table1_3[[#This Row],[Country]],Table1_3[Product],Table1_3[[#This Row],[Product]],Table1_3[Sales Person],Table1_3[[#This Row],[Sales Person]],Table1_3[Amount],"&lt;=100")&gt;=2,"Contract","Deal")</f>
        <v>Deal</v>
      </c>
    </row>
    <row r="1032" spans="1:7" x14ac:dyDescent="0.3">
      <c r="A1032" t="s">
        <v>58</v>
      </c>
      <c r="B1032" t="s">
        <v>7</v>
      </c>
      <c r="C1032" t="s">
        <v>87</v>
      </c>
      <c r="D1032">
        <v>2276.94</v>
      </c>
      <c r="E1032">
        <v>296</v>
      </c>
      <c r="F1032" s="1">
        <v>44943</v>
      </c>
      <c r="G1032" t="str">
        <f>IF(COUNTIFS(Table1_3[Country],Table1_3[[#This Row],[Country]],Table1_3[Product],Table1_3[[#This Row],[Product]],Table1_3[Sales Person],Table1_3[[#This Row],[Sales Person]],Table1_3[Amount],"&lt;=100")&gt;=2,"Contract","Deal")</f>
        <v>Deal</v>
      </c>
    </row>
    <row r="1033" spans="1:7" x14ac:dyDescent="0.3">
      <c r="A1033" t="s">
        <v>58</v>
      </c>
      <c r="B1033" t="s">
        <v>7</v>
      </c>
      <c r="C1033" t="s">
        <v>87</v>
      </c>
      <c r="D1033">
        <v>2516.34</v>
      </c>
      <c r="E1033">
        <v>293</v>
      </c>
      <c r="F1033" s="1">
        <v>45308</v>
      </c>
      <c r="G1033" t="str">
        <f>IF(COUNTIFS(Table1_3[Country],Table1_3[[#This Row],[Country]],Table1_3[Product],Table1_3[[#This Row],[Product]],Table1_3[Sales Person],Table1_3[[#This Row],[Sales Person]],Table1_3[Amount],"&lt;=100")&gt;=2,"Contract","Deal")</f>
        <v>Deal</v>
      </c>
    </row>
    <row r="1034" spans="1:7" x14ac:dyDescent="0.3">
      <c r="A1034" t="s">
        <v>58</v>
      </c>
      <c r="B1034" t="s">
        <v>7</v>
      </c>
      <c r="C1034" t="s">
        <v>36</v>
      </c>
      <c r="D1034">
        <v>6188</v>
      </c>
      <c r="E1034">
        <v>270</v>
      </c>
      <c r="F1034" s="1">
        <v>44644</v>
      </c>
      <c r="G1034" t="str">
        <f>IF(COUNTIFS(Table1_3[Country],Table1_3[[#This Row],[Country]],Table1_3[Product],Table1_3[[#This Row],[Product]],Table1_3[Sales Person],Table1_3[[#This Row],[Sales Person]],Table1_3[Amount],"&lt;=100")&gt;=2,"Contract","Deal")</f>
        <v>Deal</v>
      </c>
    </row>
    <row r="1035" spans="1:7" x14ac:dyDescent="0.3">
      <c r="A1035" t="s">
        <v>58</v>
      </c>
      <c r="B1035" t="s">
        <v>7</v>
      </c>
      <c r="C1035" t="s">
        <v>36</v>
      </c>
      <c r="D1035">
        <v>6757.17</v>
      </c>
      <c r="E1035">
        <v>276</v>
      </c>
      <c r="F1035" s="1">
        <v>45009</v>
      </c>
      <c r="G1035" t="str">
        <f>IF(COUNTIFS(Table1_3[Country],Table1_3[[#This Row],[Country]],Table1_3[Product],Table1_3[[#This Row],[Product]],Table1_3[Sales Person],Table1_3[[#This Row],[Sales Person]],Table1_3[Amount],"&lt;=100")&gt;=2,"Contract","Deal")</f>
        <v>Deal</v>
      </c>
    </row>
    <row r="1036" spans="1:7" x14ac:dyDescent="0.3">
      <c r="A1036" t="s">
        <v>58</v>
      </c>
      <c r="B1036" t="s">
        <v>7</v>
      </c>
      <c r="C1036" t="s">
        <v>36</v>
      </c>
      <c r="D1036">
        <v>6702.11</v>
      </c>
      <c r="E1036">
        <v>285</v>
      </c>
      <c r="F1036" s="1">
        <v>45375</v>
      </c>
      <c r="G1036" t="str">
        <f>IF(COUNTIFS(Table1_3[Country],Table1_3[[#This Row],[Country]],Table1_3[Product],Table1_3[[#This Row],[Product]],Table1_3[Sales Person],Table1_3[[#This Row],[Sales Person]],Table1_3[Amount],"&lt;=100")&gt;=2,"Contract","Deal")</f>
        <v>Deal</v>
      </c>
    </row>
    <row r="1037" spans="1:7" x14ac:dyDescent="0.3">
      <c r="A1037" t="s">
        <v>58</v>
      </c>
      <c r="B1037" t="s">
        <v>7</v>
      </c>
      <c r="C1037" t="s">
        <v>46</v>
      </c>
      <c r="D1037">
        <v>10808</v>
      </c>
      <c r="E1037">
        <v>407</v>
      </c>
      <c r="F1037" s="1">
        <v>44627</v>
      </c>
      <c r="G1037" t="str">
        <f>IF(COUNTIFS(Table1_3[Country],Table1_3[[#This Row],[Country]],Table1_3[Product],Table1_3[[#This Row],[Product]],Table1_3[Sales Person],Table1_3[[#This Row],[Sales Person]],Table1_3[Amount],"&lt;=100")&gt;=2,"Contract","Deal")</f>
        <v>Deal</v>
      </c>
    </row>
    <row r="1038" spans="1:7" x14ac:dyDescent="0.3">
      <c r="A1038" t="s">
        <v>58</v>
      </c>
      <c r="B1038" t="s">
        <v>7</v>
      </c>
      <c r="C1038" t="s">
        <v>46</v>
      </c>
      <c r="D1038">
        <v>11698.98</v>
      </c>
      <c r="E1038">
        <v>436</v>
      </c>
      <c r="F1038" s="1">
        <v>44992</v>
      </c>
      <c r="G1038" t="str">
        <f>IF(COUNTIFS(Table1_3[Country],Table1_3[[#This Row],[Country]],Table1_3[Product],Table1_3[[#This Row],[Product]],Table1_3[Sales Person],Table1_3[[#This Row],[Sales Person]],Table1_3[Amount],"&lt;=100")&gt;=2,"Contract","Deal")</f>
        <v>Deal</v>
      </c>
    </row>
    <row r="1039" spans="1:7" x14ac:dyDescent="0.3">
      <c r="A1039" t="s">
        <v>58</v>
      </c>
      <c r="B1039" t="s">
        <v>7</v>
      </c>
      <c r="C1039" t="s">
        <v>46</v>
      </c>
      <c r="D1039">
        <v>11963.91</v>
      </c>
      <c r="E1039">
        <v>446</v>
      </c>
      <c r="F1039" s="1">
        <v>45358</v>
      </c>
      <c r="G1039" t="str">
        <f>IF(COUNTIFS(Table1_3[Country],Table1_3[[#This Row],[Country]],Table1_3[Product],Table1_3[[#This Row],[Product]],Table1_3[Sales Person],Table1_3[[#This Row],[Sales Person]],Table1_3[Amount],"&lt;=100")&gt;=2,"Contract","Deal")</f>
        <v>Deal</v>
      </c>
    </row>
    <row r="1040" spans="1:7" x14ac:dyDescent="0.3">
      <c r="A1040" t="s">
        <v>58</v>
      </c>
      <c r="B1040" t="s">
        <v>7</v>
      </c>
      <c r="C1040" t="s">
        <v>13</v>
      </c>
      <c r="D1040">
        <v>8925</v>
      </c>
      <c r="E1040">
        <v>158</v>
      </c>
      <c r="F1040" s="1">
        <v>44599</v>
      </c>
      <c r="G1040" t="str">
        <f>IF(COUNTIFS(Table1_3[Country],Table1_3[[#This Row],[Country]],Table1_3[Product],Table1_3[[#This Row],[Product]],Table1_3[Sales Person],Table1_3[[#This Row],[Sales Person]],Table1_3[Amount],"&lt;=100")&gt;=2,"Contract","Deal")</f>
        <v>Deal</v>
      </c>
    </row>
    <row r="1041" spans="1:7" x14ac:dyDescent="0.3">
      <c r="A1041" t="s">
        <v>58</v>
      </c>
      <c r="B1041" t="s">
        <v>7</v>
      </c>
      <c r="C1041" t="s">
        <v>13</v>
      </c>
      <c r="D1041">
        <v>10186.18</v>
      </c>
      <c r="E1041">
        <v>154</v>
      </c>
      <c r="F1041" s="1">
        <v>44964</v>
      </c>
      <c r="G1041" t="str">
        <f>IF(COUNTIFS(Table1_3[Country],Table1_3[[#This Row],[Country]],Table1_3[Product],Table1_3[[#This Row],[Product]],Table1_3[Sales Person],Table1_3[[#This Row],[Sales Person]],Table1_3[Amount],"&lt;=100")&gt;=2,"Contract","Deal")</f>
        <v>Deal</v>
      </c>
    </row>
    <row r="1042" spans="1:7" x14ac:dyDescent="0.3">
      <c r="A1042" t="s">
        <v>58</v>
      </c>
      <c r="B1042" t="s">
        <v>7</v>
      </c>
      <c r="C1042" t="s">
        <v>13</v>
      </c>
      <c r="D1042">
        <v>9771.8700000000008</v>
      </c>
      <c r="E1042">
        <v>158</v>
      </c>
      <c r="F1042" s="1">
        <v>45329</v>
      </c>
      <c r="G1042" t="str">
        <f>IF(COUNTIFS(Table1_3[Country],Table1_3[[#This Row],[Country]],Table1_3[Product],Table1_3[[#This Row],[Product]],Table1_3[Sales Person],Table1_3[[#This Row],[Sales Person]],Table1_3[Amount],"&lt;=100")&gt;=2,"Contract","Deal")</f>
        <v>Deal</v>
      </c>
    </row>
    <row r="1043" spans="1:7" x14ac:dyDescent="0.3">
      <c r="A1043" t="s">
        <v>58</v>
      </c>
      <c r="B1043" t="s">
        <v>7</v>
      </c>
      <c r="C1043" t="s">
        <v>18</v>
      </c>
      <c r="D1043">
        <v>546</v>
      </c>
      <c r="E1043">
        <v>142</v>
      </c>
      <c r="F1043" s="1">
        <v>44677</v>
      </c>
      <c r="G1043" t="str">
        <f>IF(COUNTIFS(Table1_3[Country],Table1_3[[#This Row],[Country]],Table1_3[Product],Table1_3[[#This Row],[Product]],Table1_3[Sales Person],Table1_3[[#This Row],[Sales Person]],Table1_3[Amount],"&lt;=100")&gt;=2,"Contract","Deal")</f>
        <v>Deal</v>
      </c>
    </row>
    <row r="1044" spans="1:7" x14ac:dyDescent="0.3">
      <c r="A1044" t="s">
        <v>58</v>
      </c>
      <c r="B1044" t="s">
        <v>7</v>
      </c>
      <c r="C1044" t="s">
        <v>18</v>
      </c>
      <c r="D1044">
        <v>563.76</v>
      </c>
      <c r="E1044">
        <v>151</v>
      </c>
      <c r="F1044" s="1">
        <v>45042</v>
      </c>
      <c r="G1044" t="str">
        <f>IF(COUNTIFS(Table1_3[Country],Table1_3[[#This Row],[Country]],Table1_3[Product],Table1_3[[#This Row],[Product]],Table1_3[Sales Person],Table1_3[[#This Row],[Sales Person]],Table1_3[Amount],"&lt;=100")&gt;=2,"Contract","Deal")</f>
        <v>Deal</v>
      </c>
    </row>
    <row r="1045" spans="1:7" x14ac:dyDescent="0.3">
      <c r="A1045" t="s">
        <v>58</v>
      </c>
      <c r="B1045" t="s">
        <v>7</v>
      </c>
      <c r="C1045" t="s">
        <v>18</v>
      </c>
      <c r="D1045">
        <v>653.1</v>
      </c>
      <c r="E1045">
        <v>136</v>
      </c>
      <c r="F1045" s="1">
        <v>45408</v>
      </c>
      <c r="G1045" t="str">
        <f>IF(COUNTIFS(Table1_3[Country],Table1_3[[#This Row],[Country]],Table1_3[Product],Table1_3[[#This Row],[Product]],Table1_3[Sales Person],Table1_3[[#This Row],[Sales Person]],Table1_3[Amount],"&lt;=100")&gt;=2,"Contract","Deal")</f>
        <v>Deal</v>
      </c>
    </row>
    <row r="1046" spans="1:7" x14ac:dyDescent="0.3">
      <c r="A1046" t="s">
        <v>58</v>
      </c>
      <c r="B1046" t="s">
        <v>7</v>
      </c>
      <c r="C1046" t="s">
        <v>59</v>
      </c>
      <c r="D1046">
        <v>7238</v>
      </c>
      <c r="E1046">
        <v>265</v>
      </c>
      <c r="F1046" s="1">
        <v>44776</v>
      </c>
      <c r="G1046" t="str">
        <f>IF(COUNTIFS(Table1_3[Country],Table1_3[[#This Row],[Country]],Table1_3[Product],Table1_3[[#This Row],[Product]],Table1_3[Sales Person],Table1_3[[#This Row],[Sales Person]],Table1_3[Amount],"&lt;=100")&gt;=2,"Contract","Deal")</f>
        <v>Deal</v>
      </c>
    </row>
    <row r="1047" spans="1:7" x14ac:dyDescent="0.3">
      <c r="A1047" t="s">
        <v>58</v>
      </c>
      <c r="B1047" t="s">
        <v>7</v>
      </c>
      <c r="C1047" t="s">
        <v>59</v>
      </c>
      <c r="D1047">
        <v>7870.09</v>
      </c>
      <c r="E1047">
        <v>274</v>
      </c>
      <c r="F1047" s="1">
        <v>45141</v>
      </c>
      <c r="G1047" t="str">
        <f>IF(COUNTIFS(Table1_3[Country],Table1_3[[#This Row],[Country]],Table1_3[Product],Table1_3[[#This Row],[Product]],Table1_3[Sales Person],Table1_3[[#This Row],[Sales Person]],Table1_3[Amount],"&lt;=100")&gt;=2,"Contract","Deal")</f>
        <v>Deal</v>
      </c>
    </row>
    <row r="1048" spans="1:7" x14ac:dyDescent="0.3">
      <c r="A1048" t="s">
        <v>58</v>
      </c>
      <c r="B1048" t="s">
        <v>7</v>
      </c>
      <c r="C1048" t="s">
        <v>59</v>
      </c>
      <c r="D1048">
        <v>8338.51</v>
      </c>
      <c r="E1048">
        <v>270</v>
      </c>
      <c r="F1048" s="1">
        <v>45507</v>
      </c>
      <c r="G1048" t="str">
        <f>IF(COUNTIFS(Table1_3[Country],Table1_3[[#This Row],[Country]],Table1_3[Product],Table1_3[[#This Row],[Product]],Table1_3[Sales Person],Table1_3[[#This Row],[Sales Person]],Table1_3[Amount],"&lt;=100")&gt;=2,"Contract","Deal")</f>
        <v>Deal</v>
      </c>
    </row>
    <row r="1049" spans="1:7" x14ac:dyDescent="0.3">
      <c r="A1049" t="s">
        <v>58</v>
      </c>
      <c r="B1049" t="s">
        <v>32</v>
      </c>
      <c r="C1049" t="s">
        <v>100</v>
      </c>
      <c r="D1049">
        <v>658</v>
      </c>
      <c r="E1049">
        <v>77</v>
      </c>
      <c r="F1049" s="1">
        <v>44635</v>
      </c>
      <c r="G1049" t="str">
        <f>IF(COUNTIFS(Table1_3[Country],Table1_3[[#This Row],[Country]],Table1_3[Product],Table1_3[[#This Row],[Product]],Table1_3[Sales Person],Table1_3[[#This Row],[Sales Person]],Table1_3[Amount],"&lt;=100")&gt;=2,"Contract","Deal")</f>
        <v>Deal</v>
      </c>
    </row>
    <row r="1050" spans="1:7" x14ac:dyDescent="0.3">
      <c r="A1050" t="s">
        <v>58</v>
      </c>
      <c r="B1050" t="s">
        <v>32</v>
      </c>
      <c r="C1050" t="s">
        <v>100</v>
      </c>
      <c r="D1050">
        <v>735.48</v>
      </c>
      <c r="E1050">
        <v>77</v>
      </c>
      <c r="F1050" s="1">
        <v>45000</v>
      </c>
      <c r="G1050" t="str">
        <f>IF(COUNTIFS(Table1_3[Country],Table1_3[[#This Row],[Country]],Table1_3[Product],Table1_3[[#This Row],[Product]],Table1_3[Sales Person],Table1_3[[#This Row],[Sales Person]],Table1_3[Amount],"&lt;=100")&gt;=2,"Contract","Deal")</f>
        <v>Deal</v>
      </c>
    </row>
    <row r="1051" spans="1:7" x14ac:dyDescent="0.3">
      <c r="A1051" t="s">
        <v>58</v>
      </c>
      <c r="B1051" t="s">
        <v>32</v>
      </c>
      <c r="C1051" t="s">
        <v>100</v>
      </c>
      <c r="D1051">
        <v>730.06</v>
      </c>
      <c r="E1051">
        <v>78</v>
      </c>
      <c r="F1051" s="1">
        <v>45366</v>
      </c>
      <c r="G1051" t="str">
        <f>IF(COUNTIFS(Table1_3[Country],Table1_3[[#This Row],[Country]],Table1_3[Product],Table1_3[[#This Row],[Product]],Table1_3[Sales Person],Table1_3[[#This Row],[Sales Person]],Table1_3[Amount],"&lt;=100")&gt;=2,"Contract","Deal")</f>
        <v>Deal</v>
      </c>
    </row>
    <row r="1052" spans="1:7" x14ac:dyDescent="0.3">
      <c r="A1052" t="s">
        <v>58</v>
      </c>
      <c r="B1052" t="s">
        <v>32</v>
      </c>
      <c r="C1052" t="s">
        <v>65</v>
      </c>
      <c r="D1052">
        <v>11718</v>
      </c>
      <c r="E1052">
        <v>84</v>
      </c>
      <c r="F1052" s="1">
        <v>44742</v>
      </c>
      <c r="G1052" t="str">
        <f>IF(COUNTIFS(Table1_3[Country],Table1_3[[#This Row],[Country]],Table1_3[Product],Table1_3[[#This Row],[Product]],Table1_3[Sales Person],Table1_3[[#This Row],[Sales Person]],Table1_3[Amount],"&lt;=100")&gt;=2,"Contract","Deal")</f>
        <v>Deal</v>
      </c>
    </row>
    <row r="1053" spans="1:7" x14ac:dyDescent="0.3">
      <c r="A1053" t="s">
        <v>58</v>
      </c>
      <c r="B1053" t="s">
        <v>32</v>
      </c>
      <c r="C1053" t="s">
        <v>65</v>
      </c>
      <c r="D1053">
        <v>11884.52</v>
      </c>
      <c r="E1053">
        <v>82</v>
      </c>
      <c r="F1053" s="1">
        <v>45107</v>
      </c>
      <c r="G1053" t="str">
        <f>IF(COUNTIFS(Table1_3[Country],Table1_3[[#This Row],[Country]],Table1_3[Product],Table1_3[[#This Row],[Product]],Table1_3[Sales Person],Table1_3[[#This Row],[Sales Person]],Table1_3[Amount],"&lt;=100")&gt;=2,"Contract","Deal")</f>
        <v>Deal</v>
      </c>
    </row>
    <row r="1054" spans="1:7" x14ac:dyDescent="0.3">
      <c r="A1054" t="s">
        <v>58</v>
      </c>
      <c r="B1054" t="s">
        <v>32</v>
      </c>
      <c r="C1054" t="s">
        <v>65</v>
      </c>
      <c r="D1054">
        <v>13786.87</v>
      </c>
      <c r="E1054">
        <v>85</v>
      </c>
      <c r="F1054" s="1">
        <v>45473</v>
      </c>
      <c r="G1054" t="str">
        <f>IF(COUNTIFS(Table1_3[Country],Table1_3[[#This Row],[Country]],Table1_3[Product],Table1_3[[#This Row],[Product]],Table1_3[Sales Person],Table1_3[[#This Row],[Sales Person]],Table1_3[Amount],"&lt;=100")&gt;=2,"Contract","Deal")</f>
        <v>Deal</v>
      </c>
    </row>
    <row r="1055" spans="1:7" x14ac:dyDescent="0.3">
      <c r="A1055" t="s">
        <v>58</v>
      </c>
      <c r="B1055" t="s">
        <v>32</v>
      </c>
      <c r="C1055" t="s">
        <v>87</v>
      </c>
      <c r="D1055">
        <v>17465</v>
      </c>
      <c r="E1055">
        <v>271</v>
      </c>
      <c r="F1055" s="1">
        <v>44784</v>
      </c>
      <c r="G1055" t="str">
        <f>IF(COUNTIFS(Table1_3[Country],Table1_3[[#This Row],[Country]],Table1_3[Product],Table1_3[[#This Row],[Product]],Table1_3[Sales Person],Table1_3[[#This Row],[Sales Person]],Table1_3[Amount],"&lt;=100")&gt;=2,"Contract","Deal")</f>
        <v>Deal</v>
      </c>
    </row>
    <row r="1056" spans="1:7" x14ac:dyDescent="0.3">
      <c r="A1056" t="s">
        <v>58</v>
      </c>
      <c r="B1056" t="s">
        <v>32</v>
      </c>
      <c r="C1056" t="s">
        <v>87</v>
      </c>
      <c r="D1056">
        <v>18494.72</v>
      </c>
      <c r="E1056">
        <v>298</v>
      </c>
      <c r="F1056" s="1">
        <v>45149</v>
      </c>
      <c r="G1056" t="str">
        <f>IF(COUNTIFS(Table1_3[Country],Table1_3[[#This Row],[Country]],Table1_3[Product],Table1_3[[#This Row],[Product]],Table1_3[Sales Person],Table1_3[[#This Row],[Sales Person]],Table1_3[Amount],"&lt;=100")&gt;=2,"Contract","Deal")</f>
        <v>Deal</v>
      </c>
    </row>
    <row r="1057" spans="1:7" x14ac:dyDescent="0.3">
      <c r="A1057" t="s">
        <v>58</v>
      </c>
      <c r="B1057" t="s">
        <v>32</v>
      </c>
      <c r="C1057" t="s">
        <v>87</v>
      </c>
      <c r="D1057">
        <v>18481.73</v>
      </c>
      <c r="E1057">
        <v>295</v>
      </c>
      <c r="F1057" s="1">
        <v>45515</v>
      </c>
      <c r="G1057" t="str">
        <f>IF(COUNTIFS(Table1_3[Country],Table1_3[[#This Row],[Country]],Table1_3[Product],Table1_3[[#This Row],[Product]],Table1_3[Sales Person],Table1_3[[#This Row],[Sales Person]],Table1_3[Amount],"&lt;=100")&gt;=2,"Contract","Deal")</f>
        <v>Deal</v>
      </c>
    </row>
    <row r="1058" spans="1:7" x14ac:dyDescent="0.3">
      <c r="A1058" t="s">
        <v>58</v>
      </c>
      <c r="B1058" t="s">
        <v>32</v>
      </c>
      <c r="C1058" t="s">
        <v>90</v>
      </c>
      <c r="D1058">
        <v>2317</v>
      </c>
      <c r="E1058">
        <v>464</v>
      </c>
      <c r="F1058" s="1">
        <v>44753</v>
      </c>
      <c r="G1058" t="str">
        <f>IF(COUNTIFS(Table1_3[Country],Table1_3[[#This Row],[Country]],Table1_3[Product],Table1_3[[#This Row],[Product]],Table1_3[Sales Person],Table1_3[[#This Row],[Sales Person]],Table1_3[Amount],"&lt;=100")&gt;=2,"Contract","Deal")</f>
        <v>Deal</v>
      </c>
    </row>
    <row r="1059" spans="1:7" x14ac:dyDescent="0.3">
      <c r="A1059" t="s">
        <v>58</v>
      </c>
      <c r="B1059" t="s">
        <v>32</v>
      </c>
      <c r="C1059" t="s">
        <v>90</v>
      </c>
      <c r="D1059">
        <v>2583.0300000000002</v>
      </c>
      <c r="E1059">
        <v>501</v>
      </c>
      <c r="F1059" s="1">
        <v>45118</v>
      </c>
      <c r="G1059" t="str">
        <f>IF(COUNTIFS(Table1_3[Country],Table1_3[[#This Row],[Country]],Table1_3[Product],Table1_3[[#This Row],[Product]],Table1_3[Sales Person],Table1_3[[#This Row],[Sales Person]],Table1_3[Amount],"&lt;=100")&gt;=2,"Contract","Deal")</f>
        <v>Deal</v>
      </c>
    </row>
    <row r="1060" spans="1:7" x14ac:dyDescent="0.3">
      <c r="A1060" t="s">
        <v>58</v>
      </c>
      <c r="B1060" t="s">
        <v>32</v>
      </c>
      <c r="C1060" t="s">
        <v>90</v>
      </c>
      <c r="D1060">
        <v>2757.16</v>
      </c>
      <c r="E1060">
        <v>463</v>
      </c>
      <c r="F1060" s="1">
        <v>45484</v>
      </c>
      <c r="G1060" t="str">
        <f>IF(COUNTIFS(Table1_3[Country],Table1_3[[#This Row],[Country]],Table1_3[Product],Table1_3[[#This Row],[Product]],Table1_3[Sales Person],Table1_3[[#This Row],[Sales Person]],Table1_3[Amount],"&lt;=100")&gt;=2,"Contract","Deal")</f>
        <v>Deal</v>
      </c>
    </row>
    <row r="1061" spans="1:7" x14ac:dyDescent="0.3">
      <c r="A1061" t="s">
        <v>58</v>
      </c>
      <c r="B1061" t="s">
        <v>32</v>
      </c>
      <c r="C1061" t="s">
        <v>38</v>
      </c>
      <c r="D1061">
        <v>2191</v>
      </c>
      <c r="E1061">
        <v>138</v>
      </c>
      <c r="F1061" s="1">
        <v>44691</v>
      </c>
      <c r="G1061" t="str">
        <f>IF(COUNTIFS(Table1_3[Country],Table1_3[[#This Row],[Country]],Table1_3[Product],Table1_3[[#This Row],[Product]],Table1_3[Sales Person],Table1_3[[#This Row],[Sales Person]],Table1_3[Amount],"&lt;=100")&gt;=2,"Contract","Deal")</f>
        <v>Deal</v>
      </c>
    </row>
    <row r="1062" spans="1:7" x14ac:dyDescent="0.3">
      <c r="A1062" t="s">
        <v>58</v>
      </c>
      <c r="B1062" t="s">
        <v>32</v>
      </c>
      <c r="C1062" t="s">
        <v>38</v>
      </c>
      <c r="D1062">
        <v>2369.87</v>
      </c>
      <c r="E1062">
        <v>139</v>
      </c>
      <c r="F1062" s="1">
        <v>45056</v>
      </c>
      <c r="G1062" t="str">
        <f>IF(COUNTIFS(Table1_3[Country],Table1_3[[#This Row],[Country]],Table1_3[Product],Table1_3[[#This Row],[Product]],Table1_3[Sales Person],Table1_3[[#This Row],[Sales Person]],Table1_3[Amount],"&lt;=100")&gt;=2,"Contract","Deal")</f>
        <v>Deal</v>
      </c>
    </row>
    <row r="1063" spans="1:7" x14ac:dyDescent="0.3">
      <c r="A1063" t="s">
        <v>58</v>
      </c>
      <c r="B1063" t="s">
        <v>32</v>
      </c>
      <c r="C1063" t="s">
        <v>38</v>
      </c>
      <c r="D1063">
        <v>2399.02</v>
      </c>
      <c r="E1063">
        <v>149</v>
      </c>
      <c r="F1063" s="1">
        <v>45422</v>
      </c>
      <c r="G1063" t="str">
        <f>IF(COUNTIFS(Table1_3[Country],Table1_3[[#This Row],[Country]],Table1_3[Product],Table1_3[[#This Row],[Product]],Table1_3[Sales Person],Table1_3[[#This Row],[Sales Person]],Table1_3[Amount],"&lt;=100")&gt;=2,"Contract","Deal")</f>
        <v>Deal</v>
      </c>
    </row>
    <row r="1064" spans="1:7" x14ac:dyDescent="0.3">
      <c r="A1064" t="s">
        <v>58</v>
      </c>
      <c r="B1064" t="s">
        <v>32</v>
      </c>
      <c r="C1064" t="s">
        <v>36</v>
      </c>
      <c r="D1064">
        <v>2044</v>
      </c>
      <c r="E1064">
        <v>90</v>
      </c>
      <c r="F1064" s="1">
        <v>44706</v>
      </c>
      <c r="G1064" t="str">
        <f>IF(COUNTIFS(Table1_3[Country],Table1_3[[#This Row],[Country]],Table1_3[Product],Table1_3[[#This Row],[Product]],Table1_3[Sales Person],Table1_3[[#This Row],[Sales Person]],Table1_3[Amount],"&lt;=100")&gt;=2,"Contract","Deal")</f>
        <v>Deal</v>
      </c>
    </row>
    <row r="1065" spans="1:7" x14ac:dyDescent="0.3">
      <c r="A1065" t="s">
        <v>58</v>
      </c>
      <c r="B1065" t="s">
        <v>32</v>
      </c>
      <c r="C1065" t="s">
        <v>36</v>
      </c>
      <c r="D1065">
        <v>2316.09</v>
      </c>
      <c r="E1065">
        <v>90</v>
      </c>
      <c r="F1065" s="1">
        <v>45071</v>
      </c>
      <c r="G1065" t="str">
        <f>IF(COUNTIFS(Table1_3[Country],Table1_3[[#This Row],[Country]],Table1_3[Product],Table1_3[[#This Row],[Product]],Table1_3[Sales Person],Table1_3[[#This Row],[Sales Person]],Table1_3[Amount],"&lt;=100")&gt;=2,"Contract","Deal")</f>
        <v>Deal</v>
      </c>
    </row>
    <row r="1066" spans="1:7" x14ac:dyDescent="0.3">
      <c r="A1066" t="s">
        <v>58</v>
      </c>
      <c r="B1066" t="s">
        <v>32</v>
      </c>
      <c r="C1066" t="s">
        <v>36</v>
      </c>
      <c r="D1066">
        <v>2447.37</v>
      </c>
      <c r="E1066">
        <v>98</v>
      </c>
      <c r="F1066" s="1">
        <v>45437</v>
      </c>
      <c r="G1066" t="str">
        <f>IF(COUNTIFS(Table1_3[Country],Table1_3[[#This Row],[Country]],Table1_3[Product],Table1_3[[#This Row],[Product]],Table1_3[Sales Person],Table1_3[[#This Row],[Sales Person]],Table1_3[Amount],"&lt;=100")&gt;=2,"Contract","Deal")</f>
        <v>Deal</v>
      </c>
    </row>
    <row r="1067" spans="1:7" x14ac:dyDescent="0.3">
      <c r="A1067" t="s">
        <v>58</v>
      </c>
      <c r="B1067" t="s">
        <v>32</v>
      </c>
      <c r="C1067" t="s">
        <v>57</v>
      </c>
      <c r="D1067">
        <v>1414</v>
      </c>
      <c r="E1067">
        <v>318</v>
      </c>
      <c r="F1067" s="1">
        <v>44685</v>
      </c>
      <c r="G1067" t="str">
        <f>IF(COUNTIFS(Table1_3[Country],Table1_3[[#This Row],[Country]],Table1_3[Product],Table1_3[[#This Row],[Product]],Table1_3[Sales Person],Table1_3[[#This Row],[Sales Person]],Table1_3[Amount],"&lt;=100")&gt;=2,"Contract","Deal")</f>
        <v>Deal</v>
      </c>
    </row>
    <row r="1068" spans="1:7" x14ac:dyDescent="0.3">
      <c r="A1068" t="s">
        <v>58</v>
      </c>
      <c r="B1068" t="s">
        <v>32</v>
      </c>
      <c r="C1068" t="s">
        <v>57</v>
      </c>
      <c r="D1068">
        <v>1630.95</v>
      </c>
      <c r="E1068">
        <v>321</v>
      </c>
      <c r="F1068" s="1">
        <v>45050</v>
      </c>
      <c r="G1068" t="str">
        <f>IF(COUNTIFS(Table1_3[Country],Table1_3[[#This Row],[Country]],Table1_3[Product],Table1_3[[#This Row],[Product]],Table1_3[Sales Person],Table1_3[[#This Row],[Sales Person]],Table1_3[Amount],"&lt;=100")&gt;=2,"Contract","Deal")</f>
        <v>Deal</v>
      </c>
    </row>
    <row r="1069" spans="1:7" x14ac:dyDescent="0.3">
      <c r="A1069" t="s">
        <v>58</v>
      </c>
      <c r="B1069" t="s">
        <v>32</v>
      </c>
      <c r="C1069" t="s">
        <v>57</v>
      </c>
      <c r="D1069">
        <v>1673.44</v>
      </c>
      <c r="E1069">
        <v>314</v>
      </c>
      <c r="F1069" s="1">
        <v>45416</v>
      </c>
      <c r="G1069" t="str">
        <f>IF(COUNTIFS(Table1_3[Country],Table1_3[[#This Row],[Country]],Table1_3[Product],Table1_3[[#This Row],[Product]],Table1_3[Sales Person],Table1_3[[#This Row],[Sales Person]],Table1_3[Amount],"&lt;=100")&gt;=2,"Contract","Deal")</f>
        <v>Deal</v>
      </c>
    </row>
    <row r="1070" spans="1:7" x14ac:dyDescent="0.3">
      <c r="A1070" t="s">
        <v>58</v>
      </c>
      <c r="B1070" t="s">
        <v>32</v>
      </c>
      <c r="C1070" t="s">
        <v>46</v>
      </c>
      <c r="D1070">
        <v>777</v>
      </c>
      <c r="E1070">
        <v>60</v>
      </c>
      <c r="F1070" s="1">
        <v>44693</v>
      </c>
      <c r="G1070" t="str">
        <f>IF(COUNTIFS(Table1_3[Country],Table1_3[[#This Row],[Country]],Table1_3[Product],Table1_3[[#This Row],[Product]],Table1_3[Sales Person],Table1_3[[#This Row],[Sales Person]],Table1_3[Amount],"&lt;=100")&gt;=2,"Contract","Deal")</f>
        <v>Deal</v>
      </c>
    </row>
    <row r="1071" spans="1:7" x14ac:dyDescent="0.3">
      <c r="A1071" t="s">
        <v>58</v>
      </c>
      <c r="B1071" t="s">
        <v>32</v>
      </c>
      <c r="C1071" t="s">
        <v>46</v>
      </c>
      <c r="D1071">
        <v>777.46</v>
      </c>
      <c r="E1071">
        <v>58</v>
      </c>
      <c r="F1071" s="1">
        <v>45058</v>
      </c>
      <c r="G1071" t="str">
        <f>IF(COUNTIFS(Table1_3[Country],Table1_3[[#This Row],[Country]],Table1_3[Product],Table1_3[[#This Row],[Product]],Table1_3[Sales Person],Table1_3[[#This Row],[Sales Person]],Table1_3[Amount],"&lt;=100")&gt;=2,"Contract","Deal")</f>
        <v>Deal</v>
      </c>
    </row>
    <row r="1072" spans="1:7" x14ac:dyDescent="0.3">
      <c r="A1072" t="s">
        <v>58</v>
      </c>
      <c r="B1072" t="s">
        <v>32</v>
      </c>
      <c r="C1072" t="s">
        <v>46</v>
      </c>
      <c r="D1072">
        <v>890.78</v>
      </c>
      <c r="E1072">
        <v>62</v>
      </c>
      <c r="F1072" s="1">
        <v>45424</v>
      </c>
      <c r="G1072" t="str">
        <f>IF(COUNTIFS(Table1_3[Country],Table1_3[[#This Row],[Country]],Table1_3[Product],Table1_3[[#This Row],[Product]],Table1_3[Sales Person],Table1_3[[#This Row],[Sales Person]],Table1_3[Amount],"&lt;=100")&gt;=2,"Contract","Deal")</f>
        <v>Deal</v>
      </c>
    </row>
    <row r="1073" spans="1:7" x14ac:dyDescent="0.3">
      <c r="A1073" t="s">
        <v>58</v>
      </c>
      <c r="B1073" t="s">
        <v>32</v>
      </c>
      <c r="C1073" t="s">
        <v>42</v>
      </c>
      <c r="D1073">
        <v>12656</v>
      </c>
      <c r="E1073">
        <v>126</v>
      </c>
      <c r="F1073" s="1">
        <v>44760</v>
      </c>
      <c r="G1073" t="str">
        <f>IF(COUNTIFS(Table1_3[Country],Table1_3[[#This Row],[Country]],Table1_3[Product],Table1_3[[#This Row],[Product]],Table1_3[Sales Person],Table1_3[[#This Row],[Sales Person]],Table1_3[Amount],"&lt;=100")&gt;=2,"Contract","Deal")</f>
        <v>Deal</v>
      </c>
    </row>
    <row r="1074" spans="1:7" x14ac:dyDescent="0.3">
      <c r="A1074" t="s">
        <v>58</v>
      </c>
      <c r="B1074" t="s">
        <v>32</v>
      </c>
      <c r="C1074" t="s">
        <v>42</v>
      </c>
      <c r="D1074">
        <v>14528.51</v>
      </c>
      <c r="E1074">
        <v>134</v>
      </c>
      <c r="F1074" s="1">
        <v>45125</v>
      </c>
      <c r="G1074" t="str">
        <f>IF(COUNTIFS(Table1_3[Country],Table1_3[[#This Row],[Country]],Table1_3[Product],Table1_3[[#This Row],[Product]],Table1_3[Sales Person],Table1_3[[#This Row],[Sales Person]],Table1_3[Amount],"&lt;=100")&gt;=2,"Contract","Deal")</f>
        <v>Deal</v>
      </c>
    </row>
    <row r="1075" spans="1:7" x14ac:dyDescent="0.3">
      <c r="A1075" t="s">
        <v>58</v>
      </c>
      <c r="B1075" t="s">
        <v>32</v>
      </c>
      <c r="C1075" t="s">
        <v>42</v>
      </c>
      <c r="D1075">
        <v>14731.55</v>
      </c>
      <c r="E1075">
        <v>132</v>
      </c>
      <c r="F1075" s="1">
        <v>45491</v>
      </c>
      <c r="G1075" t="str">
        <f>IF(COUNTIFS(Table1_3[Country],Table1_3[[#This Row],[Country]],Table1_3[Product],Table1_3[[#This Row],[Product]],Table1_3[Sales Person],Table1_3[[#This Row],[Sales Person]],Table1_3[Amount],"&lt;=100")&gt;=2,"Contract","Deal")</f>
        <v>Deal</v>
      </c>
    </row>
    <row r="1076" spans="1:7" x14ac:dyDescent="0.3">
      <c r="A1076" t="s">
        <v>58</v>
      </c>
      <c r="B1076" t="s">
        <v>32</v>
      </c>
      <c r="C1076" t="s">
        <v>73</v>
      </c>
      <c r="D1076">
        <v>6524</v>
      </c>
      <c r="E1076">
        <v>257</v>
      </c>
      <c r="F1076" s="1">
        <v>44579</v>
      </c>
      <c r="G1076" t="str">
        <f>IF(COUNTIFS(Table1_3[Country],Table1_3[[#This Row],[Country]],Table1_3[Product],Table1_3[[#This Row],[Product]],Table1_3[Sales Person],Table1_3[[#This Row],[Sales Person]],Table1_3[Amount],"&lt;=100")&gt;=2,"Contract","Deal")</f>
        <v>Deal</v>
      </c>
    </row>
    <row r="1077" spans="1:7" x14ac:dyDescent="0.3">
      <c r="A1077" t="s">
        <v>58</v>
      </c>
      <c r="B1077" t="s">
        <v>32</v>
      </c>
      <c r="C1077" t="s">
        <v>73</v>
      </c>
      <c r="D1077">
        <v>7449.7</v>
      </c>
      <c r="E1077">
        <v>264</v>
      </c>
      <c r="F1077" s="1">
        <v>44944</v>
      </c>
      <c r="G1077" t="str">
        <f>IF(COUNTIFS(Table1_3[Country],Table1_3[[#This Row],[Country]],Table1_3[Product],Table1_3[[#This Row],[Product]],Table1_3[Sales Person],Table1_3[[#This Row],[Sales Person]],Table1_3[Amount],"&lt;=100")&gt;=2,"Contract","Deal")</f>
        <v>Deal</v>
      </c>
    </row>
    <row r="1078" spans="1:7" x14ac:dyDescent="0.3">
      <c r="A1078" t="s">
        <v>58</v>
      </c>
      <c r="B1078" t="s">
        <v>32</v>
      </c>
      <c r="C1078" t="s">
        <v>73</v>
      </c>
      <c r="D1078">
        <v>7049.32</v>
      </c>
      <c r="E1078">
        <v>273</v>
      </c>
      <c r="F1078" s="1">
        <v>45309</v>
      </c>
      <c r="G1078" t="str">
        <f>IF(COUNTIFS(Table1_3[Country],Table1_3[[#This Row],[Country]],Table1_3[Product],Table1_3[[#This Row],[Product]],Table1_3[Sales Person],Table1_3[[#This Row],[Sales Person]],Table1_3[Amount],"&lt;=100")&gt;=2,"Contract","Deal")</f>
        <v>Deal</v>
      </c>
    </row>
    <row r="1079" spans="1:7" x14ac:dyDescent="0.3">
      <c r="A1079" t="s">
        <v>58</v>
      </c>
      <c r="B1079" t="s">
        <v>32</v>
      </c>
      <c r="C1079" t="s">
        <v>18</v>
      </c>
      <c r="D1079">
        <v>11781</v>
      </c>
      <c r="E1079">
        <v>91</v>
      </c>
      <c r="F1079" s="1">
        <v>44693</v>
      </c>
      <c r="G1079" t="str">
        <f>IF(COUNTIFS(Table1_3[Country],Table1_3[[#This Row],[Country]],Table1_3[Product],Table1_3[[#This Row],[Product]],Table1_3[Sales Person],Table1_3[[#This Row],[Sales Person]],Table1_3[Amount],"&lt;=100")&gt;=2,"Contract","Deal")</f>
        <v>Deal</v>
      </c>
    </row>
    <row r="1080" spans="1:7" x14ac:dyDescent="0.3">
      <c r="A1080" t="s">
        <v>58</v>
      </c>
      <c r="B1080" t="s">
        <v>32</v>
      </c>
      <c r="C1080" t="s">
        <v>18</v>
      </c>
      <c r="D1080">
        <v>11823.35</v>
      </c>
      <c r="E1080">
        <v>90</v>
      </c>
      <c r="F1080" s="1">
        <v>45058</v>
      </c>
      <c r="G1080" t="str">
        <f>IF(COUNTIFS(Table1_3[Country],Table1_3[[#This Row],[Country]],Table1_3[Product],Table1_3[[#This Row],[Product]],Table1_3[Sales Person],Table1_3[[#This Row],[Sales Person]],Table1_3[Amount],"&lt;=100")&gt;=2,"Contract","Deal")</f>
        <v>Deal</v>
      </c>
    </row>
    <row r="1081" spans="1:7" x14ac:dyDescent="0.3">
      <c r="A1081" t="s">
        <v>58</v>
      </c>
      <c r="B1081" t="s">
        <v>32</v>
      </c>
      <c r="C1081" t="s">
        <v>18</v>
      </c>
      <c r="D1081">
        <v>12755.99</v>
      </c>
      <c r="E1081">
        <v>99</v>
      </c>
      <c r="F1081" s="1">
        <v>45424</v>
      </c>
      <c r="G1081" t="str">
        <f>IF(COUNTIFS(Table1_3[Country],Table1_3[[#This Row],[Country]],Table1_3[Product],Table1_3[[#This Row],[Product]],Table1_3[Sales Person],Table1_3[[#This Row],[Sales Person]],Table1_3[Amount],"&lt;=100")&gt;=2,"Contract","Deal")</f>
        <v>Deal</v>
      </c>
    </row>
    <row r="1082" spans="1:7" x14ac:dyDescent="0.3">
      <c r="A1082" t="s">
        <v>79</v>
      </c>
      <c r="B1082" t="s">
        <v>15</v>
      </c>
      <c r="C1082" t="s">
        <v>26</v>
      </c>
      <c r="D1082">
        <v>3108</v>
      </c>
      <c r="E1082">
        <v>252</v>
      </c>
      <c r="F1082" s="1">
        <v>44693</v>
      </c>
      <c r="G1082" t="str">
        <f>IF(COUNTIFS(Table1_3[Country],Table1_3[[#This Row],[Country]],Table1_3[Product],Table1_3[[#This Row],[Product]],Table1_3[Sales Person],Table1_3[[#This Row],[Sales Person]],Table1_3[Amount],"&lt;=100")&gt;=2,"Contract","Deal")</f>
        <v>Deal</v>
      </c>
    </row>
    <row r="1083" spans="1:7" x14ac:dyDescent="0.3">
      <c r="A1083" t="s">
        <v>79</v>
      </c>
      <c r="B1083" t="s">
        <v>15</v>
      </c>
      <c r="C1083" t="s">
        <v>26</v>
      </c>
      <c r="D1083">
        <v>3359.18</v>
      </c>
      <c r="E1083">
        <v>256</v>
      </c>
      <c r="F1083" s="1">
        <v>45058</v>
      </c>
      <c r="G1083" t="str">
        <f>IF(COUNTIFS(Table1_3[Country],Table1_3[[#This Row],[Country]],Table1_3[Product],Table1_3[[#This Row],[Product]],Table1_3[Sales Person],Table1_3[[#This Row],[Sales Person]],Table1_3[Amount],"&lt;=100")&gt;=2,"Contract","Deal")</f>
        <v>Deal</v>
      </c>
    </row>
    <row r="1084" spans="1:7" x14ac:dyDescent="0.3">
      <c r="A1084" t="s">
        <v>79</v>
      </c>
      <c r="B1084" t="s">
        <v>15</v>
      </c>
      <c r="C1084" t="s">
        <v>26</v>
      </c>
      <c r="D1084">
        <v>3321.9</v>
      </c>
      <c r="E1084">
        <v>247</v>
      </c>
      <c r="F1084" s="1">
        <v>45424</v>
      </c>
      <c r="G1084" t="str">
        <f>IF(COUNTIFS(Table1_3[Country],Table1_3[[#This Row],[Country]],Table1_3[Product],Table1_3[[#This Row],[Product]],Table1_3[Sales Person],Table1_3[[#This Row],[Sales Person]],Table1_3[Amount],"&lt;=100")&gt;=2,"Contract","Deal")</f>
        <v>Deal</v>
      </c>
    </row>
    <row r="1085" spans="1:7" x14ac:dyDescent="0.3">
      <c r="A1085" t="s">
        <v>79</v>
      </c>
      <c r="B1085" t="s">
        <v>15</v>
      </c>
      <c r="C1085" t="s">
        <v>65</v>
      </c>
      <c r="D1085">
        <v>1456</v>
      </c>
      <c r="E1085">
        <v>91</v>
      </c>
      <c r="F1085" s="1">
        <v>44694</v>
      </c>
      <c r="G1085" t="str">
        <f>IF(COUNTIFS(Table1_3[Country],Table1_3[[#This Row],[Country]],Table1_3[Product],Table1_3[[#This Row],[Product]],Table1_3[Sales Person],Table1_3[[#This Row],[Sales Person]],Table1_3[Amount],"&lt;=100")&gt;=2,"Contract","Deal")</f>
        <v>Deal</v>
      </c>
    </row>
    <row r="1086" spans="1:7" x14ac:dyDescent="0.3">
      <c r="A1086" t="s">
        <v>79</v>
      </c>
      <c r="B1086" t="s">
        <v>15</v>
      </c>
      <c r="C1086" t="s">
        <v>65</v>
      </c>
      <c r="D1086">
        <v>1613.3</v>
      </c>
      <c r="E1086">
        <v>91</v>
      </c>
      <c r="F1086" s="1">
        <v>45059</v>
      </c>
      <c r="G1086" t="str">
        <f>IF(COUNTIFS(Table1_3[Country],Table1_3[[#This Row],[Country]],Table1_3[Product],Table1_3[[#This Row],[Product]],Table1_3[Sales Person],Table1_3[[#This Row],[Sales Person]],Table1_3[Amount],"&lt;=100")&gt;=2,"Contract","Deal")</f>
        <v>Deal</v>
      </c>
    </row>
    <row r="1087" spans="1:7" x14ac:dyDescent="0.3">
      <c r="A1087" t="s">
        <v>79</v>
      </c>
      <c r="B1087" t="s">
        <v>15</v>
      </c>
      <c r="C1087" t="s">
        <v>65</v>
      </c>
      <c r="D1087">
        <v>1754.11</v>
      </c>
      <c r="E1087">
        <v>95</v>
      </c>
      <c r="F1087" s="1">
        <v>45425</v>
      </c>
      <c r="G1087" t="str">
        <f>IF(COUNTIFS(Table1_3[Country],Table1_3[[#This Row],[Country]],Table1_3[Product],Table1_3[[#This Row],[Product]],Table1_3[Sales Person],Table1_3[[#This Row],[Sales Person]],Table1_3[Amount],"&lt;=100")&gt;=2,"Contract","Deal")</f>
        <v>Deal</v>
      </c>
    </row>
    <row r="1088" spans="1:7" x14ac:dyDescent="0.3">
      <c r="A1088" t="s">
        <v>79</v>
      </c>
      <c r="B1088" t="s">
        <v>15</v>
      </c>
      <c r="C1088" t="s">
        <v>87</v>
      </c>
      <c r="D1088">
        <v>3605</v>
      </c>
      <c r="E1088">
        <v>68</v>
      </c>
      <c r="F1088" s="1">
        <v>44719</v>
      </c>
      <c r="G1088" t="str">
        <f>IF(COUNTIFS(Table1_3[Country],Table1_3[[#This Row],[Country]],Table1_3[Product],Table1_3[[#This Row],[Product]],Table1_3[Sales Person],Table1_3[[#This Row],[Sales Person]],Table1_3[Amount],"&lt;=100")&gt;=2,"Contract","Deal")</f>
        <v>Deal</v>
      </c>
    </row>
    <row r="1089" spans="1:7" x14ac:dyDescent="0.3">
      <c r="A1089" t="s">
        <v>79</v>
      </c>
      <c r="B1089" t="s">
        <v>15</v>
      </c>
      <c r="C1089" t="s">
        <v>87</v>
      </c>
      <c r="D1089">
        <v>4022.64</v>
      </c>
      <c r="E1089">
        <v>71</v>
      </c>
      <c r="F1089" s="1">
        <v>45084</v>
      </c>
      <c r="G1089" t="str">
        <f>IF(COUNTIFS(Table1_3[Country],Table1_3[[#This Row],[Country]],Table1_3[Product],Table1_3[[#This Row],[Product]],Table1_3[Sales Person],Table1_3[[#This Row],[Sales Person]],Table1_3[Amount],"&lt;=100")&gt;=2,"Contract","Deal")</f>
        <v>Deal</v>
      </c>
    </row>
    <row r="1090" spans="1:7" x14ac:dyDescent="0.3">
      <c r="A1090" t="s">
        <v>79</v>
      </c>
      <c r="B1090" t="s">
        <v>15</v>
      </c>
      <c r="C1090" t="s">
        <v>87</v>
      </c>
      <c r="D1090">
        <v>3767.49</v>
      </c>
      <c r="E1090">
        <v>65</v>
      </c>
      <c r="F1090" s="1">
        <v>45450</v>
      </c>
      <c r="G1090" t="str">
        <f>IF(COUNTIFS(Table1_3[Country],Table1_3[[#This Row],[Country]],Table1_3[Product],Table1_3[[#This Row],[Product]],Table1_3[Sales Person],Table1_3[[#This Row],[Sales Person]],Table1_3[Amount],"&lt;=100")&gt;=2,"Contract","Deal")</f>
        <v>Deal</v>
      </c>
    </row>
    <row r="1091" spans="1:7" x14ac:dyDescent="0.3">
      <c r="A1091" t="s">
        <v>79</v>
      </c>
      <c r="B1091" t="s">
        <v>15</v>
      </c>
      <c r="C1091" t="s">
        <v>75</v>
      </c>
      <c r="D1091">
        <v>1645</v>
      </c>
      <c r="E1091">
        <v>284</v>
      </c>
      <c r="F1091" s="1">
        <v>44664</v>
      </c>
      <c r="G1091" t="str">
        <f>IF(COUNTIFS(Table1_3[Country],Table1_3[[#This Row],[Country]],Table1_3[Product],Table1_3[[#This Row],[Product]],Table1_3[Sales Person],Table1_3[[#This Row],[Sales Person]],Table1_3[Amount],"&lt;=100")&gt;=2,"Contract","Deal")</f>
        <v>Deal</v>
      </c>
    </row>
    <row r="1092" spans="1:7" x14ac:dyDescent="0.3">
      <c r="A1092" t="s">
        <v>79</v>
      </c>
      <c r="B1092" t="s">
        <v>15</v>
      </c>
      <c r="C1092" t="s">
        <v>75</v>
      </c>
      <c r="D1092">
        <v>1863.54</v>
      </c>
      <c r="E1092">
        <v>277</v>
      </c>
      <c r="F1092" s="1">
        <v>45029</v>
      </c>
      <c r="G1092" t="str">
        <f>IF(COUNTIFS(Table1_3[Country],Table1_3[[#This Row],[Country]],Table1_3[Product],Table1_3[[#This Row],[Product]],Table1_3[Sales Person],Table1_3[[#This Row],[Sales Person]],Table1_3[Amount],"&lt;=100")&gt;=2,"Contract","Deal")</f>
        <v>Deal</v>
      </c>
    </row>
    <row r="1093" spans="1:7" x14ac:dyDescent="0.3">
      <c r="A1093" t="s">
        <v>79</v>
      </c>
      <c r="B1093" t="s">
        <v>15</v>
      </c>
      <c r="C1093" t="s">
        <v>75</v>
      </c>
      <c r="D1093">
        <v>1751.26</v>
      </c>
      <c r="E1093">
        <v>293</v>
      </c>
      <c r="F1093" s="1">
        <v>45395</v>
      </c>
      <c r="G1093" t="str">
        <f>IF(COUNTIFS(Table1_3[Country],Table1_3[[#This Row],[Country]],Table1_3[Product],Table1_3[[#This Row],[Product]],Table1_3[Sales Person],Table1_3[[#This Row],[Sales Person]],Table1_3[Amount],"&lt;=100")&gt;=2,"Contract","Deal")</f>
        <v>Deal</v>
      </c>
    </row>
    <row r="1094" spans="1:7" x14ac:dyDescent="0.3">
      <c r="A1094" t="s">
        <v>79</v>
      </c>
      <c r="B1094" t="s">
        <v>15</v>
      </c>
      <c r="C1094" t="s">
        <v>38</v>
      </c>
      <c r="D1094">
        <v>91</v>
      </c>
      <c r="E1094">
        <v>135</v>
      </c>
      <c r="F1094" s="1">
        <v>44761</v>
      </c>
      <c r="G1094" t="str">
        <f>IF(COUNTIFS(Table1_3[Country],Table1_3[[#This Row],[Country]],Table1_3[Product],Table1_3[[#This Row],[Product]],Table1_3[Sales Person],Table1_3[[#This Row],[Sales Person]],Table1_3[Amount],"&lt;=100")&gt;=2,"Contract","Deal")</f>
        <v>Contract</v>
      </c>
    </row>
    <row r="1095" spans="1:7" x14ac:dyDescent="0.3">
      <c r="A1095" t="s">
        <v>79</v>
      </c>
      <c r="B1095" t="s">
        <v>15</v>
      </c>
      <c r="C1095" t="s">
        <v>38</v>
      </c>
      <c r="D1095">
        <v>94.19</v>
      </c>
      <c r="E1095">
        <v>145</v>
      </c>
      <c r="F1095" s="1">
        <v>45126</v>
      </c>
      <c r="G1095" t="str">
        <f>IF(COUNTIFS(Table1_3[Country],Table1_3[[#This Row],[Country]],Table1_3[Product],Table1_3[[#This Row],[Product]],Table1_3[Sales Person],Table1_3[[#This Row],[Sales Person]],Table1_3[Amount],"&lt;=100")&gt;=2,"Contract","Deal")</f>
        <v>Contract</v>
      </c>
    </row>
    <row r="1096" spans="1:7" x14ac:dyDescent="0.3">
      <c r="A1096" t="s">
        <v>79</v>
      </c>
      <c r="B1096" t="s">
        <v>15</v>
      </c>
      <c r="C1096" t="s">
        <v>38</v>
      </c>
      <c r="D1096">
        <v>105.06</v>
      </c>
      <c r="E1096">
        <v>140</v>
      </c>
      <c r="F1096" s="1">
        <v>45492</v>
      </c>
      <c r="G1096" t="str">
        <f>IF(COUNTIFS(Table1_3[Country],Table1_3[[#This Row],[Country]],Table1_3[Product],Table1_3[[#This Row],[Product]],Table1_3[Sales Person],Table1_3[[#This Row],[Sales Person]],Table1_3[Amount],"&lt;=100")&gt;=2,"Contract","Deal")</f>
        <v>Contract</v>
      </c>
    </row>
    <row r="1097" spans="1:7" x14ac:dyDescent="0.3">
      <c r="A1097" t="s">
        <v>79</v>
      </c>
      <c r="B1097" t="s">
        <v>15</v>
      </c>
      <c r="C1097" t="s">
        <v>36</v>
      </c>
      <c r="D1097">
        <v>6979</v>
      </c>
      <c r="E1097">
        <v>3</v>
      </c>
      <c r="F1097" s="1">
        <v>44587</v>
      </c>
      <c r="G1097" t="str">
        <f>IF(COUNTIFS(Table1_3[Country],Table1_3[[#This Row],[Country]],Table1_3[Product],Table1_3[[#This Row],[Product]],Table1_3[Sales Person],Table1_3[[#This Row],[Sales Person]],Table1_3[Amount],"&lt;=100")&gt;=2,"Contract","Deal")</f>
        <v>Deal</v>
      </c>
    </row>
    <row r="1098" spans="1:7" x14ac:dyDescent="0.3">
      <c r="A1098" t="s">
        <v>79</v>
      </c>
      <c r="B1098" t="s">
        <v>15</v>
      </c>
      <c r="C1098" t="s">
        <v>36</v>
      </c>
      <c r="D1098">
        <v>7770.55</v>
      </c>
      <c r="E1098">
        <v>3</v>
      </c>
      <c r="F1098" s="1">
        <v>44952</v>
      </c>
      <c r="G1098" t="str">
        <f>IF(COUNTIFS(Table1_3[Country],Table1_3[[#This Row],[Country]],Table1_3[Product],Table1_3[[#This Row],[Product]],Table1_3[Sales Person],Table1_3[[#This Row],[Sales Person]],Table1_3[Amount],"&lt;=100")&gt;=2,"Contract","Deal")</f>
        <v>Deal</v>
      </c>
    </row>
    <row r="1099" spans="1:7" x14ac:dyDescent="0.3">
      <c r="A1099" t="s">
        <v>79</v>
      </c>
      <c r="B1099" t="s">
        <v>15</v>
      </c>
      <c r="C1099" t="s">
        <v>36</v>
      </c>
      <c r="D1099">
        <v>7897.59</v>
      </c>
      <c r="E1099">
        <v>3</v>
      </c>
      <c r="F1099" s="1">
        <v>45317</v>
      </c>
      <c r="G1099" t="str">
        <f>IF(COUNTIFS(Table1_3[Country],Table1_3[[#This Row],[Country]],Table1_3[Product],Table1_3[[#This Row],[Product]],Table1_3[Sales Person],Table1_3[[#This Row],[Sales Person]],Table1_3[Amount],"&lt;=100")&gt;=2,"Contract","Deal")</f>
        <v>Deal</v>
      </c>
    </row>
    <row r="1100" spans="1:7" x14ac:dyDescent="0.3">
      <c r="A1100" t="s">
        <v>79</v>
      </c>
      <c r="B1100" t="s">
        <v>15</v>
      </c>
      <c r="C1100" t="s">
        <v>57</v>
      </c>
      <c r="D1100">
        <v>280</v>
      </c>
      <c r="E1100">
        <v>311</v>
      </c>
      <c r="F1100" s="1">
        <v>44796</v>
      </c>
      <c r="G1100" t="str">
        <f>IF(COUNTIFS(Table1_3[Country],Table1_3[[#This Row],[Country]],Table1_3[Product],Table1_3[[#This Row],[Product]],Table1_3[Sales Person],Table1_3[[#This Row],[Sales Person]],Table1_3[Amount],"&lt;=100")&gt;=2,"Contract","Deal")</f>
        <v>Deal</v>
      </c>
    </row>
    <row r="1101" spans="1:7" x14ac:dyDescent="0.3">
      <c r="A1101" t="s">
        <v>79</v>
      </c>
      <c r="B1101" t="s">
        <v>15</v>
      </c>
      <c r="C1101" t="s">
        <v>57</v>
      </c>
      <c r="D1101">
        <v>280.58999999999997</v>
      </c>
      <c r="E1101">
        <v>328</v>
      </c>
      <c r="F1101" s="1">
        <v>45161</v>
      </c>
      <c r="G1101" t="str">
        <f>IF(COUNTIFS(Table1_3[Country],Table1_3[[#This Row],[Country]],Table1_3[Product],Table1_3[[#This Row],[Product]],Table1_3[Sales Person],Table1_3[[#This Row],[Sales Person]],Table1_3[Amount],"&lt;=100")&gt;=2,"Contract","Deal")</f>
        <v>Deal</v>
      </c>
    </row>
    <row r="1102" spans="1:7" x14ac:dyDescent="0.3">
      <c r="A1102" t="s">
        <v>79</v>
      </c>
      <c r="B1102" t="s">
        <v>15</v>
      </c>
      <c r="C1102" t="s">
        <v>57</v>
      </c>
      <c r="D1102">
        <v>317.36</v>
      </c>
      <c r="E1102">
        <v>337</v>
      </c>
      <c r="F1102" s="1">
        <v>45527</v>
      </c>
      <c r="G1102" t="str">
        <f>IF(COUNTIFS(Table1_3[Country],Table1_3[[#This Row],[Country]],Table1_3[Product],Table1_3[[#This Row],[Product]],Table1_3[Sales Person],Table1_3[[#This Row],[Sales Person]],Table1_3[Amount],"&lt;=100")&gt;=2,"Contract","Deal")</f>
        <v>Deal</v>
      </c>
    </row>
    <row r="1103" spans="1:7" x14ac:dyDescent="0.3">
      <c r="A1103" t="s">
        <v>79</v>
      </c>
      <c r="B1103" t="s">
        <v>15</v>
      </c>
      <c r="C1103" t="s">
        <v>8</v>
      </c>
      <c r="D1103">
        <v>6790</v>
      </c>
      <c r="E1103">
        <v>25</v>
      </c>
      <c r="F1103" s="1">
        <v>44774</v>
      </c>
      <c r="G1103" t="str">
        <f>IF(COUNTIFS(Table1_3[Country],Table1_3[[#This Row],[Country]],Table1_3[Product],Table1_3[[#This Row],[Product]],Table1_3[Sales Person],Table1_3[[#This Row],[Sales Person]],Table1_3[Amount],"&lt;=100")&gt;=2,"Contract","Deal")</f>
        <v>Deal</v>
      </c>
    </row>
    <row r="1104" spans="1:7" x14ac:dyDescent="0.3">
      <c r="A1104" t="s">
        <v>79</v>
      </c>
      <c r="B1104" t="s">
        <v>15</v>
      </c>
      <c r="C1104" t="s">
        <v>8</v>
      </c>
      <c r="D1104">
        <v>7091.81</v>
      </c>
      <c r="E1104">
        <v>27</v>
      </c>
      <c r="F1104" s="1">
        <v>45139</v>
      </c>
      <c r="G1104" t="str">
        <f>IF(COUNTIFS(Table1_3[Country],Table1_3[[#This Row],[Country]],Table1_3[Product],Table1_3[[#This Row],[Product]],Table1_3[Sales Person],Table1_3[[#This Row],[Sales Person]],Table1_3[Amount],"&lt;=100")&gt;=2,"Contract","Deal")</f>
        <v>Deal</v>
      </c>
    </row>
    <row r="1105" spans="1:7" x14ac:dyDescent="0.3">
      <c r="A1105" t="s">
        <v>79</v>
      </c>
      <c r="B1105" t="s">
        <v>15</v>
      </c>
      <c r="C1105" t="s">
        <v>8</v>
      </c>
      <c r="D1105">
        <v>7571.51</v>
      </c>
      <c r="E1105">
        <v>26</v>
      </c>
      <c r="F1105" s="1">
        <v>45505</v>
      </c>
      <c r="G1105" t="str">
        <f>IF(COUNTIFS(Table1_3[Country],Table1_3[[#This Row],[Country]],Table1_3[Product],Table1_3[[#This Row],[Product]],Table1_3[Sales Person],Table1_3[[#This Row],[Sales Person]],Table1_3[Amount],"&lt;=100")&gt;=2,"Contract","Deal")</f>
        <v>Deal</v>
      </c>
    </row>
    <row r="1106" spans="1:7" x14ac:dyDescent="0.3">
      <c r="A1106" t="s">
        <v>79</v>
      </c>
      <c r="B1106" t="s">
        <v>15</v>
      </c>
      <c r="C1106" t="s">
        <v>50</v>
      </c>
      <c r="D1106">
        <v>8225</v>
      </c>
      <c r="E1106">
        <v>91</v>
      </c>
      <c r="F1106" s="1">
        <v>44578</v>
      </c>
      <c r="G1106" t="str">
        <f>IF(COUNTIFS(Table1_3[Country],Table1_3[[#This Row],[Country]],Table1_3[Product],Table1_3[[#This Row],[Product]],Table1_3[Sales Person],Table1_3[[#This Row],[Sales Person]],Table1_3[Amount],"&lt;=100")&gt;=2,"Contract","Deal")</f>
        <v>Deal</v>
      </c>
    </row>
    <row r="1107" spans="1:7" x14ac:dyDescent="0.3">
      <c r="A1107" t="s">
        <v>79</v>
      </c>
      <c r="B1107" t="s">
        <v>15</v>
      </c>
      <c r="C1107" t="s">
        <v>50</v>
      </c>
      <c r="D1107">
        <v>8840.59</v>
      </c>
      <c r="E1107">
        <v>92</v>
      </c>
      <c r="F1107" s="1">
        <v>44943</v>
      </c>
      <c r="G1107" t="str">
        <f>IF(COUNTIFS(Table1_3[Country],Table1_3[[#This Row],[Country]],Table1_3[Product],Table1_3[[#This Row],[Product]],Table1_3[Sales Person],Table1_3[[#This Row],[Sales Person]],Table1_3[Amount],"&lt;=100")&gt;=2,"Contract","Deal")</f>
        <v>Deal</v>
      </c>
    </row>
    <row r="1108" spans="1:7" x14ac:dyDescent="0.3">
      <c r="A1108" t="s">
        <v>79</v>
      </c>
      <c r="B1108" t="s">
        <v>15</v>
      </c>
      <c r="C1108" t="s">
        <v>50</v>
      </c>
      <c r="D1108">
        <v>9655.2999999999993</v>
      </c>
      <c r="E1108">
        <v>97</v>
      </c>
      <c r="F1108" s="1">
        <v>45308</v>
      </c>
      <c r="G1108" t="str">
        <f>IF(COUNTIFS(Table1_3[Country],Table1_3[[#This Row],[Country]],Table1_3[Product],Table1_3[[#This Row],[Product]],Table1_3[Sales Person],Table1_3[[#This Row],[Sales Person]],Table1_3[Amount],"&lt;=100")&gt;=2,"Contract","Deal")</f>
        <v>Deal</v>
      </c>
    </row>
    <row r="1109" spans="1:7" x14ac:dyDescent="0.3">
      <c r="A1109" t="s">
        <v>79</v>
      </c>
      <c r="B1109" t="s">
        <v>15</v>
      </c>
      <c r="C1109" t="s">
        <v>59</v>
      </c>
      <c r="D1109">
        <v>6055</v>
      </c>
      <c r="E1109">
        <v>93</v>
      </c>
      <c r="F1109" s="1">
        <v>44747</v>
      </c>
      <c r="G1109" t="str">
        <f>IF(COUNTIFS(Table1_3[Country],Table1_3[[#This Row],[Country]],Table1_3[Product],Table1_3[[#This Row],[Product]],Table1_3[Sales Person],Table1_3[[#This Row],[Sales Person]],Table1_3[Amount],"&lt;=100")&gt;=2,"Contract","Deal")</f>
        <v>Deal</v>
      </c>
    </row>
    <row r="1110" spans="1:7" x14ac:dyDescent="0.3">
      <c r="A1110" t="s">
        <v>79</v>
      </c>
      <c r="B1110" t="s">
        <v>15</v>
      </c>
      <c r="C1110" t="s">
        <v>59</v>
      </c>
      <c r="D1110">
        <v>6067.94</v>
      </c>
      <c r="E1110">
        <v>94</v>
      </c>
      <c r="F1110" s="1">
        <v>45112</v>
      </c>
      <c r="G1110" t="str">
        <f>IF(COUNTIFS(Table1_3[Country],Table1_3[[#This Row],[Country]],Table1_3[Product],Table1_3[[#This Row],[Product]],Table1_3[Sales Person],Table1_3[[#This Row],[Sales Person]],Table1_3[Amount],"&lt;=100")&gt;=2,"Contract","Deal")</f>
        <v>Deal</v>
      </c>
    </row>
    <row r="1111" spans="1:7" x14ac:dyDescent="0.3">
      <c r="A1111" t="s">
        <v>79</v>
      </c>
      <c r="B1111" t="s">
        <v>15</v>
      </c>
      <c r="C1111" t="s">
        <v>59</v>
      </c>
      <c r="D1111">
        <v>6969.38</v>
      </c>
      <c r="E1111">
        <v>102</v>
      </c>
      <c r="F1111" s="1">
        <v>45478</v>
      </c>
      <c r="G1111" t="str">
        <f>IF(COUNTIFS(Table1_3[Country],Table1_3[[#This Row],[Country]],Table1_3[Product],Table1_3[[#This Row],[Product]],Table1_3[Sales Person],Table1_3[[#This Row],[Sales Person]],Table1_3[Amount],"&lt;=100")&gt;=2,"Contract","Deal")</f>
        <v>Deal</v>
      </c>
    </row>
    <row r="1112" spans="1:7" x14ac:dyDescent="0.3">
      <c r="A1112" t="s">
        <v>79</v>
      </c>
      <c r="B1112" t="s">
        <v>35</v>
      </c>
      <c r="C1112" t="s">
        <v>23</v>
      </c>
      <c r="D1112">
        <v>252</v>
      </c>
      <c r="E1112">
        <v>237</v>
      </c>
      <c r="F1112" s="1">
        <v>44578</v>
      </c>
      <c r="G1112" t="str">
        <f>IF(COUNTIFS(Table1_3[Country],Table1_3[[#This Row],[Country]],Table1_3[Product],Table1_3[[#This Row],[Product]],Table1_3[Sales Person],Table1_3[[#This Row],[Sales Person]],Table1_3[Amount],"&lt;=100")&gt;=2,"Contract","Deal")</f>
        <v>Deal</v>
      </c>
    </row>
    <row r="1113" spans="1:7" x14ac:dyDescent="0.3">
      <c r="A1113" t="s">
        <v>79</v>
      </c>
      <c r="B1113" t="s">
        <v>35</v>
      </c>
      <c r="C1113" t="s">
        <v>23</v>
      </c>
      <c r="D1113">
        <v>268.3</v>
      </c>
      <c r="E1113">
        <v>239</v>
      </c>
      <c r="F1113" s="1">
        <v>44943</v>
      </c>
      <c r="G1113" t="str">
        <f>IF(COUNTIFS(Table1_3[Country],Table1_3[[#This Row],[Country]],Table1_3[Product],Table1_3[[#This Row],[Product]],Table1_3[Sales Person],Table1_3[[#This Row],[Sales Person]],Table1_3[Amount],"&lt;=100")&gt;=2,"Contract","Deal")</f>
        <v>Deal</v>
      </c>
    </row>
    <row r="1114" spans="1:7" x14ac:dyDescent="0.3">
      <c r="A1114" t="s">
        <v>79</v>
      </c>
      <c r="B1114" t="s">
        <v>35</v>
      </c>
      <c r="C1114" t="s">
        <v>23</v>
      </c>
      <c r="D1114">
        <v>302.18</v>
      </c>
      <c r="E1114">
        <v>233</v>
      </c>
      <c r="F1114" s="1">
        <v>45308</v>
      </c>
      <c r="G1114" t="str">
        <f>IF(COUNTIFS(Table1_3[Country],Table1_3[[#This Row],[Country]],Table1_3[Product],Table1_3[[#This Row],[Product]],Table1_3[Sales Person],Table1_3[[#This Row],[Sales Person]],Table1_3[Amount],"&lt;=100")&gt;=2,"Contract","Deal")</f>
        <v>Deal</v>
      </c>
    </row>
    <row r="1115" spans="1:7" x14ac:dyDescent="0.3">
      <c r="A1115" t="s">
        <v>79</v>
      </c>
      <c r="B1115" t="s">
        <v>35</v>
      </c>
      <c r="C1115" t="s">
        <v>60</v>
      </c>
      <c r="D1115">
        <v>11550</v>
      </c>
      <c r="E1115">
        <v>111</v>
      </c>
      <c r="F1115" s="1">
        <v>44673</v>
      </c>
      <c r="G1115" t="str">
        <f>IF(COUNTIFS(Table1_3[Country],Table1_3[[#This Row],[Country]],Table1_3[Product],Table1_3[[#This Row],[Product]],Table1_3[Sales Person],Table1_3[[#This Row],[Sales Person]],Table1_3[Amount],"&lt;=100")&gt;=2,"Contract","Deal")</f>
        <v>Deal</v>
      </c>
    </row>
    <row r="1116" spans="1:7" x14ac:dyDescent="0.3">
      <c r="A1116" t="s">
        <v>79</v>
      </c>
      <c r="B1116" t="s">
        <v>35</v>
      </c>
      <c r="C1116" t="s">
        <v>60</v>
      </c>
      <c r="D1116">
        <v>12048.56</v>
      </c>
      <c r="E1116">
        <v>113</v>
      </c>
      <c r="F1116" s="1">
        <v>45038</v>
      </c>
      <c r="G1116" t="str">
        <f>IF(COUNTIFS(Table1_3[Country],Table1_3[[#This Row],[Country]],Table1_3[Product],Table1_3[[#This Row],[Product]],Table1_3[Sales Person],Table1_3[[#This Row],[Sales Person]],Table1_3[Amount],"&lt;=100")&gt;=2,"Contract","Deal")</f>
        <v>Deal</v>
      </c>
    </row>
    <row r="1117" spans="1:7" x14ac:dyDescent="0.3">
      <c r="A1117" t="s">
        <v>79</v>
      </c>
      <c r="B1117" t="s">
        <v>35</v>
      </c>
      <c r="C1117" t="s">
        <v>60</v>
      </c>
      <c r="D1117">
        <v>13959.74</v>
      </c>
      <c r="E1117">
        <v>113</v>
      </c>
      <c r="F1117" s="1">
        <v>45404</v>
      </c>
      <c r="G1117" t="str">
        <f>IF(COUNTIFS(Table1_3[Country],Table1_3[[#This Row],[Country]],Table1_3[Product],Table1_3[[#This Row],[Product]],Table1_3[Sales Person],Table1_3[[#This Row],[Sales Person]],Table1_3[Amount],"&lt;=100")&gt;=2,"Contract","Deal")</f>
        <v>Deal</v>
      </c>
    </row>
    <row r="1118" spans="1:7" x14ac:dyDescent="0.3">
      <c r="A1118" t="s">
        <v>79</v>
      </c>
      <c r="B1118" t="s">
        <v>35</v>
      </c>
      <c r="C1118" t="s">
        <v>73</v>
      </c>
      <c r="D1118">
        <v>4347</v>
      </c>
      <c r="E1118">
        <v>238</v>
      </c>
      <c r="F1118" s="1">
        <v>44776</v>
      </c>
      <c r="G1118" t="str">
        <f>IF(COUNTIFS(Table1_3[Country],Table1_3[[#This Row],[Country]],Table1_3[Product],Table1_3[[#This Row],[Product]],Table1_3[Sales Person],Table1_3[[#This Row],[Sales Person]],Table1_3[Amount],"&lt;=100")&gt;=2,"Contract","Deal")</f>
        <v>Deal</v>
      </c>
    </row>
    <row r="1119" spans="1:7" x14ac:dyDescent="0.3">
      <c r="A1119" t="s">
        <v>79</v>
      </c>
      <c r="B1119" t="s">
        <v>35</v>
      </c>
      <c r="C1119" t="s">
        <v>73</v>
      </c>
      <c r="D1119">
        <v>4849.3</v>
      </c>
      <c r="E1119">
        <v>248</v>
      </c>
      <c r="F1119" s="1">
        <v>45141</v>
      </c>
      <c r="G1119" t="str">
        <f>IF(COUNTIFS(Table1_3[Country],Table1_3[[#This Row],[Country]],Table1_3[Product],Table1_3[[#This Row],[Product]],Table1_3[Sales Person],Table1_3[[#This Row],[Sales Person]],Table1_3[Amount],"&lt;=100")&gt;=2,"Contract","Deal")</f>
        <v>Deal</v>
      </c>
    </row>
    <row r="1120" spans="1:7" x14ac:dyDescent="0.3">
      <c r="A1120" t="s">
        <v>79</v>
      </c>
      <c r="B1120" t="s">
        <v>35</v>
      </c>
      <c r="C1120" t="s">
        <v>73</v>
      </c>
      <c r="D1120">
        <v>4722.3900000000003</v>
      </c>
      <c r="E1120">
        <v>258</v>
      </c>
      <c r="F1120" s="1">
        <v>45507</v>
      </c>
      <c r="G1120" t="str">
        <f>IF(COUNTIFS(Table1_3[Country],Table1_3[[#This Row],[Country]],Table1_3[Product],Table1_3[[#This Row],[Product]],Table1_3[Sales Person],Table1_3[[#This Row],[Sales Person]],Table1_3[Amount],"&lt;=100")&gt;=2,"Contract","Deal")</f>
        <v>Deal</v>
      </c>
    </row>
    <row r="1121" spans="1:7" x14ac:dyDescent="0.3">
      <c r="A1121" t="s">
        <v>79</v>
      </c>
      <c r="B1121" t="s">
        <v>10</v>
      </c>
      <c r="C1121" t="s">
        <v>36</v>
      </c>
      <c r="D1121">
        <v>2086</v>
      </c>
      <c r="E1121">
        <v>384</v>
      </c>
      <c r="F1121" s="1">
        <v>44770</v>
      </c>
      <c r="G1121" t="str">
        <f>IF(COUNTIFS(Table1_3[Country],Table1_3[[#This Row],[Country]],Table1_3[Product],Table1_3[[#This Row],[Product]],Table1_3[Sales Person],Table1_3[[#This Row],[Sales Person]],Table1_3[Amount],"&lt;=100")&gt;=2,"Contract","Deal")</f>
        <v>Deal</v>
      </c>
    </row>
    <row r="1122" spans="1:7" x14ac:dyDescent="0.3">
      <c r="A1122" t="s">
        <v>79</v>
      </c>
      <c r="B1122" t="s">
        <v>10</v>
      </c>
      <c r="C1122" t="s">
        <v>36</v>
      </c>
      <c r="D1122">
        <v>2345.9499999999998</v>
      </c>
      <c r="E1122">
        <v>406</v>
      </c>
      <c r="F1122" s="1">
        <v>45135</v>
      </c>
      <c r="G1122" t="str">
        <f>IF(COUNTIFS(Table1_3[Country],Table1_3[[#This Row],[Country]],Table1_3[Product],Table1_3[[#This Row],[Product]],Table1_3[Sales Person],Table1_3[[#This Row],[Sales Person]],Table1_3[Amount],"&lt;=100")&gt;=2,"Contract","Deal")</f>
        <v>Deal</v>
      </c>
    </row>
    <row r="1123" spans="1:7" x14ac:dyDescent="0.3">
      <c r="A1123" t="s">
        <v>79</v>
      </c>
      <c r="B1123" t="s">
        <v>10</v>
      </c>
      <c r="C1123" t="s">
        <v>36</v>
      </c>
      <c r="D1123">
        <v>2504.62</v>
      </c>
      <c r="E1123">
        <v>397</v>
      </c>
      <c r="F1123" s="1">
        <v>45501</v>
      </c>
      <c r="G1123" t="str">
        <f>IF(COUNTIFS(Table1_3[Country],Table1_3[[#This Row],[Country]],Table1_3[Product],Table1_3[[#This Row],[Product]],Table1_3[Sales Person],Table1_3[[#This Row],[Sales Person]],Table1_3[Amount],"&lt;=100")&gt;=2,"Contract","Deal")</f>
        <v>Deal</v>
      </c>
    </row>
    <row r="1124" spans="1:7" x14ac:dyDescent="0.3">
      <c r="A1124" t="s">
        <v>79</v>
      </c>
      <c r="B1124" t="s">
        <v>10</v>
      </c>
      <c r="C1124" t="s">
        <v>8</v>
      </c>
      <c r="D1124">
        <v>1260</v>
      </c>
      <c r="E1124">
        <v>239</v>
      </c>
      <c r="F1124" s="1">
        <v>44665</v>
      </c>
      <c r="G1124" t="str">
        <f>IF(COUNTIFS(Table1_3[Country],Table1_3[[#This Row],[Country]],Table1_3[Product],Table1_3[[#This Row],[Product]],Table1_3[Sales Person],Table1_3[[#This Row],[Sales Person]],Table1_3[Amount],"&lt;=100")&gt;=2,"Contract","Deal")</f>
        <v>Deal</v>
      </c>
    </row>
    <row r="1125" spans="1:7" x14ac:dyDescent="0.3">
      <c r="A1125" t="s">
        <v>79</v>
      </c>
      <c r="B1125" t="s">
        <v>10</v>
      </c>
      <c r="C1125" t="s">
        <v>8</v>
      </c>
      <c r="D1125">
        <v>1259.6099999999999</v>
      </c>
      <c r="E1125">
        <v>227</v>
      </c>
      <c r="F1125" s="1">
        <v>45030</v>
      </c>
      <c r="G1125" t="str">
        <f>IF(COUNTIFS(Table1_3[Country],Table1_3[[#This Row],[Country]],Table1_3[Product],Table1_3[[#This Row],[Product]],Table1_3[Sales Person],Table1_3[[#This Row],[Sales Person]],Table1_3[Amount],"&lt;=100")&gt;=2,"Contract","Deal")</f>
        <v>Deal</v>
      </c>
    </row>
    <row r="1126" spans="1:7" x14ac:dyDescent="0.3">
      <c r="A1126" t="s">
        <v>79</v>
      </c>
      <c r="B1126" t="s">
        <v>10</v>
      </c>
      <c r="C1126" t="s">
        <v>8</v>
      </c>
      <c r="D1126">
        <v>1375.22</v>
      </c>
      <c r="E1126">
        <v>231</v>
      </c>
      <c r="F1126" s="1">
        <v>45396</v>
      </c>
      <c r="G1126" t="str">
        <f>IF(COUNTIFS(Table1_3[Country],Table1_3[[#This Row],[Country]],Table1_3[Product],Table1_3[[#This Row],[Product]],Table1_3[Sales Person],Table1_3[[#This Row],[Sales Person]],Table1_3[Amount],"&lt;=100")&gt;=2,"Contract","Deal")</f>
        <v>Deal</v>
      </c>
    </row>
    <row r="1127" spans="1:7" x14ac:dyDescent="0.3">
      <c r="A1127" t="s">
        <v>79</v>
      </c>
      <c r="B1127" t="s">
        <v>10</v>
      </c>
      <c r="C1127" t="s">
        <v>13</v>
      </c>
      <c r="D1127">
        <v>9107</v>
      </c>
      <c r="E1127">
        <v>73</v>
      </c>
      <c r="F1127" s="1">
        <v>44608</v>
      </c>
      <c r="G1127" t="str">
        <f>IF(COUNTIFS(Table1_3[Country],Table1_3[[#This Row],[Country]],Table1_3[Product],Table1_3[[#This Row],[Product]],Table1_3[Sales Person],Table1_3[[#This Row],[Sales Person]],Table1_3[Amount],"&lt;=100")&gt;=2,"Contract","Deal")</f>
        <v>Deal</v>
      </c>
    </row>
    <row r="1128" spans="1:7" x14ac:dyDescent="0.3">
      <c r="A1128" t="s">
        <v>79</v>
      </c>
      <c r="B1128" t="s">
        <v>10</v>
      </c>
      <c r="C1128" t="s">
        <v>13</v>
      </c>
      <c r="D1128">
        <v>9805.11</v>
      </c>
      <c r="E1128">
        <v>76</v>
      </c>
      <c r="F1128" s="1">
        <v>44973</v>
      </c>
      <c r="G1128" t="str">
        <f>IF(COUNTIFS(Table1_3[Country],Table1_3[[#This Row],[Country]],Table1_3[Product],Table1_3[[#This Row],[Product]],Table1_3[Sales Person],Table1_3[[#This Row],[Sales Person]],Table1_3[Amount],"&lt;=100")&gt;=2,"Contract","Deal")</f>
        <v>Deal</v>
      </c>
    </row>
    <row r="1129" spans="1:7" x14ac:dyDescent="0.3">
      <c r="A1129" t="s">
        <v>79</v>
      </c>
      <c r="B1129" t="s">
        <v>10</v>
      </c>
      <c r="C1129" t="s">
        <v>13</v>
      </c>
      <c r="D1129">
        <v>10461.82</v>
      </c>
      <c r="E1129">
        <v>78</v>
      </c>
      <c r="F1129" s="1">
        <v>45338</v>
      </c>
      <c r="G1129" t="str">
        <f>IF(COUNTIFS(Table1_3[Country],Table1_3[[#This Row],[Country]],Table1_3[Product],Table1_3[[#This Row],[Product]],Table1_3[Sales Person],Table1_3[[#This Row],[Sales Person]],Table1_3[Amount],"&lt;=100")&gt;=2,"Contract","Deal")</f>
        <v>Deal</v>
      </c>
    </row>
    <row r="1130" spans="1:7" x14ac:dyDescent="0.3">
      <c r="A1130" t="s">
        <v>79</v>
      </c>
      <c r="B1130" t="s">
        <v>10</v>
      </c>
      <c r="C1130" t="s">
        <v>50</v>
      </c>
      <c r="D1130">
        <v>910</v>
      </c>
      <c r="E1130">
        <v>204</v>
      </c>
      <c r="F1130" s="1">
        <v>44785</v>
      </c>
      <c r="G1130" t="str">
        <f>IF(COUNTIFS(Table1_3[Country],Table1_3[[#This Row],[Country]],Table1_3[Product],Table1_3[[#This Row],[Product]],Table1_3[Sales Person],Table1_3[[#This Row],[Sales Person]],Table1_3[Amount],"&lt;=100")&gt;=2,"Contract","Deal")</f>
        <v>Deal</v>
      </c>
    </row>
    <row r="1131" spans="1:7" x14ac:dyDescent="0.3">
      <c r="A1131" t="s">
        <v>79</v>
      </c>
      <c r="B1131" t="s">
        <v>10</v>
      </c>
      <c r="C1131" t="s">
        <v>50</v>
      </c>
      <c r="D1131">
        <v>1001.99</v>
      </c>
      <c r="E1131">
        <v>217</v>
      </c>
      <c r="F1131" s="1">
        <v>45150</v>
      </c>
      <c r="G1131" t="str">
        <f>IF(COUNTIFS(Table1_3[Country],Table1_3[[#This Row],[Country]],Table1_3[Product],Table1_3[[#This Row],[Product]],Table1_3[Sales Person],Table1_3[[#This Row],[Sales Person]],Table1_3[Amount],"&lt;=100")&gt;=2,"Contract","Deal")</f>
        <v>Deal</v>
      </c>
    </row>
    <row r="1132" spans="1:7" x14ac:dyDescent="0.3">
      <c r="A1132" t="s">
        <v>79</v>
      </c>
      <c r="B1132" t="s">
        <v>10</v>
      </c>
      <c r="C1132" t="s">
        <v>50</v>
      </c>
      <c r="D1132">
        <v>1092.3599999999999</v>
      </c>
      <c r="E1132">
        <v>209</v>
      </c>
      <c r="F1132" s="1">
        <v>45516</v>
      </c>
      <c r="G1132" t="str">
        <f>IF(COUNTIFS(Table1_3[Country],Table1_3[[#This Row],[Country]],Table1_3[Product],Table1_3[[#This Row],[Product]],Table1_3[Sales Person],Table1_3[[#This Row],[Sales Person]],Table1_3[Amount],"&lt;=100")&gt;=2,"Contract","Deal")</f>
        <v>Deal</v>
      </c>
    </row>
    <row r="1133" spans="1:7" x14ac:dyDescent="0.3">
      <c r="A1133" t="s">
        <v>79</v>
      </c>
      <c r="B1133" t="s">
        <v>10</v>
      </c>
      <c r="C1133" t="s">
        <v>59</v>
      </c>
      <c r="D1133">
        <v>12327</v>
      </c>
      <c r="E1133">
        <v>330</v>
      </c>
      <c r="F1133" s="1">
        <v>44788</v>
      </c>
      <c r="G1133" t="str">
        <f>IF(COUNTIFS(Table1_3[Country],Table1_3[[#This Row],[Country]],Table1_3[Product],Table1_3[[#This Row],[Product]],Table1_3[Sales Person],Table1_3[[#This Row],[Sales Person]],Table1_3[Amount],"&lt;=100")&gt;=2,"Contract","Deal")</f>
        <v>Deal</v>
      </c>
    </row>
    <row r="1134" spans="1:7" x14ac:dyDescent="0.3">
      <c r="A1134" t="s">
        <v>79</v>
      </c>
      <c r="B1134" t="s">
        <v>10</v>
      </c>
      <c r="C1134" t="s">
        <v>59</v>
      </c>
      <c r="D1134">
        <v>12331.35</v>
      </c>
      <c r="E1134">
        <v>337</v>
      </c>
      <c r="F1134" s="1">
        <v>45153</v>
      </c>
      <c r="G1134" t="str">
        <f>IF(COUNTIFS(Table1_3[Country],Table1_3[[#This Row],[Country]],Table1_3[Product],Table1_3[[#This Row],[Product]],Table1_3[Sales Person],Table1_3[[#This Row],[Sales Person]],Table1_3[Amount],"&lt;=100")&gt;=2,"Contract","Deal")</f>
        <v>Deal</v>
      </c>
    </row>
    <row r="1135" spans="1:7" x14ac:dyDescent="0.3">
      <c r="A1135" t="s">
        <v>79</v>
      </c>
      <c r="B1135" t="s">
        <v>10</v>
      </c>
      <c r="C1135" t="s">
        <v>59</v>
      </c>
      <c r="D1135">
        <v>12998.67</v>
      </c>
      <c r="E1135">
        <v>317</v>
      </c>
      <c r="F1135" s="1">
        <v>45519</v>
      </c>
      <c r="G1135" t="str">
        <f>IF(COUNTIFS(Table1_3[Country],Table1_3[[#This Row],[Country]],Table1_3[Product],Table1_3[[#This Row],[Product]],Table1_3[Sales Person],Table1_3[[#This Row],[Sales Person]],Table1_3[Amount],"&lt;=100")&gt;=2,"Contract","Deal")</f>
        <v>Deal</v>
      </c>
    </row>
    <row r="1136" spans="1:7" x14ac:dyDescent="0.3">
      <c r="A1136" t="s">
        <v>79</v>
      </c>
      <c r="B1136" t="s">
        <v>25</v>
      </c>
      <c r="C1136" t="s">
        <v>20</v>
      </c>
      <c r="D1136">
        <v>10724</v>
      </c>
      <c r="E1136">
        <v>203</v>
      </c>
      <c r="F1136" s="1">
        <v>44690</v>
      </c>
      <c r="G1136" t="str">
        <f>IF(COUNTIFS(Table1_3[Country],Table1_3[[#This Row],[Country]],Table1_3[Product],Table1_3[[#This Row],[Product]],Table1_3[Sales Person],Table1_3[[#This Row],[Sales Person]],Table1_3[Amount],"&lt;=100")&gt;=2,"Contract","Deal")</f>
        <v>Deal</v>
      </c>
    </row>
    <row r="1137" spans="1:7" x14ac:dyDescent="0.3">
      <c r="A1137" t="s">
        <v>79</v>
      </c>
      <c r="B1137" t="s">
        <v>25</v>
      </c>
      <c r="C1137" t="s">
        <v>20</v>
      </c>
      <c r="D1137">
        <v>11749.75</v>
      </c>
      <c r="E1137">
        <v>213</v>
      </c>
      <c r="F1137" s="1">
        <v>45055</v>
      </c>
      <c r="G1137" t="str">
        <f>IF(COUNTIFS(Table1_3[Country],Table1_3[[#This Row],[Country]],Table1_3[Product],Table1_3[[#This Row],[Product]],Table1_3[Sales Person],Table1_3[[#This Row],[Sales Person]],Table1_3[Amount],"&lt;=100")&gt;=2,"Contract","Deal")</f>
        <v>Deal</v>
      </c>
    </row>
    <row r="1138" spans="1:7" x14ac:dyDescent="0.3">
      <c r="A1138" t="s">
        <v>79</v>
      </c>
      <c r="B1138" t="s">
        <v>25</v>
      </c>
      <c r="C1138" t="s">
        <v>20</v>
      </c>
      <c r="D1138">
        <v>12263.85</v>
      </c>
      <c r="E1138">
        <v>223</v>
      </c>
      <c r="F1138" s="1">
        <v>45421</v>
      </c>
      <c r="G1138" t="str">
        <f>IF(COUNTIFS(Table1_3[Country],Table1_3[[#This Row],[Country]],Table1_3[Product],Table1_3[[#This Row],[Product]],Table1_3[Sales Person],Table1_3[[#This Row],[Sales Person]],Table1_3[Amount],"&lt;=100")&gt;=2,"Contract","Deal")</f>
        <v>Deal</v>
      </c>
    </row>
    <row r="1139" spans="1:7" x14ac:dyDescent="0.3">
      <c r="A1139" t="s">
        <v>79</v>
      </c>
      <c r="B1139" t="s">
        <v>25</v>
      </c>
      <c r="C1139" t="s">
        <v>75</v>
      </c>
      <c r="D1139">
        <v>5733</v>
      </c>
      <c r="E1139">
        <v>348</v>
      </c>
      <c r="F1139" s="1">
        <v>44565</v>
      </c>
      <c r="G1139" t="str">
        <f>IF(COUNTIFS(Table1_3[Country],Table1_3[[#This Row],[Country]],Table1_3[Product],Table1_3[[#This Row],[Product]],Table1_3[Sales Person],Table1_3[[#This Row],[Sales Person]],Table1_3[Amount],"&lt;=100")&gt;=2,"Contract","Deal")</f>
        <v>Deal</v>
      </c>
    </row>
    <row r="1140" spans="1:7" x14ac:dyDescent="0.3">
      <c r="A1140" t="s">
        <v>79</v>
      </c>
      <c r="B1140" t="s">
        <v>25</v>
      </c>
      <c r="C1140" t="s">
        <v>75</v>
      </c>
      <c r="D1140">
        <v>5750.05</v>
      </c>
      <c r="E1140">
        <v>350</v>
      </c>
      <c r="F1140" s="1">
        <v>44930</v>
      </c>
      <c r="G1140" t="str">
        <f>IF(COUNTIFS(Table1_3[Country],Table1_3[[#This Row],[Country]],Table1_3[Product],Table1_3[[#This Row],[Product]],Table1_3[Sales Person],Table1_3[[#This Row],[Sales Person]],Table1_3[Amount],"&lt;=100")&gt;=2,"Contract","Deal")</f>
        <v>Deal</v>
      </c>
    </row>
    <row r="1141" spans="1:7" x14ac:dyDescent="0.3">
      <c r="A1141" t="s">
        <v>79</v>
      </c>
      <c r="B1141" t="s">
        <v>25</v>
      </c>
      <c r="C1141" t="s">
        <v>75</v>
      </c>
      <c r="D1141">
        <v>6524.65</v>
      </c>
      <c r="E1141">
        <v>369</v>
      </c>
      <c r="F1141" s="1">
        <v>45295</v>
      </c>
      <c r="G1141" t="str">
        <f>IF(COUNTIFS(Table1_3[Country],Table1_3[[#This Row],[Country]],Table1_3[Product],Table1_3[[#This Row],[Product]],Table1_3[Sales Person],Table1_3[[#This Row],[Sales Person]],Table1_3[Amount],"&lt;=100")&gt;=2,"Contract","Deal")</f>
        <v>Deal</v>
      </c>
    </row>
    <row r="1142" spans="1:7" x14ac:dyDescent="0.3">
      <c r="A1142" t="s">
        <v>79</v>
      </c>
      <c r="B1142" t="s">
        <v>25</v>
      </c>
      <c r="C1142" t="s">
        <v>33</v>
      </c>
      <c r="D1142">
        <v>2030</v>
      </c>
      <c r="E1142">
        <v>146</v>
      </c>
      <c r="F1142" s="1">
        <v>44777</v>
      </c>
      <c r="G1142" t="str">
        <f>IF(COUNTIFS(Table1_3[Country],Table1_3[[#This Row],[Country]],Table1_3[Product],Table1_3[[#This Row],[Product]],Table1_3[Sales Person],Table1_3[[#This Row],[Sales Person]],Table1_3[Amount],"&lt;=100")&gt;=2,"Contract","Deal")</f>
        <v>Deal</v>
      </c>
    </row>
    <row r="1143" spans="1:7" x14ac:dyDescent="0.3">
      <c r="A1143" t="s">
        <v>79</v>
      </c>
      <c r="B1143" t="s">
        <v>25</v>
      </c>
      <c r="C1143" t="s">
        <v>33</v>
      </c>
      <c r="D1143">
        <v>2283.39</v>
      </c>
      <c r="E1143">
        <v>155</v>
      </c>
      <c r="F1143" s="1">
        <v>45142</v>
      </c>
      <c r="G1143" t="str">
        <f>IF(COUNTIFS(Table1_3[Country],Table1_3[[#This Row],[Country]],Table1_3[Product],Table1_3[[#This Row],[Product]],Table1_3[Sales Person],Table1_3[[#This Row],[Sales Person]],Table1_3[Amount],"&lt;=100")&gt;=2,"Contract","Deal")</f>
        <v>Deal</v>
      </c>
    </row>
    <row r="1144" spans="1:7" x14ac:dyDescent="0.3">
      <c r="A1144" t="s">
        <v>79</v>
      </c>
      <c r="B1144" t="s">
        <v>25</v>
      </c>
      <c r="C1144" t="s">
        <v>33</v>
      </c>
      <c r="D1144">
        <v>2204.17</v>
      </c>
      <c r="E1144">
        <v>145</v>
      </c>
      <c r="F1144" s="1">
        <v>45508</v>
      </c>
      <c r="G1144" t="str">
        <f>IF(COUNTIFS(Table1_3[Country],Table1_3[[#This Row],[Country]],Table1_3[Product],Table1_3[[#This Row],[Product]],Table1_3[Sales Person],Table1_3[[#This Row],[Sales Person]],Table1_3[Amount],"&lt;=100")&gt;=2,"Contract","Deal")</f>
        <v>Deal</v>
      </c>
    </row>
    <row r="1145" spans="1:7" x14ac:dyDescent="0.3">
      <c r="A1145" t="s">
        <v>79</v>
      </c>
      <c r="B1145" t="s">
        <v>25</v>
      </c>
      <c r="C1145" t="s">
        <v>73</v>
      </c>
      <c r="D1145">
        <v>5845</v>
      </c>
      <c r="E1145">
        <v>91</v>
      </c>
      <c r="F1145" s="1">
        <v>44602</v>
      </c>
      <c r="G1145" t="str">
        <f>IF(COUNTIFS(Table1_3[Country],Table1_3[[#This Row],[Country]],Table1_3[Product],Table1_3[[#This Row],[Product]],Table1_3[Sales Person],Table1_3[[#This Row],[Sales Person]],Table1_3[Amount],"&lt;=100")&gt;=2,"Contract","Deal")</f>
        <v>Deal</v>
      </c>
    </row>
    <row r="1146" spans="1:7" x14ac:dyDescent="0.3">
      <c r="A1146" t="s">
        <v>79</v>
      </c>
      <c r="B1146" t="s">
        <v>25</v>
      </c>
      <c r="C1146" t="s">
        <v>73</v>
      </c>
      <c r="D1146">
        <v>6192.19</v>
      </c>
      <c r="E1146">
        <v>99</v>
      </c>
      <c r="F1146" s="1">
        <v>44967</v>
      </c>
      <c r="G1146" t="str">
        <f>IF(COUNTIFS(Table1_3[Country],Table1_3[[#This Row],[Country]],Table1_3[Product],Table1_3[[#This Row],[Product]],Table1_3[Sales Person],Table1_3[[#This Row],[Sales Person]],Table1_3[Amount],"&lt;=100")&gt;=2,"Contract","Deal")</f>
        <v>Deal</v>
      </c>
    </row>
    <row r="1147" spans="1:7" x14ac:dyDescent="0.3">
      <c r="A1147" t="s">
        <v>79</v>
      </c>
      <c r="B1147" t="s">
        <v>25</v>
      </c>
      <c r="C1147" t="s">
        <v>73</v>
      </c>
      <c r="D1147">
        <v>6291.74</v>
      </c>
      <c r="E1147">
        <v>88</v>
      </c>
      <c r="F1147" s="1">
        <v>45332</v>
      </c>
      <c r="G1147" t="str">
        <f>IF(COUNTIFS(Table1_3[Country],Table1_3[[#This Row],[Country]],Table1_3[Product],Table1_3[[#This Row],[Product]],Table1_3[Sales Person],Table1_3[[#This Row],[Sales Person]],Table1_3[Amount],"&lt;=100")&gt;=2,"Contract","Deal")</f>
        <v>Deal</v>
      </c>
    </row>
    <row r="1148" spans="1:7" x14ac:dyDescent="0.3">
      <c r="A1148" t="s">
        <v>79</v>
      </c>
      <c r="B1148" t="s">
        <v>25</v>
      </c>
      <c r="C1148" t="s">
        <v>59</v>
      </c>
      <c r="D1148">
        <v>7014</v>
      </c>
      <c r="E1148">
        <v>60</v>
      </c>
      <c r="F1148" s="1">
        <v>44727</v>
      </c>
      <c r="G1148" t="str">
        <f>IF(COUNTIFS(Table1_3[Country],Table1_3[[#This Row],[Country]],Table1_3[Product],Table1_3[[#This Row],[Product]],Table1_3[Sales Person],Table1_3[[#This Row],[Sales Person]],Table1_3[Amount],"&lt;=100")&gt;=2,"Contract","Deal")</f>
        <v>Deal</v>
      </c>
    </row>
    <row r="1149" spans="1:7" x14ac:dyDescent="0.3">
      <c r="A1149" t="s">
        <v>79</v>
      </c>
      <c r="B1149" t="s">
        <v>25</v>
      </c>
      <c r="C1149" t="s">
        <v>59</v>
      </c>
      <c r="D1149">
        <v>7923.1</v>
      </c>
      <c r="E1149">
        <v>62</v>
      </c>
      <c r="F1149" s="1">
        <v>45092</v>
      </c>
      <c r="G1149" t="str">
        <f>IF(COUNTIFS(Table1_3[Country],Table1_3[[#This Row],[Country]],Table1_3[Product],Table1_3[[#This Row],[Product]],Table1_3[Sales Person],Table1_3[[#This Row],[Sales Person]],Table1_3[Amount],"&lt;=100")&gt;=2,"Contract","Deal")</f>
        <v>Deal</v>
      </c>
    </row>
    <row r="1150" spans="1:7" x14ac:dyDescent="0.3">
      <c r="A1150" t="s">
        <v>79</v>
      </c>
      <c r="B1150" t="s">
        <v>25</v>
      </c>
      <c r="C1150" t="s">
        <v>59</v>
      </c>
      <c r="D1150">
        <v>8423.36</v>
      </c>
      <c r="E1150">
        <v>63</v>
      </c>
      <c r="F1150" s="1">
        <v>45458</v>
      </c>
      <c r="G1150" t="str">
        <f>IF(COUNTIFS(Table1_3[Country],Table1_3[[#This Row],[Country]],Table1_3[Product],Table1_3[[#This Row],[Product]],Table1_3[Sales Person],Table1_3[[#This Row],[Sales Person]],Table1_3[Amount],"&lt;=100")&gt;=2,"Contract","Deal")</f>
        <v>Deal</v>
      </c>
    </row>
    <row r="1151" spans="1:7" x14ac:dyDescent="0.3">
      <c r="A1151" t="s">
        <v>79</v>
      </c>
      <c r="B1151" t="s">
        <v>7</v>
      </c>
      <c r="C1151" t="s">
        <v>100</v>
      </c>
      <c r="D1151">
        <v>1267</v>
      </c>
      <c r="E1151">
        <v>216</v>
      </c>
      <c r="F1151" s="1">
        <v>44732</v>
      </c>
      <c r="G1151" t="str">
        <f>IF(COUNTIFS(Table1_3[Country],Table1_3[[#This Row],[Country]],Table1_3[Product],Table1_3[[#This Row],[Product]],Table1_3[Sales Person],Table1_3[[#This Row],[Sales Person]],Table1_3[Amount],"&lt;=100")&gt;=2,"Contract","Deal")</f>
        <v>Deal</v>
      </c>
    </row>
    <row r="1152" spans="1:7" x14ac:dyDescent="0.3">
      <c r="A1152" t="s">
        <v>79</v>
      </c>
      <c r="B1152" t="s">
        <v>7</v>
      </c>
      <c r="C1152" t="s">
        <v>100</v>
      </c>
      <c r="D1152">
        <v>1264.43</v>
      </c>
      <c r="E1152">
        <v>232</v>
      </c>
      <c r="F1152" s="1">
        <v>45097</v>
      </c>
      <c r="G1152" t="str">
        <f>IF(COUNTIFS(Table1_3[Country],Table1_3[[#This Row],[Country]],Table1_3[Product],Table1_3[[#This Row],[Product]],Table1_3[Sales Person],Table1_3[[#This Row],[Sales Person]],Table1_3[Amount],"&lt;=100")&gt;=2,"Contract","Deal")</f>
        <v>Deal</v>
      </c>
    </row>
    <row r="1153" spans="1:7" x14ac:dyDescent="0.3">
      <c r="A1153" t="s">
        <v>79</v>
      </c>
      <c r="B1153" t="s">
        <v>7</v>
      </c>
      <c r="C1153" t="s">
        <v>100</v>
      </c>
      <c r="D1153">
        <v>1515.42</v>
      </c>
      <c r="E1153">
        <v>230</v>
      </c>
      <c r="F1153" s="1">
        <v>45463</v>
      </c>
      <c r="G1153" t="str">
        <f>IF(COUNTIFS(Table1_3[Country],Table1_3[[#This Row],[Country]],Table1_3[Product],Table1_3[[#This Row],[Product]],Table1_3[Sales Person],Table1_3[[#This Row],[Sales Person]],Table1_3[Amount],"&lt;=100")&gt;=2,"Contract","Deal")</f>
        <v>Deal</v>
      </c>
    </row>
    <row r="1154" spans="1:7" x14ac:dyDescent="0.3">
      <c r="A1154" t="s">
        <v>79</v>
      </c>
      <c r="B1154" t="s">
        <v>7</v>
      </c>
      <c r="C1154" t="s">
        <v>20</v>
      </c>
      <c r="D1154">
        <v>9310</v>
      </c>
      <c r="E1154">
        <v>282</v>
      </c>
      <c r="F1154" s="1">
        <v>44564</v>
      </c>
      <c r="G1154" t="str">
        <f>IF(COUNTIFS(Table1_3[Country],Table1_3[[#This Row],[Country]],Table1_3[Product],Table1_3[[#This Row],[Product]],Table1_3[Sales Person],Table1_3[[#This Row],[Sales Person]],Table1_3[Amount],"&lt;=100")&gt;=2,"Contract","Deal")</f>
        <v>Deal</v>
      </c>
    </row>
    <row r="1155" spans="1:7" x14ac:dyDescent="0.3">
      <c r="A1155" t="s">
        <v>79</v>
      </c>
      <c r="B1155" t="s">
        <v>7</v>
      </c>
      <c r="C1155" t="s">
        <v>20</v>
      </c>
      <c r="D1155">
        <v>9865.0499999999993</v>
      </c>
      <c r="E1155">
        <v>273</v>
      </c>
      <c r="F1155" s="1">
        <v>44929</v>
      </c>
      <c r="G1155" t="str">
        <f>IF(COUNTIFS(Table1_3[Country],Table1_3[[#This Row],[Country]],Table1_3[Product],Table1_3[[#This Row],[Product]],Table1_3[Sales Person],Table1_3[[#This Row],[Sales Person]],Table1_3[Amount],"&lt;=100")&gt;=2,"Contract","Deal")</f>
        <v>Deal</v>
      </c>
    </row>
    <row r="1156" spans="1:7" x14ac:dyDescent="0.3">
      <c r="A1156" t="s">
        <v>79</v>
      </c>
      <c r="B1156" t="s">
        <v>7</v>
      </c>
      <c r="C1156" t="s">
        <v>20</v>
      </c>
      <c r="D1156">
        <v>10378.36</v>
      </c>
      <c r="E1156">
        <v>301</v>
      </c>
      <c r="F1156" s="1">
        <v>45294</v>
      </c>
      <c r="G1156" t="str">
        <f>IF(COUNTIFS(Table1_3[Country],Table1_3[[#This Row],[Country]],Table1_3[Product],Table1_3[[#This Row],[Product]],Table1_3[Sales Person],Table1_3[[#This Row],[Sales Person]],Table1_3[Amount],"&lt;=100")&gt;=2,"Contract","Deal")</f>
        <v>Deal</v>
      </c>
    </row>
    <row r="1157" spans="1:7" x14ac:dyDescent="0.3">
      <c r="A1157" t="s">
        <v>79</v>
      </c>
      <c r="B1157" t="s">
        <v>7</v>
      </c>
      <c r="C1157" t="s">
        <v>65</v>
      </c>
      <c r="D1157">
        <v>16114</v>
      </c>
      <c r="E1157">
        <v>96</v>
      </c>
      <c r="F1157" s="1">
        <v>44770</v>
      </c>
      <c r="G1157" t="str">
        <f>IF(COUNTIFS(Table1_3[Country],Table1_3[[#This Row],[Country]],Table1_3[Product],Table1_3[[#This Row],[Product]],Table1_3[Sales Person],Table1_3[[#This Row],[Sales Person]],Table1_3[Amount],"&lt;=100")&gt;=2,"Contract","Deal")</f>
        <v>Deal</v>
      </c>
    </row>
    <row r="1158" spans="1:7" x14ac:dyDescent="0.3">
      <c r="A1158" t="s">
        <v>79</v>
      </c>
      <c r="B1158" t="s">
        <v>7</v>
      </c>
      <c r="C1158" t="s">
        <v>65</v>
      </c>
      <c r="D1158">
        <v>16707.88</v>
      </c>
      <c r="E1158">
        <v>102</v>
      </c>
      <c r="F1158" s="1">
        <v>45135</v>
      </c>
      <c r="G1158" t="str">
        <f>IF(COUNTIFS(Table1_3[Country],Table1_3[[#This Row],[Country]],Table1_3[Product],Table1_3[[#This Row],[Product]],Table1_3[Sales Person],Table1_3[[#This Row],[Sales Person]],Table1_3[Amount],"&lt;=100")&gt;=2,"Contract","Deal")</f>
        <v>Deal</v>
      </c>
    </row>
    <row r="1159" spans="1:7" x14ac:dyDescent="0.3">
      <c r="A1159" t="s">
        <v>79</v>
      </c>
      <c r="B1159" t="s">
        <v>7</v>
      </c>
      <c r="C1159" t="s">
        <v>65</v>
      </c>
      <c r="D1159">
        <v>17104.04</v>
      </c>
      <c r="E1159">
        <v>103</v>
      </c>
      <c r="F1159" s="1">
        <v>45501</v>
      </c>
      <c r="G1159" t="str">
        <f>IF(COUNTIFS(Table1_3[Country],Table1_3[[#This Row],[Country]],Table1_3[Product],Table1_3[[#This Row],[Product]],Table1_3[Sales Person],Table1_3[[#This Row],[Sales Person]],Table1_3[Amount],"&lt;=100")&gt;=2,"Contract","Deal")</f>
        <v>Deal</v>
      </c>
    </row>
    <row r="1160" spans="1:7" x14ac:dyDescent="0.3">
      <c r="A1160" t="s">
        <v>79</v>
      </c>
      <c r="B1160" t="s">
        <v>7</v>
      </c>
      <c r="C1160" t="s">
        <v>90</v>
      </c>
      <c r="D1160">
        <v>5768</v>
      </c>
      <c r="E1160">
        <v>235</v>
      </c>
      <c r="F1160" s="1">
        <v>44783</v>
      </c>
      <c r="G1160" t="str">
        <f>IF(COUNTIFS(Table1_3[Country],Table1_3[[#This Row],[Country]],Table1_3[Product],Table1_3[[#This Row],[Product]],Table1_3[Sales Person],Table1_3[[#This Row],[Sales Person]],Table1_3[Amount],"&lt;=100")&gt;=2,"Contract","Deal")</f>
        <v>Deal</v>
      </c>
    </row>
    <row r="1161" spans="1:7" x14ac:dyDescent="0.3">
      <c r="A1161" t="s">
        <v>79</v>
      </c>
      <c r="B1161" t="s">
        <v>7</v>
      </c>
      <c r="C1161" t="s">
        <v>90</v>
      </c>
      <c r="D1161">
        <v>6180.45</v>
      </c>
      <c r="E1161">
        <v>230</v>
      </c>
      <c r="F1161" s="1">
        <v>45148</v>
      </c>
      <c r="G1161" t="str">
        <f>IF(COUNTIFS(Table1_3[Country],Table1_3[[#This Row],[Country]],Table1_3[Product],Table1_3[[#This Row],[Product]],Table1_3[Sales Person],Table1_3[[#This Row],[Sales Person]],Table1_3[Amount],"&lt;=100")&gt;=2,"Contract","Deal")</f>
        <v>Deal</v>
      </c>
    </row>
    <row r="1162" spans="1:7" x14ac:dyDescent="0.3">
      <c r="A1162" t="s">
        <v>79</v>
      </c>
      <c r="B1162" t="s">
        <v>7</v>
      </c>
      <c r="C1162" t="s">
        <v>90</v>
      </c>
      <c r="D1162">
        <v>6448.87</v>
      </c>
      <c r="E1162">
        <v>244</v>
      </c>
      <c r="F1162" s="1">
        <v>45514</v>
      </c>
      <c r="G1162" t="str">
        <f>IF(COUNTIFS(Table1_3[Country],Table1_3[[#This Row],[Country]],Table1_3[Product],Table1_3[[#This Row],[Product]],Table1_3[Sales Person],Table1_3[[#This Row],[Sales Person]],Table1_3[Amount],"&lt;=100")&gt;=2,"Contract","Deal")</f>
        <v>Deal</v>
      </c>
    </row>
    <row r="1163" spans="1:7" x14ac:dyDescent="0.3">
      <c r="A1163" t="s">
        <v>79</v>
      </c>
      <c r="B1163" t="s">
        <v>7</v>
      </c>
      <c r="C1163" t="s">
        <v>8</v>
      </c>
      <c r="D1163">
        <v>2443</v>
      </c>
      <c r="E1163">
        <v>216</v>
      </c>
      <c r="F1163" s="1">
        <v>44756</v>
      </c>
      <c r="G1163" t="str">
        <f>IF(COUNTIFS(Table1_3[Country],Table1_3[[#This Row],[Country]],Table1_3[Product],Table1_3[[#This Row],[Product]],Table1_3[Sales Person],Table1_3[[#This Row],[Sales Person]],Table1_3[Amount],"&lt;=100")&gt;=2,"Contract","Deal")</f>
        <v>Deal</v>
      </c>
    </row>
    <row r="1164" spans="1:7" x14ac:dyDescent="0.3">
      <c r="A1164" t="s">
        <v>79</v>
      </c>
      <c r="B1164" t="s">
        <v>7</v>
      </c>
      <c r="C1164" t="s">
        <v>8</v>
      </c>
      <c r="D1164">
        <v>2763.22</v>
      </c>
      <c r="E1164">
        <v>223</v>
      </c>
      <c r="F1164" s="1">
        <v>45121</v>
      </c>
      <c r="G1164" t="str">
        <f>IF(COUNTIFS(Table1_3[Country],Table1_3[[#This Row],[Country]],Table1_3[Product],Table1_3[[#This Row],[Product]],Table1_3[Sales Person],Table1_3[[#This Row],[Sales Person]],Table1_3[Amount],"&lt;=100")&gt;=2,"Contract","Deal")</f>
        <v>Deal</v>
      </c>
    </row>
    <row r="1165" spans="1:7" x14ac:dyDescent="0.3">
      <c r="A1165" t="s">
        <v>79</v>
      </c>
      <c r="B1165" t="s">
        <v>7</v>
      </c>
      <c r="C1165" t="s">
        <v>8</v>
      </c>
      <c r="D1165">
        <v>2837.65</v>
      </c>
      <c r="E1165">
        <v>212</v>
      </c>
      <c r="F1165" s="1">
        <v>45487</v>
      </c>
      <c r="G1165" t="str">
        <f>IF(COUNTIFS(Table1_3[Country],Table1_3[[#This Row],[Country]],Table1_3[Product],Table1_3[[#This Row],[Product]],Table1_3[Sales Person],Table1_3[[#This Row],[Sales Person]],Table1_3[Amount],"&lt;=100")&gt;=2,"Contract","Deal")</f>
        <v>Deal</v>
      </c>
    </row>
    <row r="1166" spans="1:7" x14ac:dyDescent="0.3">
      <c r="A1166" t="s">
        <v>79</v>
      </c>
      <c r="B1166" t="s">
        <v>32</v>
      </c>
      <c r="C1166" t="s">
        <v>11</v>
      </c>
      <c r="D1166">
        <v>10220</v>
      </c>
      <c r="E1166">
        <v>508</v>
      </c>
      <c r="F1166" s="1">
        <v>44676</v>
      </c>
      <c r="G1166" t="str">
        <f>IF(COUNTIFS(Table1_3[Country],Table1_3[[#This Row],[Country]],Table1_3[Product],Table1_3[[#This Row],[Product]],Table1_3[Sales Person],Table1_3[[#This Row],[Sales Person]],Table1_3[Amount],"&lt;=100")&gt;=2,"Contract","Deal")</f>
        <v>Deal</v>
      </c>
    </row>
    <row r="1167" spans="1:7" x14ac:dyDescent="0.3">
      <c r="A1167" t="s">
        <v>79</v>
      </c>
      <c r="B1167" t="s">
        <v>32</v>
      </c>
      <c r="C1167" t="s">
        <v>11</v>
      </c>
      <c r="D1167">
        <v>11644.92</v>
      </c>
      <c r="E1167">
        <v>536</v>
      </c>
      <c r="F1167" s="1">
        <v>45041</v>
      </c>
      <c r="G1167" t="str">
        <f>IF(COUNTIFS(Table1_3[Country],Table1_3[[#This Row],[Country]],Table1_3[Product],Table1_3[[#This Row],[Product]],Table1_3[Sales Person],Table1_3[[#This Row],[Sales Person]],Table1_3[Amount],"&lt;=100")&gt;=2,"Contract","Deal")</f>
        <v>Deal</v>
      </c>
    </row>
    <row r="1168" spans="1:7" x14ac:dyDescent="0.3">
      <c r="A1168" t="s">
        <v>79</v>
      </c>
      <c r="B1168" t="s">
        <v>32</v>
      </c>
      <c r="C1168" t="s">
        <v>11</v>
      </c>
      <c r="D1168">
        <v>11149.46</v>
      </c>
      <c r="E1168">
        <v>538</v>
      </c>
      <c r="F1168" s="1">
        <v>45407</v>
      </c>
      <c r="G1168" t="str">
        <f>IF(COUNTIFS(Table1_3[Country],Table1_3[[#This Row],[Country]],Table1_3[Product],Table1_3[[#This Row],[Product]],Table1_3[Sales Person],Table1_3[[#This Row],[Sales Person]],Table1_3[Amount],"&lt;=100")&gt;=2,"Contract","Deal")</f>
        <v>Deal</v>
      </c>
    </row>
    <row r="1169" spans="1:7" x14ac:dyDescent="0.3">
      <c r="A1169" t="s">
        <v>79</v>
      </c>
      <c r="B1169" t="s">
        <v>32</v>
      </c>
      <c r="C1169" t="s">
        <v>20</v>
      </c>
      <c r="D1169">
        <v>3822</v>
      </c>
      <c r="E1169">
        <v>320</v>
      </c>
      <c r="F1169" s="1">
        <v>44782</v>
      </c>
      <c r="G1169" t="str">
        <f>IF(COUNTIFS(Table1_3[Country],Table1_3[[#This Row],[Country]],Table1_3[Product],Table1_3[[#This Row],[Product]],Table1_3[Sales Person],Table1_3[[#This Row],[Sales Person]],Table1_3[Amount],"&lt;=100")&gt;=2,"Contract","Deal")</f>
        <v>Deal</v>
      </c>
    </row>
    <row r="1170" spans="1:7" x14ac:dyDescent="0.3">
      <c r="A1170" t="s">
        <v>79</v>
      </c>
      <c r="B1170" t="s">
        <v>32</v>
      </c>
      <c r="C1170" t="s">
        <v>20</v>
      </c>
      <c r="D1170">
        <v>4185</v>
      </c>
      <c r="E1170">
        <v>315</v>
      </c>
      <c r="F1170" s="1">
        <v>45147</v>
      </c>
      <c r="G1170" t="str">
        <f>IF(COUNTIFS(Table1_3[Country],Table1_3[[#This Row],[Country]],Table1_3[Product],Table1_3[[#This Row],[Product]],Table1_3[Sales Person],Table1_3[[#This Row],[Sales Person]],Table1_3[Amount],"&lt;=100")&gt;=2,"Contract","Deal")</f>
        <v>Deal</v>
      </c>
    </row>
    <row r="1171" spans="1:7" x14ac:dyDescent="0.3">
      <c r="A1171" t="s">
        <v>79</v>
      </c>
      <c r="B1171" t="s">
        <v>32</v>
      </c>
      <c r="C1171" t="s">
        <v>20</v>
      </c>
      <c r="D1171">
        <v>4134.93</v>
      </c>
      <c r="E1171">
        <v>307</v>
      </c>
      <c r="F1171" s="1">
        <v>45513</v>
      </c>
      <c r="G1171" t="str">
        <f>IF(COUNTIFS(Table1_3[Country],Table1_3[[#This Row],[Country]],Table1_3[Product],Table1_3[[#This Row],[Product]],Table1_3[Sales Person],Table1_3[[#This Row],[Sales Person]],Table1_3[Amount],"&lt;=100")&gt;=2,"Contract","Deal")</f>
        <v>Deal</v>
      </c>
    </row>
    <row r="1172" spans="1:7" x14ac:dyDescent="0.3">
      <c r="A1172" t="s">
        <v>79</v>
      </c>
      <c r="B1172" t="s">
        <v>32</v>
      </c>
      <c r="C1172" t="s">
        <v>90</v>
      </c>
      <c r="D1172">
        <v>16982</v>
      </c>
      <c r="E1172">
        <v>76</v>
      </c>
      <c r="F1172" s="1">
        <v>44666</v>
      </c>
      <c r="G1172" t="str">
        <f>IF(COUNTIFS(Table1_3[Country],Table1_3[[#This Row],[Country]],Table1_3[Product],Table1_3[[#This Row],[Product]],Table1_3[Sales Person],Table1_3[[#This Row],[Sales Person]],Table1_3[Amount],"&lt;=100")&gt;=2,"Contract","Deal")</f>
        <v>Deal</v>
      </c>
    </row>
    <row r="1173" spans="1:7" x14ac:dyDescent="0.3">
      <c r="A1173" t="s">
        <v>79</v>
      </c>
      <c r="B1173" t="s">
        <v>32</v>
      </c>
      <c r="C1173" t="s">
        <v>90</v>
      </c>
      <c r="D1173">
        <v>18687.87</v>
      </c>
      <c r="E1173">
        <v>80</v>
      </c>
      <c r="F1173" s="1">
        <v>45031</v>
      </c>
      <c r="G1173" t="str">
        <f>IF(COUNTIFS(Table1_3[Country],Table1_3[[#This Row],[Country]],Table1_3[Product],Table1_3[[#This Row],[Product]],Table1_3[Sales Person],Table1_3[[#This Row],[Sales Person]],Table1_3[Amount],"&lt;=100")&gt;=2,"Contract","Deal")</f>
        <v>Deal</v>
      </c>
    </row>
    <row r="1174" spans="1:7" x14ac:dyDescent="0.3">
      <c r="A1174" t="s">
        <v>79</v>
      </c>
      <c r="B1174" t="s">
        <v>32</v>
      </c>
      <c r="C1174" t="s">
        <v>90</v>
      </c>
      <c r="D1174">
        <v>18581.37</v>
      </c>
      <c r="E1174">
        <v>83</v>
      </c>
      <c r="F1174" s="1">
        <v>45397</v>
      </c>
      <c r="G1174" t="str">
        <f>IF(COUNTIFS(Table1_3[Country],Table1_3[[#This Row],[Country]],Table1_3[Product],Table1_3[[#This Row],[Product]],Table1_3[Sales Person],Table1_3[[#This Row],[Sales Person]],Table1_3[Amount],"&lt;=100")&gt;=2,"Contract","Deal")</f>
        <v>Deal</v>
      </c>
    </row>
    <row r="1175" spans="1:7" x14ac:dyDescent="0.3">
      <c r="A1175" t="s">
        <v>79</v>
      </c>
      <c r="B1175" t="s">
        <v>32</v>
      </c>
      <c r="C1175" t="s">
        <v>57</v>
      </c>
      <c r="D1175">
        <v>2898</v>
      </c>
      <c r="E1175">
        <v>276</v>
      </c>
      <c r="F1175" s="1">
        <v>44755</v>
      </c>
      <c r="G1175" t="str">
        <f>IF(COUNTIFS(Table1_3[Country],Table1_3[[#This Row],[Country]],Table1_3[Product],Table1_3[[#This Row],[Product]],Table1_3[Sales Person],Table1_3[[#This Row],[Sales Person]],Table1_3[Amount],"&lt;=100")&gt;=2,"Contract","Deal")</f>
        <v>Deal</v>
      </c>
    </row>
    <row r="1176" spans="1:7" x14ac:dyDescent="0.3">
      <c r="A1176" t="s">
        <v>79</v>
      </c>
      <c r="B1176" t="s">
        <v>32</v>
      </c>
      <c r="C1176" t="s">
        <v>57</v>
      </c>
      <c r="D1176">
        <v>3169.26</v>
      </c>
      <c r="E1176">
        <v>281</v>
      </c>
      <c r="F1176" s="1">
        <v>45120</v>
      </c>
      <c r="G1176" t="str">
        <f>IF(COUNTIFS(Table1_3[Country],Table1_3[[#This Row],[Country]],Table1_3[Product],Table1_3[[#This Row],[Product]],Table1_3[Sales Person],Table1_3[[#This Row],[Sales Person]],Table1_3[Amount],"&lt;=100")&gt;=2,"Contract","Deal")</f>
        <v>Deal</v>
      </c>
    </row>
    <row r="1177" spans="1:7" x14ac:dyDescent="0.3">
      <c r="A1177" t="s">
        <v>79</v>
      </c>
      <c r="B1177" t="s">
        <v>32</v>
      </c>
      <c r="C1177" t="s">
        <v>57</v>
      </c>
      <c r="D1177">
        <v>3315.64</v>
      </c>
      <c r="E1177">
        <v>268</v>
      </c>
      <c r="F1177" s="1">
        <v>45486</v>
      </c>
      <c r="G1177" t="str">
        <f>IF(COUNTIFS(Table1_3[Country],Table1_3[[#This Row],[Country]],Table1_3[Product],Table1_3[[#This Row],[Product]],Table1_3[Sales Person],Table1_3[[#This Row],[Sales Person]],Table1_3[Amount],"&lt;=100")&gt;=2,"Contract","Deal")</f>
        <v>Deal</v>
      </c>
    </row>
    <row r="1178" spans="1:7" x14ac:dyDescent="0.3">
      <c r="A1178" t="s">
        <v>79</v>
      </c>
      <c r="B1178" t="s">
        <v>32</v>
      </c>
      <c r="C1178" t="s">
        <v>60</v>
      </c>
      <c r="D1178">
        <v>273</v>
      </c>
      <c r="E1178">
        <v>210</v>
      </c>
      <c r="F1178" s="1">
        <v>44783</v>
      </c>
      <c r="G1178" t="str">
        <f>IF(COUNTIFS(Table1_3[Country],Table1_3[[#This Row],[Country]],Table1_3[Product],Table1_3[[#This Row],[Product]],Table1_3[Sales Person],Table1_3[[#This Row],[Sales Person]],Table1_3[Amount],"&lt;=100")&gt;=2,"Contract","Deal")</f>
        <v>Deal</v>
      </c>
    </row>
    <row r="1179" spans="1:7" x14ac:dyDescent="0.3">
      <c r="A1179" t="s">
        <v>79</v>
      </c>
      <c r="B1179" t="s">
        <v>32</v>
      </c>
      <c r="C1179" t="s">
        <v>60</v>
      </c>
      <c r="D1179">
        <v>299.70999999999998</v>
      </c>
      <c r="E1179">
        <v>207</v>
      </c>
      <c r="F1179" s="1">
        <v>45148</v>
      </c>
      <c r="G1179" t="str">
        <f>IF(COUNTIFS(Table1_3[Country],Table1_3[[#This Row],[Country]],Table1_3[Product],Table1_3[[#This Row],[Product]],Table1_3[Sales Person],Table1_3[[#This Row],[Sales Person]],Table1_3[Amount],"&lt;=100")&gt;=2,"Contract","Deal")</f>
        <v>Deal</v>
      </c>
    </row>
    <row r="1180" spans="1:7" x14ac:dyDescent="0.3">
      <c r="A1180" t="s">
        <v>79</v>
      </c>
      <c r="B1180" t="s">
        <v>32</v>
      </c>
      <c r="C1180" t="s">
        <v>60</v>
      </c>
      <c r="D1180">
        <v>320.11</v>
      </c>
      <c r="E1180">
        <v>201</v>
      </c>
      <c r="F1180" s="1">
        <v>45514</v>
      </c>
      <c r="G1180" t="str">
        <f>IF(COUNTIFS(Table1_3[Country],Table1_3[[#This Row],[Country]],Table1_3[Product],Table1_3[[#This Row],[Product]],Table1_3[Sales Person],Table1_3[[#This Row],[Sales Person]],Table1_3[Amount],"&lt;=100")&gt;=2,"Contract","Deal")</f>
        <v>Deal</v>
      </c>
    </row>
    <row r="1181" spans="1:7" x14ac:dyDescent="0.3">
      <c r="A1181" t="s">
        <v>79</v>
      </c>
      <c r="B1181" t="s">
        <v>32</v>
      </c>
      <c r="C1181" t="s">
        <v>8</v>
      </c>
      <c r="D1181">
        <v>5292</v>
      </c>
      <c r="E1181">
        <v>248</v>
      </c>
      <c r="F1181" s="1">
        <v>44613</v>
      </c>
      <c r="G1181" t="str">
        <f>IF(COUNTIFS(Table1_3[Country],Table1_3[[#This Row],[Country]],Table1_3[Product],Table1_3[[#This Row],[Product]],Table1_3[Sales Person],Table1_3[[#This Row],[Sales Person]],Table1_3[Amount],"&lt;=100")&gt;=2,"Contract","Deal")</f>
        <v>Deal</v>
      </c>
    </row>
    <row r="1182" spans="1:7" x14ac:dyDescent="0.3">
      <c r="A1182" t="s">
        <v>79</v>
      </c>
      <c r="B1182" t="s">
        <v>32</v>
      </c>
      <c r="C1182" t="s">
        <v>8</v>
      </c>
      <c r="D1182">
        <v>6101.12</v>
      </c>
      <c r="E1182">
        <v>261</v>
      </c>
      <c r="F1182" s="1">
        <v>44978</v>
      </c>
      <c r="G1182" t="str">
        <f>IF(COUNTIFS(Table1_3[Country],Table1_3[[#This Row],[Country]],Table1_3[Product],Table1_3[[#This Row],[Product]],Table1_3[Sales Person],Table1_3[[#This Row],[Sales Person]],Table1_3[Amount],"&lt;=100")&gt;=2,"Contract","Deal")</f>
        <v>Deal</v>
      </c>
    </row>
    <row r="1183" spans="1:7" x14ac:dyDescent="0.3">
      <c r="A1183" t="s">
        <v>79</v>
      </c>
      <c r="B1183" t="s">
        <v>32</v>
      </c>
      <c r="C1183" t="s">
        <v>8</v>
      </c>
      <c r="D1183">
        <v>5552.79</v>
      </c>
      <c r="E1183">
        <v>272</v>
      </c>
      <c r="F1183" s="1">
        <v>45343</v>
      </c>
      <c r="G1183" t="str">
        <f>IF(COUNTIFS(Table1_3[Country],Table1_3[[#This Row],[Country]],Table1_3[Product],Table1_3[[#This Row],[Product]],Table1_3[Sales Person],Table1_3[[#This Row],[Sales Person]],Table1_3[Amount],"&lt;=100")&gt;=2,"Contract","Deal")</f>
        <v>Deal</v>
      </c>
    </row>
    <row r="1184" spans="1:7" x14ac:dyDescent="0.3">
      <c r="A1184" t="s">
        <v>79</v>
      </c>
      <c r="B1184" t="s">
        <v>32</v>
      </c>
      <c r="C1184" t="s">
        <v>33</v>
      </c>
      <c r="D1184">
        <v>1379</v>
      </c>
      <c r="E1184">
        <v>107</v>
      </c>
      <c r="F1184" s="1">
        <v>44615</v>
      </c>
      <c r="G1184" t="str">
        <f>IF(COUNTIFS(Table1_3[Country],Table1_3[[#This Row],[Country]],Table1_3[Product],Table1_3[[#This Row],[Product]],Table1_3[Sales Person],Table1_3[[#This Row],[Sales Person]],Table1_3[Amount],"&lt;=100")&gt;=2,"Contract","Deal")</f>
        <v>Deal</v>
      </c>
    </row>
    <row r="1185" spans="1:7" x14ac:dyDescent="0.3">
      <c r="A1185" t="s">
        <v>79</v>
      </c>
      <c r="B1185" t="s">
        <v>32</v>
      </c>
      <c r="C1185" t="s">
        <v>33</v>
      </c>
      <c r="D1185">
        <v>1414.84</v>
      </c>
      <c r="E1185">
        <v>112</v>
      </c>
      <c r="F1185" s="1">
        <v>44980</v>
      </c>
      <c r="G1185" t="str">
        <f>IF(COUNTIFS(Table1_3[Country],Table1_3[[#This Row],[Country]],Table1_3[Product],Table1_3[[#This Row],[Product]],Table1_3[Sales Person],Table1_3[[#This Row],[Sales Person]],Table1_3[Amount],"&lt;=100")&gt;=2,"Contract","Deal")</f>
        <v>Deal</v>
      </c>
    </row>
    <row r="1186" spans="1:7" x14ac:dyDescent="0.3">
      <c r="A1186" t="s">
        <v>79</v>
      </c>
      <c r="B1186" t="s">
        <v>32</v>
      </c>
      <c r="C1186" t="s">
        <v>33</v>
      </c>
      <c r="D1186">
        <v>1452.94</v>
      </c>
      <c r="E1186">
        <v>112</v>
      </c>
      <c r="F1186" s="1">
        <v>45345</v>
      </c>
      <c r="G1186" t="str">
        <f>IF(COUNTIFS(Table1_3[Country],Table1_3[[#This Row],[Country]],Table1_3[Product],Table1_3[[#This Row],[Product]],Table1_3[Sales Person],Table1_3[[#This Row],[Sales Person]],Table1_3[Amount],"&lt;=100")&gt;=2,"Contract","Deal")</f>
        <v>Deal</v>
      </c>
    </row>
    <row r="1187" spans="1:7" x14ac:dyDescent="0.3">
      <c r="A1187" t="s">
        <v>79</v>
      </c>
      <c r="B1187" t="s">
        <v>32</v>
      </c>
      <c r="C1187" t="s">
        <v>73</v>
      </c>
      <c r="D1187">
        <v>3437</v>
      </c>
      <c r="E1187">
        <v>46</v>
      </c>
      <c r="F1187" s="1">
        <v>44564</v>
      </c>
      <c r="G1187" t="str">
        <f>IF(COUNTIFS(Table1_3[Country],Table1_3[[#This Row],[Country]],Table1_3[Product],Table1_3[[#This Row],[Product]],Table1_3[Sales Person],Table1_3[[#This Row],[Sales Person]],Table1_3[Amount],"&lt;=100")&gt;=2,"Contract","Deal")</f>
        <v>Deal</v>
      </c>
    </row>
    <row r="1188" spans="1:7" x14ac:dyDescent="0.3">
      <c r="A1188" t="s">
        <v>79</v>
      </c>
      <c r="B1188" t="s">
        <v>32</v>
      </c>
      <c r="C1188" t="s">
        <v>73</v>
      </c>
      <c r="D1188">
        <v>3590.55</v>
      </c>
      <c r="E1188">
        <v>47</v>
      </c>
      <c r="F1188" s="1">
        <v>44929</v>
      </c>
      <c r="G1188" t="str">
        <f>IF(COUNTIFS(Table1_3[Country],Table1_3[[#This Row],[Country]],Table1_3[Product],Table1_3[[#This Row],[Product]],Table1_3[Sales Person],Table1_3[[#This Row],[Sales Person]],Table1_3[Amount],"&lt;=100")&gt;=2,"Contract","Deal")</f>
        <v>Deal</v>
      </c>
    </row>
    <row r="1189" spans="1:7" x14ac:dyDescent="0.3">
      <c r="A1189" t="s">
        <v>79</v>
      </c>
      <c r="B1189" t="s">
        <v>32</v>
      </c>
      <c r="C1189" t="s">
        <v>73</v>
      </c>
      <c r="D1189">
        <v>3762.58</v>
      </c>
      <c r="E1189">
        <v>49</v>
      </c>
      <c r="F1189" s="1">
        <v>45294</v>
      </c>
      <c r="G1189" t="str">
        <f>IF(COUNTIFS(Table1_3[Country],Table1_3[[#This Row],[Country]],Table1_3[Product],Table1_3[[#This Row],[Product]],Table1_3[Sales Person],Table1_3[[#This Row],[Sales Person]],Table1_3[Amount],"&lt;=100")&gt;=2,"Contract","Deal")</f>
        <v>Deal</v>
      </c>
    </row>
    <row r="1190" spans="1:7" x14ac:dyDescent="0.3">
      <c r="A1190" t="s">
        <v>12</v>
      </c>
      <c r="B1190" t="s">
        <v>15</v>
      </c>
      <c r="C1190" t="s">
        <v>100</v>
      </c>
      <c r="D1190">
        <v>1372</v>
      </c>
      <c r="E1190">
        <v>105</v>
      </c>
      <c r="F1190" s="1">
        <v>44791</v>
      </c>
      <c r="G1190" t="str">
        <f>IF(COUNTIFS(Table1_3[Country],Table1_3[[#This Row],[Country]],Table1_3[Product],Table1_3[[#This Row],[Product]],Table1_3[Sales Person],Table1_3[[#This Row],[Sales Person]],Table1_3[Amount],"&lt;=100")&gt;=2,"Contract","Deal")</f>
        <v>Deal</v>
      </c>
    </row>
    <row r="1191" spans="1:7" x14ac:dyDescent="0.3">
      <c r="A1191" t="s">
        <v>12</v>
      </c>
      <c r="B1191" t="s">
        <v>15</v>
      </c>
      <c r="C1191" t="s">
        <v>100</v>
      </c>
      <c r="D1191">
        <v>1548.54</v>
      </c>
      <c r="E1191">
        <v>104</v>
      </c>
      <c r="F1191" s="1">
        <v>45156</v>
      </c>
      <c r="G1191" t="str">
        <f>IF(COUNTIFS(Table1_3[Country],Table1_3[[#This Row],[Country]],Table1_3[Product],Table1_3[[#This Row],[Product]],Table1_3[Sales Person],Table1_3[[#This Row],[Sales Person]],Table1_3[Amount],"&lt;=100")&gt;=2,"Contract","Deal")</f>
        <v>Deal</v>
      </c>
    </row>
    <row r="1192" spans="1:7" x14ac:dyDescent="0.3">
      <c r="A1192" t="s">
        <v>12</v>
      </c>
      <c r="B1192" t="s">
        <v>15</v>
      </c>
      <c r="C1192" t="s">
        <v>100</v>
      </c>
      <c r="D1192">
        <v>1624.86</v>
      </c>
      <c r="E1192">
        <v>103</v>
      </c>
      <c r="F1192" s="1">
        <v>45522</v>
      </c>
      <c r="G1192" t="str">
        <f>IF(COUNTIFS(Table1_3[Country],Table1_3[[#This Row],[Country]],Table1_3[Product],Table1_3[[#This Row],[Product]],Table1_3[Sales Person],Table1_3[[#This Row],[Sales Person]],Table1_3[Amount],"&lt;=100")&gt;=2,"Contract","Deal")</f>
        <v>Deal</v>
      </c>
    </row>
    <row r="1193" spans="1:7" x14ac:dyDescent="0.3">
      <c r="A1193" t="s">
        <v>12</v>
      </c>
      <c r="B1193" t="s">
        <v>15</v>
      </c>
      <c r="C1193" t="s">
        <v>65</v>
      </c>
      <c r="D1193">
        <v>910</v>
      </c>
      <c r="E1193">
        <v>117</v>
      </c>
      <c r="F1193" s="1">
        <v>44790</v>
      </c>
      <c r="G1193" t="str">
        <f>IF(COUNTIFS(Table1_3[Country],Table1_3[[#This Row],[Country]],Table1_3[Product],Table1_3[[#This Row],[Product]],Table1_3[Sales Person],Table1_3[[#This Row],[Sales Person]],Table1_3[Amount],"&lt;=100")&gt;=2,"Contract","Deal")</f>
        <v>Deal</v>
      </c>
    </row>
    <row r="1194" spans="1:7" x14ac:dyDescent="0.3">
      <c r="A1194" t="s">
        <v>12</v>
      </c>
      <c r="B1194" t="s">
        <v>15</v>
      </c>
      <c r="C1194" t="s">
        <v>65</v>
      </c>
      <c r="D1194">
        <v>1010.37</v>
      </c>
      <c r="E1194">
        <v>127</v>
      </c>
      <c r="F1194" s="1">
        <v>45155</v>
      </c>
      <c r="G1194" t="str">
        <f>IF(COUNTIFS(Table1_3[Country],Table1_3[[#This Row],[Country]],Table1_3[Product],Table1_3[[#This Row],[Product]],Table1_3[Sales Person],Table1_3[[#This Row],[Sales Person]],Table1_3[Amount],"&lt;=100")&gt;=2,"Contract","Deal")</f>
        <v>Deal</v>
      </c>
    </row>
    <row r="1195" spans="1:7" x14ac:dyDescent="0.3">
      <c r="A1195" t="s">
        <v>12</v>
      </c>
      <c r="B1195" t="s">
        <v>15</v>
      </c>
      <c r="C1195" t="s">
        <v>65</v>
      </c>
      <c r="D1195">
        <v>1084.26</v>
      </c>
      <c r="E1195">
        <v>120</v>
      </c>
      <c r="F1195" s="1">
        <v>45521</v>
      </c>
      <c r="G1195" t="str">
        <f>IF(COUNTIFS(Table1_3[Country],Table1_3[[#This Row],[Country]],Table1_3[Product],Table1_3[[#This Row],[Product]],Table1_3[Sales Person],Table1_3[[#This Row],[Sales Person]],Table1_3[Amount],"&lt;=100")&gt;=2,"Contract","Deal")</f>
        <v>Deal</v>
      </c>
    </row>
    <row r="1196" spans="1:7" x14ac:dyDescent="0.3">
      <c r="A1196" t="s">
        <v>12</v>
      </c>
      <c r="B1196" t="s">
        <v>15</v>
      </c>
      <c r="C1196" t="s">
        <v>90</v>
      </c>
      <c r="D1196">
        <v>8001</v>
      </c>
      <c r="E1196">
        <v>151</v>
      </c>
      <c r="F1196" s="1">
        <v>44750</v>
      </c>
      <c r="G1196" t="str">
        <f>IF(COUNTIFS(Table1_3[Country],Table1_3[[#This Row],[Country]],Table1_3[Product],Table1_3[[#This Row],[Product]],Table1_3[Sales Person],Table1_3[[#This Row],[Sales Person]],Table1_3[Amount],"&lt;=100")&gt;=2,"Contract","Deal")</f>
        <v>Deal</v>
      </c>
    </row>
    <row r="1197" spans="1:7" x14ac:dyDescent="0.3">
      <c r="A1197" t="s">
        <v>12</v>
      </c>
      <c r="B1197" t="s">
        <v>15</v>
      </c>
      <c r="C1197" t="s">
        <v>90</v>
      </c>
      <c r="D1197">
        <v>8724.4</v>
      </c>
      <c r="E1197">
        <v>147</v>
      </c>
      <c r="F1197" s="1">
        <v>45115</v>
      </c>
      <c r="G1197" t="str">
        <f>IF(COUNTIFS(Table1_3[Country],Table1_3[[#This Row],[Country]],Table1_3[Product],Table1_3[[#This Row],[Product]],Table1_3[Sales Person],Table1_3[[#This Row],[Sales Person]],Table1_3[Amount],"&lt;=100")&gt;=2,"Contract","Deal")</f>
        <v>Deal</v>
      </c>
    </row>
    <row r="1198" spans="1:7" x14ac:dyDescent="0.3">
      <c r="A1198" t="s">
        <v>12</v>
      </c>
      <c r="B1198" t="s">
        <v>15</v>
      </c>
      <c r="C1198" t="s">
        <v>90</v>
      </c>
      <c r="D1198">
        <v>9117.77</v>
      </c>
      <c r="E1198">
        <v>154</v>
      </c>
      <c r="F1198" s="1">
        <v>45481</v>
      </c>
      <c r="G1198" t="str">
        <f>IF(COUNTIFS(Table1_3[Country],Table1_3[[#This Row],[Country]],Table1_3[Product],Table1_3[[#This Row],[Product]],Table1_3[Sales Person],Table1_3[[#This Row],[Sales Person]],Table1_3[Amount],"&lt;=100")&gt;=2,"Contract","Deal")</f>
        <v>Deal</v>
      </c>
    </row>
    <row r="1199" spans="1:7" x14ac:dyDescent="0.3">
      <c r="A1199" t="s">
        <v>12</v>
      </c>
      <c r="B1199" t="s">
        <v>15</v>
      </c>
      <c r="C1199" t="s">
        <v>38</v>
      </c>
      <c r="D1199">
        <v>2807</v>
      </c>
      <c r="E1199">
        <v>139</v>
      </c>
      <c r="F1199" s="1">
        <v>44769</v>
      </c>
      <c r="G1199" t="str">
        <f>IF(COUNTIFS(Table1_3[Country],Table1_3[[#This Row],[Country]],Table1_3[Product],Table1_3[[#This Row],[Product]],Table1_3[Sales Person],Table1_3[[#This Row],[Sales Person]],Table1_3[Amount],"&lt;=100")&gt;=2,"Contract","Deal")</f>
        <v>Deal</v>
      </c>
    </row>
    <row r="1200" spans="1:7" x14ac:dyDescent="0.3">
      <c r="A1200" t="s">
        <v>12</v>
      </c>
      <c r="B1200" t="s">
        <v>15</v>
      </c>
      <c r="C1200" t="s">
        <v>38</v>
      </c>
      <c r="D1200">
        <v>2949.02</v>
      </c>
      <c r="E1200">
        <v>153</v>
      </c>
      <c r="F1200" s="1">
        <v>45134</v>
      </c>
      <c r="G1200" t="str">
        <f>IF(COUNTIFS(Table1_3[Country],Table1_3[[#This Row],[Country]],Table1_3[Product],Table1_3[[#This Row],[Product]],Table1_3[Sales Person],Table1_3[[#This Row],[Sales Person]],Table1_3[Amount],"&lt;=100")&gt;=2,"Contract","Deal")</f>
        <v>Deal</v>
      </c>
    </row>
    <row r="1201" spans="1:7" x14ac:dyDescent="0.3">
      <c r="A1201" t="s">
        <v>12</v>
      </c>
      <c r="B1201" t="s">
        <v>15</v>
      </c>
      <c r="C1201" t="s">
        <v>38</v>
      </c>
      <c r="D1201">
        <v>2960</v>
      </c>
      <c r="E1201">
        <v>141</v>
      </c>
      <c r="F1201" s="1">
        <v>45500</v>
      </c>
      <c r="G1201" t="str">
        <f>IF(COUNTIFS(Table1_3[Country],Table1_3[[#This Row],[Country]],Table1_3[Product],Table1_3[[#This Row],[Product]],Table1_3[Sales Person],Table1_3[[#This Row],[Sales Person]],Table1_3[Amount],"&lt;=100")&gt;=2,"Contract","Deal")</f>
        <v>Deal</v>
      </c>
    </row>
    <row r="1202" spans="1:7" x14ac:dyDescent="0.3">
      <c r="A1202" t="s">
        <v>12</v>
      </c>
      <c r="B1202" t="s">
        <v>15</v>
      </c>
      <c r="C1202" t="s">
        <v>36</v>
      </c>
      <c r="D1202">
        <v>7252</v>
      </c>
      <c r="E1202">
        <v>136</v>
      </c>
      <c r="F1202" s="1">
        <v>44663</v>
      </c>
      <c r="G1202" t="str">
        <f>IF(COUNTIFS(Table1_3[Country],Table1_3[[#This Row],[Country]],Table1_3[Product],Table1_3[[#This Row],[Product]],Table1_3[Sales Person],Table1_3[[#This Row],[Sales Person]],Table1_3[Amount],"&lt;=100")&gt;=2,"Contract","Deal")</f>
        <v>Deal</v>
      </c>
    </row>
    <row r="1203" spans="1:7" x14ac:dyDescent="0.3">
      <c r="A1203" t="s">
        <v>12</v>
      </c>
      <c r="B1203" t="s">
        <v>15</v>
      </c>
      <c r="C1203" t="s">
        <v>36</v>
      </c>
      <c r="D1203">
        <v>7628.59</v>
      </c>
      <c r="E1203">
        <v>146</v>
      </c>
      <c r="F1203" s="1">
        <v>45028</v>
      </c>
      <c r="G1203" t="str">
        <f>IF(COUNTIFS(Table1_3[Country],Table1_3[[#This Row],[Country]],Table1_3[Product],Table1_3[[#This Row],[Product]],Table1_3[Sales Person],Table1_3[[#This Row],[Sales Person]],Table1_3[Amount],"&lt;=100")&gt;=2,"Contract","Deal")</f>
        <v>Deal</v>
      </c>
    </row>
    <row r="1204" spans="1:7" x14ac:dyDescent="0.3">
      <c r="A1204" t="s">
        <v>12</v>
      </c>
      <c r="B1204" t="s">
        <v>15</v>
      </c>
      <c r="C1204" t="s">
        <v>36</v>
      </c>
      <c r="D1204">
        <v>8170.88</v>
      </c>
      <c r="E1204">
        <v>137</v>
      </c>
      <c r="F1204" s="1">
        <v>45394</v>
      </c>
      <c r="G1204" t="str">
        <f>IF(COUNTIFS(Table1_3[Country],Table1_3[[#This Row],[Country]],Table1_3[Product],Table1_3[[#This Row],[Product]],Table1_3[Sales Person],Table1_3[[#This Row],[Sales Person]],Table1_3[Amount],"&lt;=100")&gt;=2,"Contract","Deal")</f>
        <v>Deal</v>
      </c>
    </row>
    <row r="1205" spans="1:7" x14ac:dyDescent="0.3">
      <c r="A1205" t="s">
        <v>12</v>
      </c>
      <c r="B1205" t="s">
        <v>15</v>
      </c>
      <c r="C1205" t="s">
        <v>33</v>
      </c>
      <c r="D1205">
        <v>574</v>
      </c>
      <c r="E1205">
        <v>156</v>
      </c>
      <c r="F1205" s="1">
        <v>44629</v>
      </c>
      <c r="G1205" t="str">
        <f>IF(COUNTIFS(Table1_3[Country],Table1_3[[#This Row],[Country]],Table1_3[Product],Table1_3[[#This Row],[Product]],Table1_3[Sales Person],Table1_3[[#This Row],[Sales Person]],Table1_3[Amount],"&lt;=100")&gt;=2,"Contract","Deal")</f>
        <v>Deal</v>
      </c>
    </row>
    <row r="1206" spans="1:7" x14ac:dyDescent="0.3">
      <c r="A1206" t="s">
        <v>12</v>
      </c>
      <c r="B1206" t="s">
        <v>15</v>
      </c>
      <c r="C1206" t="s">
        <v>33</v>
      </c>
      <c r="D1206">
        <v>596.63</v>
      </c>
      <c r="E1206">
        <v>158</v>
      </c>
      <c r="F1206" s="1">
        <v>44994</v>
      </c>
      <c r="G1206" t="str">
        <f>IF(COUNTIFS(Table1_3[Country],Table1_3[[#This Row],[Country]],Table1_3[Product],Table1_3[[#This Row],[Product]],Table1_3[Sales Person],Table1_3[[#This Row],[Sales Person]],Table1_3[Amount],"&lt;=100")&gt;=2,"Contract","Deal")</f>
        <v>Deal</v>
      </c>
    </row>
    <row r="1207" spans="1:7" x14ac:dyDescent="0.3">
      <c r="A1207" t="s">
        <v>12</v>
      </c>
      <c r="B1207" t="s">
        <v>15</v>
      </c>
      <c r="C1207" t="s">
        <v>33</v>
      </c>
      <c r="D1207">
        <v>676.29</v>
      </c>
      <c r="E1207">
        <v>158</v>
      </c>
      <c r="F1207" s="1">
        <v>45360</v>
      </c>
      <c r="G1207" t="str">
        <f>IF(COUNTIFS(Table1_3[Country],Table1_3[[#This Row],[Country]],Table1_3[Product],Table1_3[[#This Row],[Product]],Table1_3[Sales Person],Table1_3[[#This Row],[Sales Person]],Table1_3[Amount],"&lt;=100")&gt;=2,"Contract","Deal")</f>
        <v>Deal</v>
      </c>
    </row>
    <row r="1208" spans="1:7" x14ac:dyDescent="0.3">
      <c r="A1208" t="s">
        <v>12</v>
      </c>
      <c r="B1208" t="s">
        <v>15</v>
      </c>
      <c r="C1208" t="s">
        <v>73</v>
      </c>
      <c r="D1208">
        <v>6524</v>
      </c>
      <c r="E1208">
        <v>303</v>
      </c>
      <c r="F1208" s="1">
        <v>44650</v>
      </c>
      <c r="G1208" t="str">
        <f>IF(COUNTIFS(Table1_3[Country],Table1_3[[#This Row],[Country]],Table1_3[Product],Table1_3[[#This Row],[Product]],Table1_3[Sales Person],Table1_3[[#This Row],[Sales Person]],Table1_3[Amount],"&lt;=100")&gt;=2,"Contract","Deal")</f>
        <v>Deal</v>
      </c>
    </row>
    <row r="1209" spans="1:7" x14ac:dyDescent="0.3">
      <c r="A1209" t="s">
        <v>12</v>
      </c>
      <c r="B1209" t="s">
        <v>15</v>
      </c>
      <c r="C1209" t="s">
        <v>73</v>
      </c>
      <c r="D1209">
        <v>6722.22</v>
      </c>
      <c r="E1209">
        <v>330</v>
      </c>
      <c r="F1209" s="1">
        <v>45015</v>
      </c>
      <c r="G1209" t="str">
        <f>IF(COUNTIFS(Table1_3[Country],Table1_3[[#This Row],[Country]],Table1_3[Product],Table1_3[[#This Row],[Product]],Table1_3[Sales Person],Table1_3[[#This Row],[Sales Person]],Table1_3[Amount],"&lt;=100")&gt;=2,"Contract","Deal")</f>
        <v>Deal</v>
      </c>
    </row>
    <row r="1210" spans="1:7" x14ac:dyDescent="0.3">
      <c r="A1210" t="s">
        <v>12</v>
      </c>
      <c r="B1210" t="s">
        <v>15</v>
      </c>
      <c r="C1210" t="s">
        <v>73</v>
      </c>
      <c r="D1210">
        <v>7696.46</v>
      </c>
      <c r="E1210">
        <v>313</v>
      </c>
      <c r="F1210" s="1">
        <v>45381</v>
      </c>
      <c r="G1210" t="str">
        <f>IF(COUNTIFS(Table1_3[Country],Table1_3[[#This Row],[Country]],Table1_3[Product],Table1_3[[#This Row],[Product]],Table1_3[Sales Person],Table1_3[[#This Row],[Sales Person]],Table1_3[Amount],"&lt;=100")&gt;=2,"Contract","Deal")</f>
        <v>Deal</v>
      </c>
    </row>
    <row r="1211" spans="1:7" x14ac:dyDescent="0.3">
      <c r="A1211" t="s">
        <v>12</v>
      </c>
      <c r="B1211" t="s">
        <v>15</v>
      </c>
      <c r="C1211" t="s">
        <v>18</v>
      </c>
      <c r="D1211">
        <v>5768</v>
      </c>
      <c r="E1211">
        <v>119</v>
      </c>
      <c r="F1211" s="1">
        <v>44586</v>
      </c>
      <c r="G1211" t="str">
        <f>IF(COUNTIFS(Table1_3[Country],Table1_3[[#This Row],[Country]],Table1_3[Product],Table1_3[[#This Row],[Product]],Table1_3[Sales Person],Table1_3[[#This Row],[Sales Person]],Table1_3[Amount],"&lt;=100")&gt;=2,"Contract","Deal")</f>
        <v>Deal</v>
      </c>
    </row>
    <row r="1212" spans="1:7" x14ac:dyDescent="0.3">
      <c r="A1212" t="s">
        <v>12</v>
      </c>
      <c r="B1212" t="s">
        <v>15</v>
      </c>
      <c r="C1212" t="s">
        <v>18</v>
      </c>
      <c r="D1212">
        <v>5884.09</v>
      </c>
      <c r="E1212">
        <v>117</v>
      </c>
      <c r="F1212" s="1">
        <v>44951</v>
      </c>
      <c r="G1212" t="str">
        <f>IF(COUNTIFS(Table1_3[Country],Table1_3[[#This Row],[Country]],Table1_3[Product],Table1_3[[#This Row],[Product]],Table1_3[Sales Person],Table1_3[[#This Row],[Sales Person]],Table1_3[Amount],"&lt;=100")&gt;=2,"Contract","Deal")</f>
        <v>Deal</v>
      </c>
    </row>
    <row r="1213" spans="1:7" x14ac:dyDescent="0.3">
      <c r="A1213" t="s">
        <v>12</v>
      </c>
      <c r="B1213" t="s">
        <v>15</v>
      </c>
      <c r="C1213" t="s">
        <v>18</v>
      </c>
      <c r="D1213">
        <v>6359.09</v>
      </c>
      <c r="E1213">
        <v>121</v>
      </c>
      <c r="F1213" s="1">
        <v>45316</v>
      </c>
      <c r="G1213" t="str">
        <f>IF(COUNTIFS(Table1_3[Country],Table1_3[[#This Row],[Country]],Table1_3[Product],Table1_3[[#This Row],[Product]],Table1_3[Sales Person],Table1_3[[#This Row],[Sales Person]],Table1_3[Amount],"&lt;=100")&gt;=2,"Contract","Deal")</f>
        <v>Deal</v>
      </c>
    </row>
    <row r="1214" spans="1:7" x14ac:dyDescent="0.3">
      <c r="A1214" t="s">
        <v>12</v>
      </c>
      <c r="B1214" t="s">
        <v>15</v>
      </c>
      <c r="C1214" t="s">
        <v>59</v>
      </c>
      <c r="D1214">
        <v>5523</v>
      </c>
      <c r="E1214">
        <v>87</v>
      </c>
      <c r="F1214" s="1">
        <v>44692</v>
      </c>
      <c r="G1214" t="str">
        <f>IF(COUNTIFS(Table1_3[Country],Table1_3[[#This Row],[Country]],Table1_3[Product],Table1_3[[#This Row],[Product]],Table1_3[Sales Person],Table1_3[[#This Row],[Sales Person]],Table1_3[Amount],"&lt;=100")&gt;=2,"Contract","Deal")</f>
        <v>Deal</v>
      </c>
    </row>
    <row r="1215" spans="1:7" x14ac:dyDescent="0.3">
      <c r="A1215" t="s">
        <v>12</v>
      </c>
      <c r="B1215" t="s">
        <v>15</v>
      </c>
      <c r="C1215" t="s">
        <v>59</v>
      </c>
      <c r="D1215">
        <v>5805.24</v>
      </c>
      <c r="E1215">
        <v>83</v>
      </c>
      <c r="F1215" s="1">
        <v>45057</v>
      </c>
      <c r="G1215" t="str">
        <f>IF(COUNTIFS(Table1_3[Country],Table1_3[[#This Row],[Country]],Table1_3[Product],Table1_3[[#This Row],[Product]],Table1_3[Sales Person],Table1_3[[#This Row],[Sales Person]],Table1_3[Amount],"&lt;=100")&gt;=2,"Contract","Deal")</f>
        <v>Deal</v>
      </c>
    </row>
    <row r="1216" spans="1:7" x14ac:dyDescent="0.3">
      <c r="A1216" t="s">
        <v>12</v>
      </c>
      <c r="B1216" t="s">
        <v>15</v>
      </c>
      <c r="C1216" t="s">
        <v>59</v>
      </c>
      <c r="D1216">
        <v>6267.19</v>
      </c>
      <c r="E1216">
        <v>83</v>
      </c>
      <c r="F1216" s="1">
        <v>45423</v>
      </c>
      <c r="G1216" t="str">
        <f>IF(COUNTIFS(Table1_3[Country],Table1_3[[#This Row],[Country]],Table1_3[Product],Table1_3[[#This Row],[Product]],Table1_3[Sales Person],Table1_3[[#This Row],[Sales Person]],Table1_3[Amount],"&lt;=100")&gt;=2,"Contract","Deal")</f>
        <v>Deal</v>
      </c>
    </row>
    <row r="1217" spans="1:7" x14ac:dyDescent="0.3">
      <c r="A1217" t="s">
        <v>12</v>
      </c>
      <c r="B1217" t="s">
        <v>35</v>
      </c>
      <c r="C1217" t="s">
        <v>65</v>
      </c>
      <c r="D1217">
        <v>9989</v>
      </c>
      <c r="E1217">
        <v>49</v>
      </c>
      <c r="F1217" s="1">
        <v>44593</v>
      </c>
      <c r="G1217" t="str">
        <f>IF(COUNTIFS(Table1_3[Country],Table1_3[[#This Row],[Country]],Table1_3[Product],Table1_3[[#This Row],[Product]],Table1_3[Sales Person],Table1_3[[#This Row],[Sales Person]],Table1_3[Amount],"&lt;=100")&gt;=2,"Contract","Deal")</f>
        <v>Deal</v>
      </c>
    </row>
    <row r="1218" spans="1:7" x14ac:dyDescent="0.3">
      <c r="A1218" t="s">
        <v>12</v>
      </c>
      <c r="B1218" t="s">
        <v>35</v>
      </c>
      <c r="C1218" t="s">
        <v>65</v>
      </c>
      <c r="D1218">
        <v>10265.969999999999</v>
      </c>
      <c r="E1218">
        <v>49</v>
      </c>
      <c r="F1218" s="1">
        <v>44958</v>
      </c>
      <c r="G1218" t="str">
        <f>IF(COUNTIFS(Table1_3[Country],Table1_3[[#This Row],[Country]],Table1_3[Product],Table1_3[[#This Row],[Product]],Table1_3[Sales Person],Table1_3[[#This Row],[Sales Person]],Table1_3[Amount],"&lt;=100")&gt;=2,"Contract","Deal")</f>
        <v>Deal</v>
      </c>
    </row>
    <row r="1219" spans="1:7" x14ac:dyDescent="0.3">
      <c r="A1219" t="s">
        <v>12</v>
      </c>
      <c r="B1219" t="s">
        <v>35</v>
      </c>
      <c r="C1219" t="s">
        <v>65</v>
      </c>
      <c r="D1219">
        <v>11705.99</v>
      </c>
      <c r="E1219">
        <v>47</v>
      </c>
      <c r="F1219" s="1">
        <v>45323</v>
      </c>
      <c r="G1219" t="str">
        <f>IF(COUNTIFS(Table1_3[Country],Table1_3[[#This Row],[Country]],Table1_3[Product],Table1_3[[#This Row],[Product]],Table1_3[Sales Person],Table1_3[[#This Row],[Sales Person]],Table1_3[Amount],"&lt;=100")&gt;=2,"Contract","Deal")</f>
        <v>Deal</v>
      </c>
    </row>
    <row r="1220" spans="1:7" x14ac:dyDescent="0.3">
      <c r="A1220" t="s">
        <v>12</v>
      </c>
      <c r="B1220" t="s">
        <v>35</v>
      </c>
      <c r="C1220" t="s">
        <v>87</v>
      </c>
      <c r="D1220">
        <v>1505</v>
      </c>
      <c r="E1220">
        <v>47</v>
      </c>
      <c r="F1220" s="1">
        <v>44589</v>
      </c>
      <c r="G1220" t="str">
        <f>IF(COUNTIFS(Table1_3[Country],Table1_3[[#This Row],[Country]],Table1_3[Product],Table1_3[[#This Row],[Product]],Table1_3[Sales Person],Table1_3[[#This Row],[Sales Person]],Table1_3[Amount],"&lt;=100")&gt;=2,"Contract","Deal")</f>
        <v>Deal</v>
      </c>
    </row>
    <row r="1221" spans="1:7" x14ac:dyDescent="0.3">
      <c r="A1221" t="s">
        <v>12</v>
      </c>
      <c r="B1221" t="s">
        <v>35</v>
      </c>
      <c r="C1221" t="s">
        <v>87</v>
      </c>
      <c r="D1221">
        <v>1540.55</v>
      </c>
      <c r="E1221">
        <v>47</v>
      </c>
      <c r="F1221" s="1">
        <v>44954</v>
      </c>
      <c r="G1221" t="str">
        <f>IF(COUNTIFS(Table1_3[Country],Table1_3[[#This Row],[Country]],Table1_3[Product],Table1_3[[#This Row],[Product]],Table1_3[Sales Person],Table1_3[[#This Row],[Sales Person]],Table1_3[Amount],"&lt;=100")&gt;=2,"Contract","Deal")</f>
        <v>Deal</v>
      </c>
    </row>
    <row r="1222" spans="1:7" x14ac:dyDescent="0.3">
      <c r="A1222" t="s">
        <v>12</v>
      </c>
      <c r="B1222" t="s">
        <v>35</v>
      </c>
      <c r="C1222" t="s">
        <v>87</v>
      </c>
      <c r="D1222">
        <v>1804.9</v>
      </c>
      <c r="E1222">
        <v>47</v>
      </c>
      <c r="F1222" s="1">
        <v>45319</v>
      </c>
      <c r="G1222" t="str">
        <f>IF(COUNTIFS(Table1_3[Country],Table1_3[[#This Row],[Country]],Table1_3[Product],Table1_3[[#This Row],[Product]],Table1_3[Sales Person],Table1_3[[#This Row],[Sales Person]],Table1_3[Amount],"&lt;=100")&gt;=2,"Contract","Deal")</f>
        <v>Deal</v>
      </c>
    </row>
    <row r="1223" spans="1:7" x14ac:dyDescent="0.3">
      <c r="A1223" t="s">
        <v>12</v>
      </c>
      <c r="B1223" t="s">
        <v>35</v>
      </c>
      <c r="C1223" t="s">
        <v>38</v>
      </c>
      <c r="D1223">
        <v>3549</v>
      </c>
      <c r="E1223">
        <v>82</v>
      </c>
      <c r="F1223" s="1">
        <v>44748</v>
      </c>
      <c r="G1223" t="str">
        <f>IF(COUNTIFS(Table1_3[Country],Table1_3[[#This Row],[Country]],Table1_3[Product],Table1_3[[#This Row],[Product]],Table1_3[Sales Person],Table1_3[[#This Row],[Sales Person]],Table1_3[Amount],"&lt;=100")&gt;=2,"Contract","Deal")</f>
        <v>Deal</v>
      </c>
    </row>
    <row r="1224" spans="1:7" x14ac:dyDescent="0.3">
      <c r="A1224" t="s">
        <v>12</v>
      </c>
      <c r="B1224" t="s">
        <v>35</v>
      </c>
      <c r="C1224" t="s">
        <v>38</v>
      </c>
      <c r="D1224">
        <v>3934.09</v>
      </c>
      <c r="E1224">
        <v>86</v>
      </c>
      <c r="F1224" s="1">
        <v>45113</v>
      </c>
      <c r="G1224" t="str">
        <f>IF(COUNTIFS(Table1_3[Country],Table1_3[[#This Row],[Country]],Table1_3[Product],Table1_3[[#This Row],[Product]],Table1_3[Sales Person],Table1_3[[#This Row],[Sales Person]],Table1_3[Amount],"&lt;=100")&gt;=2,"Contract","Deal")</f>
        <v>Deal</v>
      </c>
    </row>
    <row r="1225" spans="1:7" x14ac:dyDescent="0.3">
      <c r="A1225" t="s">
        <v>12</v>
      </c>
      <c r="B1225" t="s">
        <v>35</v>
      </c>
      <c r="C1225" t="s">
        <v>38</v>
      </c>
      <c r="D1225">
        <v>3716.17</v>
      </c>
      <c r="E1225">
        <v>89</v>
      </c>
      <c r="F1225" s="1">
        <v>45479</v>
      </c>
      <c r="G1225" t="str">
        <f>IF(COUNTIFS(Table1_3[Country],Table1_3[[#This Row],[Country]],Table1_3[Product],Table1_3[[#This Row],[Product]],Table1_3[Sales Person],Table1_3[[#This Row],[Sales Person]],Table1_3[Amount],"&lt;=100")&gt;=2,"Contract","Deal")</f>
        <v>Deal</v>
      </c>
    </row>
    <row r="1226" spans="1:7" x14ac:dyDescent="0.3">
      <c r="A1226" t="s">
        <v>12</v>
      </c>
      <c r="B1226" t="s">
        <v>35</v>
      </c>
      <c r="C1226" t="s">
        <v>57</v>
      </c>
      <c r="D1226">
        <v>5782</v>
      </c>
      <c r="E1226">
        <v>103</v>
      </c>
      <c r="F1226" s="1">
        <v>44726</v>
      </c>
      <c r="G1226" t="str">
        <f>IF(COUNTIFS(Table1_3[Country],Table1_3[[#This Row],[Country]],Table1_3[Product],Table1_3[[#This Row],[Product]],Table1_3[Sales Person],Table1_3[[#This Row],[Sales Person]],Table1_3[Amount],"&lt;=100")&gt;=2,"Contract","Deal")</f>
        <v>Deal</v>
      </c>
    </row>
    <row r="1227" spans="1:7" x14ac:dyDescent="0.3">
      <c r="A1227" t="s">
        <v>12</v>
      </c>
      <c r="B1227" t="s">
        <v>35</v>
      </c>
      <c r="C1227" t="s">
        <v>57</v>
      </c>
      <c r="D1227">
        <v>6633.23</v>
      </c>
      <c r="E1227">
        <v>103</v>
      </c>
      <c r="F1227" s="1">
        <v>45091</v>
      </c>
      <c r="G1227" t="str">
        <f>IF(COUNTIFS(Table1_3[Country],Table1_3[[#This Row],[Country]],Table1_3[Product],Table1_3[[#This Row],[Product]],Table1_3[Sales Person],Table1_3[[#This Row],[Sales Person]],Table1_3[Amount],"&lt;=100")&gt;=2,"Contract","Deal")</f>
        <v>Deal</v>
      </c>
    </row>
    <row r="1228" spans="1:7" x14ac:dyDescent="0.3">
      <c r="A1228" t="s">
        <v>12</v>
      </c>
      <c r="B1228" t="s">
        <v>35</v>
      </c>
      <c r="C1228" t="s">
        <v>57</v>
      </c>
      <c r="D1228">
        <v>6093.61</v>
      </c>
      <c r="E1228">
        <v>104</v>
      </c>
      <c r="F1228" s="1">
        <v>45457</v>
      </c>
      <c r="G1228" t="str">
        <f>IF(COUNTIFS(Table1_3[Country],Table1_3[[#This Row],[Country]],Table1_3[Product],Table1_3[[#This Row],[Product]],Table1_3[Sales Person],Table1_3[[#This Row],[Sales Person]],Table1_3[Amount],"&lt;=100")&gt;=2,"Contract","Deal")</f>
        <v>Deal</v>
      </c>
    </row>
    <row r="1229" spans="1:7" x14ac:dyDescent="0.3">
      <c r="A1229" t="s">
        <v>12</v>
      </c>
      <c r="B1229" t="s">
        <v>35</v>
      </c>
      <c r="C1229" t="s">
        <v>46</v>
      </c>
      <c r="D1229">
        <v>3052</v>
      </c>
      <c r="E1229">
        <v>116</v>
      </c>
      <c r="F1229" s="1">
        <v>44602</v>
      </c>
      <c r="G1229" t="str">
        <f>IF(COUNTIFS(Table1_3[Country],Table1_3[[#This Row],[Country]],Table1_3[Product],Table1_3[[#This Row],[Product]],Table1_3[Sales Person],Table1_3[[#This Row],[Sales Person]],Table1_3[Amount],"&lt;=100")&gt;=2,"Contract","Deal")</f>
        <v>Deal</v>
      </c>
    </row>
    <row r="1230" spans="1:7" x14ac:dyDescent="0.3">
      <c r="A1230" t="s">
        <v>12</v>
      </c>
      <c r="B1230" t="s">
        <v>35</v>
      </c>
      <c r="C1230" t="s">
        <v>46</v>
      </c>
      <c r="D1230">
        <v>3432.73</v>
      </c>
      <c r="E1230">
        <v>120</v>
      </c>
      <c r="F1230" s="1">
        <v>44967</v>
      </c>
      <c r="G1230" t="str">
        <f>IF(COUNTIFS(Table1_3[Country],Table1_3[[#This Row],[Country]],Table1_3[Product],Table1_3[[#This Row],[Product]],Table1_3[Sales Person],Table1_3[[#This Row],[Sales Person]],Table1_3[Amount],"&lt;=100")&gt;=2,"Contract","Deal")</f>
        <v>Deal</v>
      </c>
    </row>
    <row r="1231" spans="1:7" x14ac:dyDescent="0.3">
      <c r="A1231" t="s">
        <v>12</v>
      </c>
      <c r="B1231" t="s">
        <v>35</v>
      </c>
      <c r="C1231" t="s">
        <v>46</v>
      </c>
      <c r="D1231">
        <v>3523.33</v>
      </c>
      <c r="E1231">
        <v>114</v>
      </c>
      <c r="F1231" s="1">
        <v>45332</v>
      </c>
      <c r="G1231" t="str">
        <f>IF(COUNTIFS(Table1_3[Country],Table1_3[[#This Row],[Country]],Table1_3[Product],Table1_3[[#This Row],[Product]],Table1_3[Sales Person],Table1_3[[#This Row],[Sales Person]],Table1_3[Amount],"&lt;=100")&gt;=2,"Contract","Deal")</f>
        <v>Deal</v>
      </c>
    </row>
    <row r="1232" spans="1:7" x14ac:dyDescent="0.3">
      <c r="A1232" t="s">
        <v>12</v>
      </c>
      <c r="B1232" t="s">
        <v>35</v>
      </c>
      <c r="C1232" t="s">
        <v>50</v>
      </c>
      <c r="D1232">
        <v>11956</v>
      </c>
      <c r="E1232">
        <v>277</v>
      </c>
      <c r="F1232" s="1">
        <v>44746</v>
      </c>
      <c r="G1232" t="str">
        <f>IF(COUNTIFS(Table1_3[Country],Table1_3[[#This Row],[Country]],Table1_3[Product],Table1_3[[#This Row],[Product]],Table1_3[Sales Person],Table1_3[[#This Row],[Sales Person]],Table1_3[Amount],"&lt;=100")&gt;=2,"Contract","Deal")</f>
        <v>Deal</v>
      </c>
    </row>
    <row r="1233" spans="1:7" x14ac:dyDescent="0.3">
      <c r="A1233" t="s">
        <v>12</v>
      </c>
      <c r="B1233" t="s">
        <v>35</v>
      </c>
      <c r="C1233" t="s">
        <v>50</v>
      </c>
      <c r="D1233">
        <v>13173.56</v>
      </c>
      <c r="E1233">
        <v>301</v>
      </c>
      <c r="F1233" s="1">
        <v>45111</v>
      </c>
      <c r="G1233" t="str">
        <f>IF(COUNTIFS(Table1_3[Country],Table1_3[[#This Row],[Country]],Table1_3[Product],Table1_3[[#This Row],[Product]],Table1_3[Sales Person],Table1_3[[#This Row],[Sales Person]],Table1_3[Amount],"&lt;=100")&gt;=2,"Contract","Deal")</f>
        <v>Deal</v>
      </c>
    </row>
    <row r="1234" spans="1:7" x14ac:dyDescent="0.3">
      <c r="A1234" t="s">
        <v>12</v>
      </c>
      <c r="B1234" t="s">
        <v>35</v>
      </c>
      <c r="C1234" t="s">
        <v>50</v>
      </c>
      <c r="D1234">
        <v>13644</v>
      </c>
      <c r="E1234">
        <v>281</v>
      </c>
      <c r="F1234" s="1">
        <v>45477</v>
      </c>
      <c r="G1234" t="str">
        <f>IF(COUNTIFS(Table1_3[Country],Table1_3[[#This Row],[Country]],Table1_3[Product],Table1_3[[#This Row],[Product]],Table1_3[Sales Person],Table1_3[[#This Row],[Sales Person]],Table1_3[Amount],"&lt;=100")&gt;=2,"Contract","Deal")</f>
        <v>Deal</v>
      </c>
    </row>
    <row r="1235" spans="1:7" x14ac:dyDescent="0.3">
      <c r="A1235" t="s">
        <v>12</v>
      </c>
      <c r="B1235" t="s">
        <v>35</v>
      </c>
      <c r="C1235" t="s">
        <v>59</v>
      </c>
      <c r="D1235">
        <v>6587</v>
      </c>
      <c r="E1235">
        <v>4</v>
      </c>
      <c r="F1235" s="1">
        <v>44753</v>
      </c>
      <c r="G1235" t="str">
        <f>IF(COUNTIFS(Table1_3[Country],Table1_3[[#This Row],[Country]],Table1_3[Product],Table1_3[[#This Row],[Product]],Table1_3[Sales Person],Table1_3[[#This Row],[Sales Person]],Table1_3[Amount],"&lt;=100")&gt;=2,"Contract","Deal")</f>
        <v>Deal</v>
      </c>
    </row>
    <row r="1236" spans="1:7" x14ac:dyDescent="0.3">
      <c r="A1236" t="s">
        <v>12</v>
      </c>
      <c r="B1236" t="s">
        <v>35</v>
      </c>
      <c r="C1236" t="s">
        <v>59</v>
      </c>
      <c r="D1236">
        <v>6985.95</v>
      </c>
      <c r="E1236">
        <v>4</v>
      </c>
      <c r="F1236" s="1">
        <v>45118</v>
      </c>
      <c r="G1236" t="str">
        <f>IF(COUNTIFS(Table1_3[Country],Table1_3[[#This Row],[Country]],Table1_3[Product],Table1_3[[#This Row],[Product]],Table1_3[Sales Person],Table1_3[[#This Row],[Sales Person]],Table1_3[Amount],"&lt;=100")&gt;=2,"Contract","Deal")</f>
        <v>Deal</v>
      </c>
    </row>
    <row r="1237" spans="1:7" x14ac:dyDescent="0.3">
      <c r="A1237" t="s">
        <v>12</v>
      </c>
      <c r="B1237" t="s">
        <v>35</v>
      </c>
      <c r="C1237" t="s">
        <v>59</v>
      </c>
      <c r="D1237">
        <v>6987.59</v>
      </c>
      <c r="E1237">
        <v>4</v>
      </c>
      <c r="F1237" s="1">
        <v>45484</v>
      </c>
      <c r="G1237" t="str">
        <f>IF(COUNTIFS(Table1_3[Country],Table1_3[[#This Row],[Country]],Table1_3[Product],Table1_3[[#This Row],[Product]],Table1_3[Sales Person],Table1_3[[#This Row],[Sales Person]],Table1_3[Amount],"&lt;=100")&gt;=2,"Contract","Deal")</f>
        <v>Deal</v>
      </c>
    </row>
    <row r="1238" spans="1:7" x14ac:dyDescent="0.3">
      <c r="A1238" t="s">
        <v>12</v>
      </c>
      <c r="B1238" t="s">
        <v>10</v>
      </c>
      <c r="C1238" t="s">
        <v>36</v>
      </c>
      <c r="D1238">
        <v>3493</v>
      </c>
      <c r="E1238">
        <v>68</v>
      </c>
      <c r="F1238" s="1">
        <v>44733</v>
      </c>
      <c r="G1238" t="str">
        <f>IF(COUNTIFS(Table1_3[Country],Table1_3[[#This Row],[Country]],Table1_3[Product],Table1_3[[#This Row],[Product]],Table1_3[Sales Person],Table1_3[[#This Row],[Sales Person]],Table1_3[Amount],"&lt;=100")&gt;=2,"Contract","Deal")</f>
        <v>Deal</v>
      </c>
    </row>
    <row r="1239" spans="1:7" x14ac:dyDescent="0.3">
      <c r="A1239" t="s">
        <v>12</v>
      </c>
      <c r="B1239" t="s">
        <v>10</v>
      </c>
      <c r="C1239" t="s">
        <v>36</v>
      </c>
      <c r="D1239">
        <v>3687.44</v>
      </c>
      <c r="E1239">
        <v>73</v>
      </c>
      <c r="F1239" s="1">
        <v>45098</v>
      </c>
      <c r="G1239" t="str">
        <f>IF(COUNTIFS(Table1_3[Country],Table1_3[[#This Row],[Country]],Table1_3[Product],Table1_3[[#This Row],[Product]],Table1_3[Sales Person],Table1_3[[#This Row],[Sales Person]],Table1_3[Amount],"&lt;=100")&gt;=2,"Contract","Deal")</f>
        <v>Deal</v>
      </c>
    </row>
    <row r="1240" spans="1:7" x14ac:dyDescent="0.3">
      <c r="A1240" t="s">
        <v>12</v>
      </c>
      <c r="B1240" t="s">
        <v>10</v>
      </c>
      <c r="C1240" t="s">
        <v>36</v>
      </c>
      <c r="D1240">
        <v>3916.92</v>
      </c>
      <c r="E1240">
        <v>74</v>
      </c>
      <c r="F1240" s="1">
        <v>45464</v>
      </c>
      <c r="G1240" t="str">
        <f>IF(COUNTIFS(Table1_3[Country],Table1_3[[#This Row],[Country]],Table1_3[Product],Table1_3[[#This Row],[Product]],Table1_3[Sales Person],Table1_3[[#This Row],[Sales Person]],Table1_3[Amount],"&lt;=100")&gt;=2,"Contract","Deal")</f>
        <v>Deal</v>
      </c>
    </row>
    <row r="1241" spans="1:7" x14ac:dyDescent="0.3">
      <c r="A1241" t="s">
        <v>12</v>
      </c>
      <c r="B1241" t="s">
        <v>10</v>
      </c>
      <c r="C1241" t="s">
        <v>60</v>
      </c>
      <c r="D1241">
        <v>4935</v>
      </c>
      <c r="E1241">
        <v>73</v>
      </c>
      <c r="F1241" s="1">
        <v>44693</v>
      </c>
      <c r="G1241" t="str">
        <f>IF(COUNTIFS(Table1_3[Country],Table1_3[[#This Row],[Country]],Table1_3[Product],Table1_3[[#This Row],[Product]],Table1_3[Sales Person],Table1_3[[#This Row],[Sales Person]],Table1_3[Amount],"&lt;=100")&gt;=2,"Contract","Deal")</f>
        <v>Deal</v>
      </c>
    </row>
    <row r="1242" spans="1:7" x14ac:dyDescent="0.3">
      <c r="A1242" t="s">
        <v>12</v>
      </c>
      <c r="B1242" t="s">
        <v>10</v>
      </c>
      <c r="C1242" t="s">
        <v>60</v>
      </c>
      <c r="D1242">
        <v>5290.76</v>
      </c>
      <c r="E1242">
        <v>76</v>
      </c>
      <c r="F1242" s="1">
        <v>45058</v>
      </c>
      <c r="G1242" t="str">
        <f>IF(COUNTIFS(Table1_3[Country],Table1_3[[#This Row],[Country]],Table1_3[Product],Table1_3[[#This Row],[Product]],Table1_3[Sales Person],Table1_3[[#This Row],[Sales Person]],Table1_3[Amount],"&lt;=100")&gt;=2,"Contract","Deal")</f>
        <v>Deal</v>
      </c>
    </row>
    <row r="1243" spans="1:7" x14ac:dyDescent="0.3">
      <c r="A1243" t="s">
        <v>12</v>
      </c>
      <c r="B1243" t="s">
        <v>10</v>
      </c>
      <c r="C1243" t="s">
        <v>60</v>
      </c>
      <c r="D1243">
        <v>5932.12</v>
      </c>
      <c r="E1243">
        <v>79</v>
      </c>
      <c r="F1243" s="1">
        <v>45424</v>
      </c>
      <c r="G1243" t="str">
        <f>IF(COUNTIFS(Table1_3[Country],Table1_3[[#This Row],[Country]],Table1_3[Product],Table1_3[[#This Row],[Product]],Table1_3[Sales Person],Table1_3[[#This Row],[Sales Person]],Table1_3[Amount],"&lt;=100")&gt;=2,"Contract","Deal")</f>
        <v>Deal</v>
      </c>
    </row>
    <row r="1244" spans="1:7" x14ac:dyDescent="0.3">
      <c r="A1244" t="s">
        <v>12</v>
      </c>
      <c r="B1244" t="s">
        <v>10</v>
      </c>
      <c r="C1244" t="s">
        <v>13</v>
      </c>
      <c r="D1244">
        <v>4501</v>
      </c>
      <c r="E1244">
        <v>91</v>
      </c>
      <c r="F1244" s="1">
        <v>44749</v>
      </c>
      <c r="G1244" t="str">
        <f>IF(COUNTIFS(Table1_3[Country],Table1_3[[#This Row],[Country]],Table1_3[Product],Table1_3[[#This Row],[Product]],Table1_3[Sales Person],Table1_3[[#This Row],[Sales Person]],Table1_3[Amount],"&lt;=100")&gt;=2,"Contract","Deal")</f>
        <v>Deal</v>
      </c>
    </row>
    <row r="1245" spans="1:7" x14ac:dyDescent="0.3">
      <c r="A1245" t="s">
        <v>12</v>
      </c>
      <c r="B1245" t="s">
        <v>10</v>
      </c>
      <c r="C1245" t="s">
        <v>13</v>
      </c>
      <c r="D1245">
        <v>4666.18</v>
      </c>
      <c r="E1245">
        <v>100</v>
      </c>
      <c r="F1245" s="1">
        <v>45114</v>
      </c>
      <c r="G1245" t="str">
        <f>IF(COUNTIFS(Table1_3[Country],Table1_3[[#This Row],[Country]],Table1_3[Product],Table1_3[[#This Row],[Product]],Table1_3[Sales Person],Table1_3[[#This Row],[Sales Person]],Table1_3[Amount],"&lt;=100")&gt;=2,"Contract","Deal")</f>
        <v>Deal</v>
      </c>
    </row>
    <row r="1246" spans="1:7" x14ac:dyDescent="0.3">
      <c r="A1246" t="s">
        <v>12</v>
      </c>
      <c r="B1246" t="s">
        <v>10</v>
      </c>
      <c r="C1246" t="s">
        <v>13</v>
      </c>
      <c r="D1246">
        <v>5159.07</v>
      </c>
      <c r="E1246">
        <v>87</v>
      </c>
      <c r="F1246" s="1">
        <v>45480</v>
      </c>
      <c r="G1246" t="str">
        <f>IF(COUNTIFS(Table1_3[Country],Table1_3[[#This Row],[Country]],Table1_3[Product],Table1_3[[#This Row],[Product]],Table1_3[Sales Person],Table1_3[[#This Row],[Sales Person]],Table1_3[Amount],"&lt;=100")&gt;=2,"Contract","Deal")</f>
        <v>Deal</v>
      </c>
    </row>
    <row r="1247" spans="1:7" x14ac:dyDescent="0.3">
      <c r="A1247" t="s">
        <v>12</v>
      </c>
      <c r="B1247" t="s">
        <v>10</v>
      </c>
      <c r="C1247" t="s">
        <v>73</v>
      </c>
      <c r="D1247">
        <v>2583</v>
      </c>
      <c r="E1247">
        <v>159</v>
      </c>
      <c r="F1247" s="1">
        <v>44614</v>
      </c>
      <c r="G1247" t="str">
        <f>IF(COUNTIFS(Table1_3[Country],Table1_3[[#This Row],[Country]],Table1_3[Product],Table1_3[[#This Row],[Product]],Table1_3[Sales Person],Table1_3[[#This Row],[Sales Person]],Table1_3[Amount],"&lt;=100")&gt;=2,"Contract","Deal")</f>
        <v>Deal</v>
      </c>
    </row>
    <row r="1248" spans="1:7" x14ac:dyDescent="0.3">
      <c r="A1248" t="s">
        <v>12</v>
      </c>
      <c r="B1248" t="s">
        <v>10</v>
      </c>
      <c r="C1248" t="s">
        <v>73</v>
      </c>
      <c r="D1248">
        <v>2775.87</v>
      </c>
      <c r="E1248">
        <v>174</v>
      </c>
      <c r="F1248" s="1">
        <v>44979</v>
      </c>
      <c r="G1248" t="str">
        <f>IF(COUNTIFS(Table1_3[Country],Table1_3[[#This Row],[Country]],Table1_3[Product],Table1_3[[#This Row],[Product]],Table1_3[Sales Person],Table1_3[[#This Row],[Sales Person]],Table1_3[Amount],"&lt;=100")&gt;=2,"Contract","Deal")</f>
        <v>Deal</v>
      </c>
    </row>
    <row r="1249" spans="1:7" x14ac:dyDescent="0.3">
      <c r="A1249" t="s">
        <v>12</v>
      </c>
      <c r="B1249" t="s">
        <v>10</v>
      </c>
      <c r="C1249" t="s">
        <v>73</v>
      </c>
      <c r="D1249">
        <v>2843.9</v>
      </c>
      <c r="E1249">
        <v>158</v>
      </c>
      <c r="F1249" s="1">
        <v>45344</v>
      </c>
      <c r="G1249" t="str">
        <f>IF(COUNTIFS(Table1_3[Country],Table1_3[[#This Row],[Country]],Table1_3[Product],Table1_3[[#This Row],[Product]],Table1_3[Sales Person],Table1_3[[#This Row],[Sales Person]],Table1_3[Amount],"&lt;=100")&gt;=2,"Contract","Deal")</f>
        <v>Deal</v>
      </c>
    </row>
    <row r="1250" spans="1:7" x14ac:dyDescent="0.3">
      <c r="A1250" t="s">
        <v>12</v>
      </c>
      <c r="B1250" t="s">
        <v>10</v>
      </c>
      <c r="C1250" t="s">
        <v>59</v>
      </c>
      <c r="D1250">
        <v>1393</v>
      </c>
      <c r="E1250">
        <v>172</v>
      </c>
      <c r="F1250" s="1">
        <v>44664</v>
      </c>
      <c r="G1250" t="str">
        <f>IF(COUNTIFS(Table1_3[Country],Table1_3[[#This Row],[Country]],Table1_3[Product],Table1_3[[#This Row],[Product]],Table1_3[Sales Person],Table1_3[[#This Row],[Sales Person]],Table1_3[Amount],"&lt;=100")&gt;=2,"Contract","Deal")</f>
        <v>Deal</v>
      </c>
    </row>
    <row r="1251" spans="1:7" x14ac:dyDescent="0.3">
      <c r="A1251" t="s">
        <v>12</v>
      </c>
      <c r="B1251" t="s">
        <v>10</v>
      </c>
      <c r="C1251" t="s">
        <v>59</v>
      </c>
      <c r="D1251">
        <v>1484.67</v>
      </c>
      <c r="E1251">
        <v>180</v>
      </c>
      <c r="F1251" s="1">
        <v>45029</v>
      </c>
      <c r="G1251" t="str">
        <f>IF(COUNTIFS(Table1_3[Country],Table1_3[[#This Row],[Country]],Table1_3[Product],Table1_3[[#This Row],[Product]],Table1_3[Sales Person],Table1_3[[#This Row],[Sales Person]],Table1_3[Amount],"&lt;=100")&gt;=2,"Contract","Deal")</f>
        <v>Deal</v>
      </c>
    </row>
    <row r="1252" spans="1:7" x14ac:dyDescent="0.3">
      <c r="A1252" t="s">
        <v>12</v>
      </c>
      <c r="B1252" t="s">
        <v>10</v>
      </c>
      <c r="C1252" t="s">
        <v>59</v>
      </c>
      <c r="D1252">
        <v>1563.39</v>
      </c>
      <c r="E1252">
        <v>179</v>
      </c>
      <c r="F1252" s="1">
        <v>45395</v>
      </c>
      <c r="G1252" t="str">
        <f>IF(COUNTIFS(Table1_3[Country],Table1_3[[#This Row],[Country]],Table1_3[Product],Table1_3[[#This Row],[Product]],Table1_3[Sales Person],Table1_3[[#This Row],[Sales Person]],Table1_3[Amount],"&lt;=100")&gt;=2,"Contract","Deal")</f>
        <v>Deal</v>
      </c>
    </row>
    <row r="1253" spans="1:7" x14ac:dyDescent="0.3">
      <c r="A1253" t="s">
        <v>12</v>
      </c>
      <c r="B1253" t="s">
        <v>25</v>
      </c>
      <c r="C1253" t="s">
        <v>26</v>
      </c>
      <c r="D1253">
        <v>5670</v>
      </c>
      <c r="E1253">
        <v>64</v>
      </c>
      <c r="F1253" s="1">
        <v>44741</v>
      </c>
      <c r="G1253" t="str">
        <f>IF(COUNTIFS(Table1_3[Country],Table1_3[[#This Row],[Country]],Table1_3[Product],Table1_3[[#This Row],[Product]],Table1_3[Sales Person],Table1_3[[#This Row],[Sales Person]],Table1_3[Amount],"&lt;=100")&gt;=2,"Contract","Deal")</f>
        <v>Deal</v>
      </c>
    </row>
    <row r="1254" spans="1:7" x14ac:dyDescent="0.3">
      <c r="A1254" t="s">
        <v>12</v>
      </c>
      <c r="B1254" t="s">
        <v>25</v>
      </c>
      <c r="C1254" t="s">
        <v>26</v>
      </c>
      <c r="D1254">
        <v>5929.2</v>
      </c>
      <c r="E1254">
        <v>65</v>
      </c>
      <c r="F1254" s="1">
        <v>45106</v>
      </c>
      <c r="G1254" t="str">
        <f>IF(COUNTIFS(Table1_3[Country],Table1_3[[#This Row],[Country]],Table1_3[Product],Table1_3[[#This Row],[Product]],Table1_3[Sales Person],Table1_3[[#This Row],[Sales Person]],Table1_3[Amount],"&lt;=100")&gt;=2,"Contract","Deal")</f>
        <v>Deal</v>
      </c>
    </row>
    <row r="1255" spans="1:7" x14ac:dyDescent="0.3">
      <c r="A1255" t="s">
        <v>12</v>
      </c>
      <c r="B1255" t="s">
        <v>25</v>
      </c>
      <c r="C1255" t="s">
        <v>26</v>
      </c>
      <c r="D1255">
        <v>6723.42</v>
      </c>
      <c r="E1255">
        <v>67</v>
      </c>
      <c r="F1255" s="1">
        <v>45472</v>
      </c>
      <c r="G1255" t="str">
        <f>IF(COUNTIFS(Table1_3[Country],Table1_3[[#This Row],[Country]],Table1_3[Product],Table1_3[[#This Row],[Product]],Table1_3[Sales Person],Table1_3[[#This Row],[Sales Person]],Table1_3[Amount],"&lt;=100")&gt;=2,"Contract","Deal")</f>
        <v>Deal</v>
      </c>
    </row>
    <row r="1256" spans="1:7" x14ac:dyDescent="0.3">
      <c r="A1256" t="s">
        <v>12</v>
      </c>
      <c r="B1256" t="s">
        <v>25</v>
      </c>
      <c r="C1256" t="s">
        <v>23</v>
      </c>
      <c r="D1256">
        <v>5600</v>
      </c>
      <c r="E1256">
        <v>181</v>
      </c>
      <c r="F1256" s="1">
        <v>44582</v>
      </c>
      <c r="G1256" t="str">
        <f>IF(COUNTIFS(Table1_3[Country],Table1_3[[#This Row],[Country]],Table1_3[Product],Table1_3[[#This Row],[Product]],Table1_3[Sales Person],Table1_3[[#This Row],[Sales Person]],Table1_3[Amount],"&lt;=100")&gt;=2,"Contract","Deal")</f>
        <v>Deal</v>
      </c>
    </row>
    <row r="1257" spans="1:7" x14ac:dyDescent="0.3">
      <c r="A1257" t="s">
        <v>12</v>
      </c>
      <c r="B1257" t="s">
        <v>25</v>
      </c>
      <c r="C1257" t="s">
        <v>23</v>
      </c>
      <c r="D1257">
        <v>5833.8</v>
      </c>
      <c r="E1257">
        <v>196</v>
      </c>
      <c r="F1257" s="1">
        <v>44947</v>
      </c>
      <c r="G1257" t="str">
        <f>IF(COUNTIFS(Table1_3[Country],Table1_3[[#This Row],[Country]],Table1_3[Product],Table1_3[[#This Row],[Product]],Table1_3[Sales Person],Table1_3[[#This Row],[Sales Person]],Table1_3[Amount],"&lt;=100")&gt;=2,"Contract","Deal")</f>
        <v>Deal</v>
      </c>
    </row>
    <row r="1258" spans="1:7" x14ac:dyDescent="0.3">
      <c r="A1258" t="s">
        <v>12</v>
      </c>
      <c r="B1258" t="s">
        <v>25</v>
      </c>
      <c r="C1258" t="s">
        <v>23</v>
      </c>
      <c r="D1258">
        <v>6464.8</v>
      </c>
      <c r="E1258">
        <v>189</v>
      </c>
      <c r="F1258" s="1">
        <v>45312</v>
      </c>
      <c r="G1258" t="str">
        <f>IF(COUNTIFS(Table1_3[Country],Table1_3[[#This Row],[Country]],Table1_3[Product],Table1_3[[#This Row],[Product]],Table1_3[Sales Person],Table1_3[[#This Row],[Sales Person]],Table1_3[Amount],"&lt;=100")&gt;=2,"Contract","Deal")</f>
        <v>Deal</v>
      </c>
    </row>
    <row r="1259" spans="1:7" x14ac:dyDescent="0.3">
      <c r="A1259" t="s">
        <v>12</v>
      </c>
      <c r="B1259" t="s">
        <v>25</v>
      </c>
      <c r="C1259" t="s">
        <v>57</v>
      </c>
      <c r="D1259">
        <v>10976</v>
      </c>
      <c r="E1259">
        <v>121</v>
      </c>
      <c r="F1259" s="1">
        <v>44655</v>
      </c>
      <c r="G1259" t="str">
        <f>IF(COUNTIFS(Table1_3[Country],Table1_3[[#This Row],[Country]],Table1_3[Product],Table1_3[[#This Row],[Product]],Table1_3[Sales Person],Table1_3[[#This Row],[Sales Person]],Table1_3[Amount],"&lt;=100")&gt;=2,"Contract","Deal")</f>
        <v>Deal</v>
      </c>
    </row>
    <row r="1260" spans="1:7" x14ac:dyDescent="0.3">
      <c r="A1260" t="s">
        <v>12</v>
      </c>
      <c r="B1260" t="s">
        <v>25</v>
      </c>
      <c r="C1260" t="s">
        <v>57</v>
      </c>
      <c r="D1260">
        <v>11226.5</v>
      </c>
      <c r="E1260">
        <v>118</v>
      </c>
      <c r="F1260" s="1">
        <v>45020</v>
      </c>
      <c r="G1260" t="str">
        <f>IF(COUNTIFS(Table1_3[Country],Table1_3[[#This Row],[Country]],Table1_3[Product],Table1_3[[#This Row],[Product]],Table1_3[Sales Person],Table1_3[[#This Row],[Sales Person]],Table1_3[Amount],"&lt;=100")&gt;=2,"Contract","Deal")</f>
        <v>Deal</v>
      </c>
    </row>
    <row r="1261" spans="1:7" x14ac:dyDescent="0.3">
      <c r="A1261" t="s">
        <v>12</v>
      </c>
      <c r="B1261" t="s">
        <v>25</v>
      </c>
      <c r="C1261" t="s">
        <v>57</v>
      </c>
      <c r="D1261">
        <v>12314.13</v>
      </c>
      <c r="E1261">
        <v>129</v>
      </c>
      <c r="F1261" s="1">
        <v>45386</v>
      </c>
      <c r="G1261" t="str">
        <f>IF(COUNTIFS(Table1_3[Country],Table1_3[[#This Row],[Country]],Table1_3[Product],Table1_3[[#This Row],[Product]],Table1_3[Sales Person],Table1_3[[#This Row],[Sales Person]],Table1_3[Amount],"&lt;=100")&gt;=2,"Contract","Deal")</f>
        <v>Deal</v>
      </c>
    </row>
    <row r="1262" spans="1:7" x14ac:dyDescent="0.3">
      <c r="A1262" t="s">
        <v>12</v>
      </c>
      <c r="B1262" t="s">
        <v>25</v>
      </c>
      <c r="C1262" t="s">
        <v>60</v>
      </c>
      <c r="D1262">
        <v>8267</v>
      </c>
      <c r="E1262">
        <v>272</v>
      </c>
      <c r="F1262" s="1">
        <v>44740</v>
      </c>
      <c r="G1262" t="str">
        <f>IF(COUNTIFS(Table1_3[Country],Table1_3[[#This Row],[Country]],Table1_3[Product],Table1_3[[#This Row],[Product]],Table1_3[Sales Person],Table1_3[[#This Row],[Sales Person]],Table1_3[Amount],"&lt;=100")&gt;=2,"Contract","Deal")</f>
        <v>Deal</v>
      </c>
    </row>
    <row r="1263" spans="1:7" x14ac:dyDescent="0.3">
      <c r="A1263" t="s">
        <v>12</v>
      </c>
      <c r="B1263" t="s">
        <v>25</v>
      </c>
      <c r="C1263" t="s">
        <v>60</v>
      </c>
      <c r="D1263">
        <v>8495.7900000000009</v>
      </c>
      <c r="E1263">
        <v>268</v>
      </c>
      <c r="F1263" s="1">
        <v>45105</v>
      </c>
      <c r="G1263" t="str">
        <f>IF(COUNTIFS(Table1_3[Country],Table1_3[[#This Row],[Country]],Table1_3[Product],Table1_3[[#This Row],[Product]],Table1_3[Sales Person],Table1_3[[#This Row],[Sales Person]],Table1_3[Amount],"&lt;=100")&gt;=2,"Contract","Deal")</f>
        <v>Deal</v>
      </c>
    </row>
    <row r="1264" spans="1:7" x14ac:dyDescent="0.3">
      <c r="A1264" t="s">
        <v>12</v>
      </c>
      <c r="B1264" t="s">
        <v>25</v>
      </c>
      <c r="C1264" t="s">
        <v>60</v>
      </c>
      <c r="D1264">
        <v>8728.7999999999993</v>
      </c>
      <c r="E1264">
        <v>272</v>
      </c>
      <c r="F1264" s="1">
        <v>45471</v>
      </c>
      <c r="G1264" t="str">
        <f>IF(COUNTIFS(Table1_3[Country],Table1_3[[#This Row],[Country]],Table1_3[Product],Table1_3[[#This Row],[Product]],Table1_3[Sales Person],Table1_3[[#This Row],[Sales Person]],Table1_3[Amount],"&lt;=100")&gt;=2,"Contract","Deal")</f>
        <v>Deal</v>
      </c>
    </row>
    <row r="1265" spans="1:7" x14ac:dyDescent="0.3">
      <c r="A1265" t="s">
        <v>12</v>
      </c>
      <c r="B1265" t="s">
        <v>25</v>
      </c>
      <c r="C1265" t="s">
        <v>33</v>
      </c>
      <c r="D1265">
        <v>8204</v>
      </c>
      <c r="E1265">
        <v>307</v>
      </c>
      <c r="F1265" s="1">
        <v>44697</v>
      </c>
      <c r="G1265" t="str">
        <f>IF(COUNTIFS(Table1_3[Country],Table1_3[[#This Row],[Country]],Table1_3[Product],Table1_3[[#This Row],[Product]],Table1_3[Sales Person],Table1_3[[#This Row],[Sales Person]],Table1_3[Amount],"&lt;=100")&gt;=2,"Contract","Deal")</f>
        <v>Deal</v>
      </c>
    </row>
    <row r="1266" spans="1:7" x14ac:dyDescent="0.3">
      <c r="A1266" t="s">
        <v>12</v>
      </c>
      <c r="B1266" t="s">
        <v>25</v>
      </c>
      <c r="C1266" t="s">
        <v>33</v>
      </c>
      <c r="D1266">
        <v>9111.34</v>
      </c>
      <c r="E1266">
        <v>324</v>
      </c>
      <c r="F1266" s="1">
        <v>45062</v>
      </c>
      <c r="G1266" t="str">
        <f>IF(COUNTIFS(Table1_3[Country],Table1_3[[#This Row],[Country]],Table1_3[Product],Table1_3[[#This Row],[Product]],Table1_3[Sales Person],Table1_3[[#This Row],[Sales Person]],Table1_3[Amount],"&lt;=100")&gt;=2,"Contract","Deal")</f>
        <v>Deal</v>
      </c>
    </row>
    <row r="1267" spans="1:7" x14ac:dyDescent="0.3">
      <c r="A1267" t="s">
        <v>12</v>
      </c>
      <c r="B1267" t="s">
        <v>25</v>
      </c>
      <c r="C1267" t="s">
        <v>33</v>
      </c>
      <c r="D1267">
        <v>9866.2000000000007</v>
      </c>
      <c r="E1267">
        <v>306</v>
      </c>
      <c r="F1267" s="1">
        <v>45428</v>
      </c>
      <c r="G1267" t="str">
        <f>IF(COUNTIFS(Table1_3[Country],Table1_3[[#This Row],[Country]],Table1_3[Product],Table1_3[[#This Row],[Product]],Table1_3[Sales Person],Table1_3[[#This Row],[Sales Person]],Table1_3[Amount],"&lt;=100")&gt;=2,"Contract","Deal")</f>
        <v>Deal</v>
      </c>
    </row>
    <row r="1268" spans="1:7" x14ac:dyDescent="0.3">
      <c r="A1268" t="s">
        <v>12</v>
      </c>
      <c r="B1268" t="s">
        <v>25</v>
      </c>
      <c r="C1268" t="s">
        <v>73</v>
      </c>
      <c r="D1268">
        <v>1127</v>
      </c>
      <c r="E1268">
        <v>176</v>
      </c>
      <c r="F1268" s="1">
        <v>44782</v>
      </c>
      <c r="G1268" t="str">
        <f>IF(COUNTIFS(Table1_3[Country],Table1_3[[#This Row],[Country]],Table1_3[Product],Table1_3[[#This Row],[Product]],Table1_3[Sales Person],Table1_3[[#This Row],[Sales Person]],Table1_3[Amount],"&lt;=100")&gt;=2,"Contract","Deal")</f>
        <v>Deal</v>
      </c>
    </row>
    <row r="1269" spans="1:7" x14ac:dyDescent="0.3">
      <c r="A1269" t="s">
        <v>12</v>
      </c>
      <c r="B1269" t="s">
        <v>25</v>
      </c>
      <c r="C1269" t="s">
        <v>73</v>
      </c>
      <c r="D1269">
        <v>1161.31</v>
      </c>
      <c r="E1269">
        <v>181</v>
      </c>
      <c r="F1269" s="1">
        <v>45147</v>
      </c>
      <c r="G1269" t="str">
        <f>IF(COUNTIFS(Table1_3[Country],Table1_3[[#This Row],[Country]],Table1_3[Product],Table1_3[[#This Row],[Product]],Table1_3[Sales Person],Table1_3[[#This Row],[Sales Person]],Table1_3[Amount],"&lt;=100")&gt;=2,"Contract","Deal")</f>
        <v>Deal</v>
      </c>
    </row>
    <row r="1270" spans="1:7" x14ac:dyDescent="0.3">
      <c r="A1270" t="s">
        <v>12</v>
      </c>
      <c r="B1270" t="s">
        <v>25</v>
      </c>
      <c r="C1270" t="s">
        <v>73</v>
      </c>
      <c r="D1270">
        <v>1225.1199999999999</v>
      </c>
      <c r="E1270">
        <v>186</v>
      </c>
      <c r="F1270" s="1">
        <v>45513</v>
      </c>
      <c r="G1270" t="str">
        <f>IF(COUNTIFS(Table1_3[Country],Table1_3[[#This Row],[Country]],Table1_3[Product],Table1_3[[#This Row],[Product]],Table1_3[Sales Person],Table1_3[[#This Row],[Sales Person]],Table1_3[Amount],"&lt;=100")&gt;=2,"Contract","Deal")</f>
        <v>Deal</v>
      </c>
    </row>
    <row r="1271" spans="1:7" x14ac:dyDescent="0.3">
      <c r="A1271" t="s">
        <v>12</v>
      </c>
      <c r="B1271" t="s">
        <v>25</v>
      </c>
      <c r="C1271" t="s">
        <v>18</v>
      </c>
      <c r="D1271">
        <v>700</v>
      </c>
      <c r="E1271">
        <v>97</v>
      </c>
      <c r="F1271" s="1">
        <v>44571</v>
      </c>
      <c r="G1271" t="str">
        <f>IF(COUNTIFS(Table1_3[Country],Table1_3[[#This Row],[Country]],Table1_3[Product],Table1_3[[#This Row],[Product]],Table1_3[Sales Person],Table1_3[[#This Row],[Sales Person]],Table1_3[Amount],"&lt;=100")&gt;=2,"Contract","Deal")</f>
        <v>Deal</v>
      </c>
    </row>
    <row r="1272" spans="1:7" x14ac:dyDescent="0.3">
      <c r="A1272" t="s">
        <v>12</v>
      </c>
      <c r="B1272" t="s">
        <v>25</v>
      </c>
      <c r="C1272" t="s">
        <v>18</v>
      </c>
      <c r="D1272">
        <v>801.09</v>
      </c>
      <c r="E1272">
        <v>101</v>
      </c>
      <c r="F1272" s="1">
        <v>44936</v>
      </c>
      <c r="G1272" t="str">
        <f>IF(COUNTIFS(Table1_3[Country],Table1_3[[#This Row],[Country]],Table1_3[Product],Table1_3[[#This Row],[Product]],Table1_3[Sales Person],Table1_3[[#This Row],[Sales Person]],Table1_3[Amount],"&lt;=100")&gt;=2,"Contract","Deal")</f>
        <v>Deal</v>
      </c>
    </row>
    <row r="1273" spans="1:7" x14ac:dyDescent="0.3">
      <c r="A1273" t="s">
        <v>12</v>
      </c>
      <c r="B1273" t="s">
        <v>25</v>
      </c>
      <c r="C1273" t="s">
        <v>18</v>
      </c>
      <c r="D1273">
        <v>787.38</v>
      </c>
      <c r="E1273">
        <v>95</v>
      </c>
      <c r="F1273" s="1">
        <v>45301</v>
      </c>
      <c r="G1273" t="str">
        <f>IF(COUNTIFS(Table1_3[Country],Table1_3[[#This Row],[Country]],Table1_3[Product],Table1_3[[#This Row],[Product]],Table1_3[Sales Person],Table1_3[[#This Row],[Sales Person]],Table1_3[Amount],"&lt;=100")&gt;=2,"Contract","Deal")</f>
        <v>Deal</v>
      </c>
    </row>
    <row r="1274" spans="1:7" x14ac:dyDescent="0.3">
      <c r="A1274" t="s">
        <v>12</v>
      </c>
      <c r="B1274" t="s">
        <v>7</v>
      </c>
      <c r="C1274" t="s">
        <v>26</v>
      </c>
      <c r="D1274">
        <v>8197</v>
      </c>
      <c r="E1274">
        <v>69</v>
      </c>
      <c r="F1274" s="1">
        <v>44760</v>
      </c>
      <c r="G1274" t="str">
        <f>IF(COUNTIFS(Table1_3[Country],Table1_3[[#This Row],[Country]],Table1_3[Product],Table1_3[[#This Row],[Product]],Table1_3[Sales Person],Table1_3[[#This Row],[Sales Person]],Table1_3[Amount],"&lt;=100")&gt;=2,"Contract","Deal")</f>
        <v>Deal</v>
      </c>
    </row>
    <row r="1275" spans="1:7" x14ac:dyDescent="0.3">
      <c r="A1275" t="s">
        <v>12</v>
      </c>
      <c r="B1275" t="s">
        <v>7</v>
      </c>
      <c r="C1275" t="s">
        <v>26</v>
      </c>
      <c r="D1275">
        <v>8385.3799999999992</v>
      </c>
      <c r="E1275">
        <v>73</v>
      </c>
      <c r="F1275" s="1">
        <v>45125</v>
      </c>
      <c r="G1275" t="str">
        <f>IF(COUNTIFS(Table1_3[Country],Table1_3[[#This Row],[Country]],Table1_3[Product],Table1_3[[#This Row],[Product]],Table1_3[Sales Person],Table1_3[[#This Row],[Sales Person]],Table1_3[Amount],"&lt;=100")&gt;=2,"Contract","Deal")</f>
        <v>Deal</v>
      </c>
    </row>
    <row r="1276" spans="1:7" x14ac:dyDescent="0.3">
      <c r="A1276" t="s">
        <v>12</v>
      </c>
      <c r="B1276" t="s">
        <v>7</v>
      </c>
      <c r="C1276" t="s">
        <v>26</v>
      </c>
      <c r="D1276">
        <v>8937.3700000000008</v>
      </c>
      <c r="E1276">
        <v>66</v>
      </c>
      <c r="F1276" s="1">
        <v>45491</v>
      </c>
      <c r="G1276" t="str">
        <f>IF(COUNTIFS(Table1_3[Country],Table1_3[[#This Row],[Country]],Table1_3[Product],Table1_3[[#This Row],[Product]],Table1_3[Sales Person],Table1_3[[#This Row],[Sales Person]],Table1_3[Amount],"&lt;=100")&gt;=2,"Contract","Deal")</f>
        <v>Deal</v>
      </c>
    </row>
    <row r="1277" spans="1:7" x14ac:dyDescent="0.3">
      <c r="A1277" t="s">
        <v>12</v>
      </c>
      <c r="B1277" t="s">
        <v>7</v>
      </c>
      <c r="C1277" t="s">
        <v>100</v>
      </c>
      <c r="D1277">
        <v>840</v>
      </c>
      <c r="E1277">
        <v>81</v>
      </c>
      <c r="F1277" s="1">
        <v>44733</v>
      </c>
      <c r="G1277" t="str">
        <f>IF(COUNTIFS(Table1_3[Country],Table1_3[[#This Row],[Country]],Table1_3[Product],Table1_3[[#This Row],[Product]],Table1_3[Sales Person],Table1_3[[#This Row],[Sales Person]],Table1_3[Amount],"&lt;=100")&gt;=2,"Contract","Deal")</f>
        <v>Deal</v>
      </c>
    </row>
    <row r="1278" spans="1:7" x14ac:dyDescent="0.3">
      <c r="A1278" t="s">
        <v>12</v>
      </c>
      <c r="B1278" t="s">
        <v>7</v>
      </c>
      <c r="C1278" t="s">
        <v>100</v>
      </c>
      <c r="D1278">
        <v>949.18</v>
      </c>
      <c r="E1278">
        <v>83</v>
      </c>
      <c r="F1278" s="1">
        <v>45098</v>
      </c>
      <c r="G1278" t="str">
        <f>IF(COUNTIFS(Table1_3[Country],Table1_3[[#This Row],[Country]],Table1_3[Product],Table1_3[[#This Row],[Product]],Table1_3[Sales Person],Table1_3[[#This Row],[Sales Person]],Table1_3[Amount],"&lt;=100")&gt;=2,"Contract","Deal")</f>
        <v>Deal</v>
      </c>
    </row>
    <row r="1279" spans="1:7" x14ac:dyDescent="0.3">
      <c r="A1279" t="s">
        <v>12</v>
      </c>
      <c r="B1279" t="s">
        <v>7</v>
      </c>
      <c r="C1279" t="s">
        <v>100</v>
      </c>
      <c r="D1279">
        <v>942.02</v>
      </c>
      <c r="E1279">
        <v>84</v>
      </c>
      <c r="F1279" s="1">
        <v>45464</v>
      </c>
      <c r="G1279" t="str">
        <f>IF(COUNTIFS(Table1_3[Country],Table1_3[[#This Row],[Country]],Table1_3[Product],Table1_3[[#This Row],[Product]],Table1_3[Sales Person],Table1_3[[#This Row],[Sales Person]],Table1_3[Amount],"&lt;=100")&gt;=2,"Contract","Deal")</f>
        <v>Deal</v>
      </c>
    </row>
    <row r="1280" spans="1:7" x14ac:dyDescent="0.3">
      <c r="A1280" t="s">
        <v>12</v>
      </c>
      <c r="B1280" t="s">
        <v>7</v>
      </c>
      <c r="C1280" t="s">
        <v>11</v>
      </c>
      <c r="D1280">
        <v>12362</v>
      </c>
      <c r="E1280">
        <v>94</v>
      </c>
      <c r="F1280" s="1">
        <v>44735</v>
      </c>
      <c r="G1280" t="str">
        <f>IF(COUNTIFS(Table1_3[Country],Table1_3[[#This Row],[Country]],Table1_3[Product],Table1_3[[#This Row],[Product]],Table1_3[Sales Person],Table1_3[[#This Row],[Sales Person]],Table1_3[Amount],"&lt;=100")&gt;=2,"Contract","Deal")</f>
        <v>Deal</v>
      </c>
    </row>
    <row r="1281" spans="1:7" x14ac:dyDescent="0.3">
      <c r="A1281" t="s">
        <v>12</v>
      </c>
      <c r="B1281" t="s">
        <v>7</v>
      </c>
      <c r="C1281" t="s">
        <v>11</v>
      </c>
      <c r="D1281">
        <v>12764.94</v>
      </c>
      <c r="E1281">
        <v>100</v>
      </c>
      <c r="F1281" s="1">
        <v>45100</v>
      </c>
      <c r="G1281" t="str">
        <f>IF(COUNTIFS(Table1_3[Country],Table1_3[[#This Row],[Country]],Table1_3[Product],Table1_3[[#This Row],[Product]],Table1_3[Sales Person],Table1_3[[#This Row],[Sales Person]],Table1_3[Amount],"&lt;=100")&gt;=2,"Contract","Deal")</f>
        <v>Deal</v>
      </c>
    </row>
    <row r="1282" spans="1:7" x14ac:dyDescent="0.3">
      <c r="A1282" t="s">
        <v>12</v>
      </c>
      <c r="B1282" t="s">
        <v>7</v>
      </c>
      <c r="C1282" t="s">
        <v>11</v>
      </c>
      <c r="D1282">
        <v>13136.08</v>
      </c>
      <c r="E1282">
        <v>90</v>
      </c>
      <c r="F1282" s="1">
        <v>45466</v>
      </c>
      <c r="G1282" t="str">
        <f>IF(COUNTIFS(Table1_3[Country],Table1_3[[#This Row],[Country]],Table1_3[Product],Table1_3[[#This Row],[Product]],Table1_3[Sales Person],Table1_3[[#This Row],[Sales Person]],Table1_3[Amount],"&lt;=100")&gt;=2,"Contract","Deal")</f>
        <v>Deal</v>
      </c>
    </row>
    <row r="1283" spans="1:7" x14ac:dyDescent="0.3">
      <c r="A1283" t="s">
        <v>12</v>
      </c>
      <c r="B1283" t="s">
        <v>7</v>
      </c>
      <c r="C1283" t="s">
        <v>23</v>
      </c>
      <c r="D1283">
        <v>8029</v>
      </c>
      <c r="E1283">
        <v>175</v>
      </c>
      <c r="F1283" s="1">
        <v>44649</v>
      </c>
      <c r="G1283" t="str">
        <f>IF(COUNTIFS(Table1_3[Country],Table1_3[[#This Row],[Country]],Table1_3[Product],Table1_3[[#This Row],[Product]],Table1_3[Sales Person],Table1_3[[#This Row],[Sales Person]],Table1_3[Amount],"&lt;=100")&gt;=2,"Contract","Deal")</f>
        <v>Deal</v>
      </c>
    </row>
    <row r="1284" spans="1:7" x14ac:dyDescent="0.3">
      <c r="A1284" t="s">
        <v>12</v>
      </c>
      <c r="B1284" t="s">
        <v>7</v>
      </c>
      <c r="C1284" t="s">
        <v>23</v>
      </c>
      <c r="D1284">
        <v>8320.2900000000009</v>
      </c>
      <c r="E1284">
        <v>171</v>
      </c>
      <c r="F1284" s="1">
        <v>45014</v>
      </c>
      <c r="G1284" t="str">
        <f>IF(COUNTIFS(Table1_3[Country],Table1_3[[#This Row],[Country]],Table1_3[Product],Table1_3[[#This Row],[Product]],Table1_3[Sales Person],Table1_3[[#This Row],[Sales Person]],Table1_3[Amount],"&lt;=100")&gt;=2,"Contract","Deal")</f>
        <v>Deal</v>
      </c>
    </row>
    <row r="1285" spans="1:7" x14ac:dyDescent="0.3">
      <c r="A1285" t="s">
        <v>12</v>
      </c>
      <c r="B1285" t="s">
        <v>7</v>
      </c>
      <c r="C1285" t="s">
        <v>23</v>
      </c>
      <c r="D1285">
        <v>9186.69</v>
      </c>
      <c r="E1285">
        <v>173</v>
      </c>
      <c r="F1285" s="1">
        <v>45380</v>
      </c>
      <c r="G1285" t="str">
        <f>IF(COUNTIFS(Table1_3[Country],Table1_3[[#This Row],[Country]],Table1_3[Product],Table1_3[[#This Row],[Product]],Table1_3[Sales Person],Table1_3[[#This Row],[Sales Person]],Table1_3[Amount],"&lt;=100")&gt;=2,"Contract","Deal")</f>
        <v>Deal</v>
      </c>
    </row>
    <row r="1286" spans="1:7" x14ac:dyDescent="0.3">
      <c r="A1286" t="s">
        <v>12</v>
      </c>
      <c r="B1286" t="s">
        <v>7</v>
      </c>
      <c r="C1286" t="s">
        <v>65</v>
      </c>
      <c r="D1286">
        <v>5642</v>
      </c>
      <c r="E1286">
        <v>9</v>
      </c>
      <c r="F1286" s="1">
        <v>44571</v>
      </c>
      <c r="G1286" t="str">
        <f>IF(COUNTIFS(Table1_3[Country],Table1_3[[#This Row],[Country]],Table1_3[Product],Table1_3[[#This Row],[Product]],Table1_3[Sales Person],Table1_3[[#This Row],[Sales Person]],Table1_3[Amount],"&lt;=100")&gt;=2,"Contract","Deal")</f>
        <v>Deal</v>
      </c>
    </row>
    <row r="1287" spans="1:7" x14ac:dyDescent="0.3">
      <c r="A1287" t="s">
        <v>12</v>
      </c>
      <c r="B1287" t="s">
        <v>7</v>
      </c>
      <c r="C1287" t="s">
        <v>65</v>
      </c>
      <c r="D1287">
        <v>6046.4</v>
      </c>
      <c r="E1287">
        <v>10</v>
      </c>
      <c r="F1287" s="1">
        <v>44936</v>
      </c>
      <c r="G1287" t="str">
        <f>IF(COUNTIFS(Table1_3[Country],Table1_3[[#This Row],[Country]],Table1_3[Product],Table1_3[[#This Row],[Product]],Table1_3[Sales Person],Table1_3[[#This Row],[Sales Person]],Table1_3[Amount],"&lt;=100")&gt;=2,"Contract","Deal")</f>
        <v>Deal</v>
      </c>
    </row>
    <row r="1288" spans="1:7" x14ac:dyDescent="0.3">
      <c r="A1288" t="s">
        <v>12</v>
      </c>
      <c r="B1288" t="s">
        <v>7</v>
      </c>
      <c r="C1288" t="s">
        <v>65</v>
      </c>
      <c r="D1288">
        <v>6031.14</v>
      </c>
      <c r="E1288">
        <v>9</v>
      </c>
      <c r="F1288" s="1">
        <v>45301</v>
      </c>
      <c r="G1288" t="str">
        <f>IF(COUNTIFS(Table1_3[Country],Table1_3[[#This Row],[Country]],Table1_3[Product],Table1_3[[#This Row],[Product]],Table1_3[Sales Person],Table1_3[[#This Row],[Sales Person]],Table1_3[Amount],"&lt;=100")&gt;=2,"Contract","Deal")</f>
        <v>Deal</v>
      </c>
    </row>
    <row r="1289" spans="1:7" x14ac:dyDescent="0.3">
      <c r="A1289" t="s">
        <v>12</v>
      </c>
      <c r="B1289" t="s">
        <v>7</v>
      </c>
      <c r="C1289" t="s">
        <v>87</v>
      </c>
      <c r="D1289">
        <v>9023</v>
      </c>
      <c r="E1289">
        <v>409</v>
      </c>
      <c r="F1289" s="1">
        <v>44697</v>
      </c>
      <c r="G1289" t="str">
        <f>IF(COUNTIFS(Table1_3[Country],Table1_3[[#This Row],[Country]],Table1_3[Product],Table1_3[[#This Row],[Product]],Table1_3[Sales Person],Table1_3[[#This Row],[Sales Person]],Table1_3[Amount],"&lt;=100")&gt;=2,"Contract","Deal")</f>
        <v>Deal</v>
      </c>
    </row>
    <row r="1290" spans="1:7" x14ac:dyDescent="0.3">
      <c r="A1290" t="s">
        <v>12</v>
      </c>
      <c r="B1290" t="s">
        <v>7</v>
      </c>
      <c r="C1290" t="s">
        <v>87</v>
      </c>
      <c r="D1290">
        <v>9656.56</v>
      </c>
      <c r="E1290">
        <v>400</v>
      </c>
      <c r="F1290" s="1">
        <v>45062</v>
      </c>
      <c r="G1290" t="str">
        <f>IF(COUNTIFS(Table1_3[Country],Table1_3[[#This Row],[Country]],Table1_3[Product],Table1_3[[#This Row],[Product]],Table1_3[Sales Person],Table1_3[[#This Row],[Sales Person]],Table1_3[Amount],"&lt;=100")&gt;=2,"Contract","Deal")</f>
        <v>Deal</v>
      </c>
    </row>
    <row r="1291" spans="1:7" x14ac:dyDescent="0.3">
      <c r="A1291" t="s">
        <v>12</v>
      </c>
      <c r="B1291" t="s">
        <v>7</v>
      </c>
      <c r="C1291" t="s">
        <v>87</v>
      </c>
      <c r="D1291">
        <v>9969.65</v>
      </c>
      <c r="E1291">
        <v>449</v>
      </c>
      <c r="F1291" s="1">
        <v>45428</v>
      </c>
      <c r="G1291" t="str">
        <f>IF(COUNTIFS(Table1_3[Country],Table1_3[[#This Row],[Country]],Table1_3[Product],Table1_3[[#This Row],[Product]],Table1_3[Sales Person],Table1_3[[#This Row],[Sales Person]],Table1_3[Amount],"&lt;=100")&gt;=2,"Contract","Deal")</f>
        <v>Deal</v>
      </c>
    </row>
    <row r="1292" spans="1:7" x14ac:dyDescent="0.3">
      <c r="A1292" t="s">
        <v>12</v>
      </c>
      <c r="B1292" t="s">
        <v>7</v>
      </c>
      <c r="C1292" t="s">
        <v>38</v>
      </c>
      <c r="D1292">
        <v>5782</v>
      </c>
      <c r="E1292">
        <v>42</v>
      </c>
      <c r="F1292" s="1">
        <v>44742</v>
      </c>
      <c r="G1292" t="str">
        <f>IF(COUNTIFS(Table1_3[Country],Table1_3[[#This Row],[Country]],Table1_3[Product],Table1_3[[#This Row],[Product]],Table1_3[Sales Person],Table1_3[[#This Row],[Sales Person]],Table1_3[Amount],"&lt;=100")&gt;=2,"Contract","Deal")</f>
        <v>Deal</v>
      </c>
    </row>
    <row r="1293" spans="1:7" x14ac:dyDescent="0.3">
      <c r="A1293" t="s">
        <v>12</v>
      </c>
      <c r="B1293" t="s">
        <v>7</v>
      </c>
      <c r="C1293" t="s">
        <v>38</v>
      </c>
      <c r="D1293">
        <v>6157.17</v>
      </c>
      <c r="E1293">
        <v>43</v>
      </c>
      <c r="F1293" s="1">
        <v>45107</v>
      </c>
      <c r="G1293" t="str">
        <f>IF(COUNTIFS(Table1_3[Country],Table1_3[[#This Row],[Country]],Table1_3[Product],Table1_3[[#This Row],[Product]],Table1_3[Sales Person],Table1_3[[#This Row],[Sales Person]],Table1_3[Amount],"&lt;=100")&gt;=2,"Contract","Deal")</f>
        <v>Deal</v>
      </c>
    </row>
    <row r="1294" spans="1:7" x14ac:dyDescent="0.3">
      <c r="A1294" t="s">
        <v>12</v>
      </c>
      <c r="B1294" t="s">
        <v>7</v>
      </c>
      <c r="C1294" t="s">
        <v>38</v>
      </c>
      <c r="D1294">
        <v>6173.15</v>
      </c>
      <c r="E1294">
        <v>46</v>
      </c>
      <c r="F1294" s="1">
        <v>45473</v>
      </c>
      <c r="G1294" t="str">
        <f>IF(COUNTIFS(Table1_3[Country],Table1_3[[#This Row],[Country]],Table1_3[Product],Table1_3[[#This Row],[Product]],Table1_3[Sales Person],Table1_3[[#This Row],[Sales Person]],Table1_3[Amount],"&lt;=100")&gt;=2,"Contract","Deal")</f>
        <v>Deal</v>
      </c>
    </row>
    <row r="1295" spans="1:7" x14ac:dyDescent="0.3">
      <c r="A1295" t="s">
        <v>12</v>
      </c>
      <c r="B1295" t="s">
        <v>7</v>
      </c>
      <c r="C1295" t="s">
        <v>57</v>
      </c>
      <c r="D1295">
        <v>1232</v>
      </c>
      <c r="E1295">
        <v>86</v>
      </c>
      <c r="F1295" s="1">
        <v>44657</v>
      </c>
      <c r="G1295" t="str">
        <f>IF(COUNTIFS(Table1_3[Country],Table1_3[[#This Row],[Country]],Table1_3[Product],Table1_3[[#This Row],[Product]],Table1_3[Sales Person],Table1_3[[#This Row],[Sales Person]],Table1_3[Amount],"&lt;=100")&gt;=2,"Contract","Deal")</f>
        <v>Deal</v>
      </c>
    </row>
    <row r="1296" spans="1:7" x14ac:dyDescent="0.3">
      <c r="A1296" t="s">
        <v>12</v>
      </c>
      <c r="B1296" t="s">
        <v>7</v>
      </c>
      <c r="C1296" t="s">
        <v>57</v>
      </c>
      <c r="D1296">
        <v>1412.22</v>
      </c>
      <c r="E1296">
        <v>90</v>
      </c>
      <c r="F1296" s="1">
        <v>45022</v>
      </c>
      <c r="G1296" t="str">
        <f>IF(COUNTIFS(Table1_3[Country],Table1_3[[#This Row],[Country]],Table1_3[Product],Table1_3[[#This Row],[Product]],Table1_3[Sales Person],Table1_3[[#This Row],[Sales Person]],Table1_3[Amount],"&lt;=100")&gt;=2,"Contract","Deal")</f>
        <v>Deal</v>
      </c>
    </row>
    <row r="1297" spans="1:7" x14ac:dyDescent="0.3">
      <c r="A1297" t="s">
        <v>12</v>
      </c>
      <c r="B1297" t="s">
        <v>7</v>
      </c>
      <c r="C1297" t="s">
        <v>57</v>
      </c>
      <c r="D1297">
        <v>1448.1</v>
      </c>
      <c r="E1297">
        <v>92</v>
      </c>
      <c r="F1297" s="1">
        <v>45388</v>
      </c>
      <c r="G1297" t="str">
        <f>IF(COUNTIFS(Table1_3[Country],Table1_3[[#This Row],[Country]],Table1_3[Product],Table1_3[[#This Row],[Product]],Table1_3[Sales Person],Table1_3[[#This Row],[Sales Person]],Table1_3[Amount],"&lt;=100")&gt;=2,"Contract","Deal")</f>
        <v>Deal</v>
      </c>
    </row>
    <row r="1298" spans="1:7" x14ac:dyDescent="0.3">
      <c r="A1298" t="s">
        <v>12</v>
      </c>
      <c r="B1298" t="s">
        <v>7</v>
      </c>
      <c r="C1298" t="s">
        <v>46</v>
      </c>
      <c r="D1298">
        <v>1365</v>
      </c>
      <c r="E1298">
        <v>232</v>
      </c>
      <c r="F1298" s="1">
        <v>44698</v>
      </c>
      <c r="G1298" t="str">
        <f>IF(COUNTIFS(Table1_3[Country],Table1_3[[#This Row],[Country]],Table1_3[Product],Table1_3[[#This Row],[Product]],Table1_3[Sales Person],Table1_3[[#This Row],[Sales Person]],Table1_3[Amount],"&lt;=100")&gt;=2,"Contract","Deal")</f>
        <v>Deal</v>
      </c>
    </row>
    <row r="1299" spans="1:7" x14ac:dyDescent="0.3">
      <c r="A1299" t="s">
        <v>12</v>
      </c>
      <c r="B1299" t="s">
        <v>7</v>
      </c>
      <c r="C1299" t="s">
        <v>46</v>
      </c>
      <c r="D1299">
        <v>1406.91</v>
      </c>
      <c r="E1299">
        <v>231</v>
      </c>
      <c r="F1299" s="1">
        <v>45063</v>
      </c>
      <c r="G1299" t="str">
        <f>IF(COUNTIFS(Table1_3[Country],Table1_3[[#This Row],[Country]],Table1_3[Product],Table1_3[[#This Row],[Product]],Table1_3[Sales Person],Table1_3[[#This Row],[Sales Person]],Table1_3[Amount],"&lt;=100")&gt;=2,"Contract","Deal")</f>
        <v>Deal</v>
      </c>
    </row>
    <row r="1300" spans="1:7" x14ac:dyDescent="0.3">
      <c r="A1300" t="s">
        <v>12</v>
      </c>
      <c r="B1300" t="s">
        <v>7</v>
      </c>
      <c r="C1300" t="s">
        <v>46</v>
      </c>
      <c r="D1300">
        <v>1436.97</v>
      </c>
      <c r="E1300">
        <v>248</v>
      </c>
      <c r="F1300" s="1">
        <v>45429</v>
      </c>
      <c r="G1300" t="str">
        <f>IF(COUNTIFS(Table1_3[Country],Table1_3[[#This Row],[Country]],Table1_3[Product],Table1_3[[#This Row],[Product]],Table1_3[Sales Person],Table1_3[[#This Row],[Sales Person]],Table1_3[Amount],"&lt;=100")&gt;=2,"Contract","Deal")</f>
        <v>Deal</v>
      </c>
    </row>
    <row r="1301" spans="1:7" x14ac:dyDescent="0.3">
      <c r="A1301" t="s">
        <v>12</v>
      </c>
      <c r="B1301" t="s">
        <v>32</v>
      </c>
      <c r="C1301" t="s">
        <v>26</v>
      </c>
      <c r="D1301">
        <v>2296</v>
      </c>
      <c r="E1301">
        <v>59</v>
      </c>
      <c r="F1301" s="1">
        <v>44664</v>
      </c>
      <c r="G1301" t="str">
        <f>IF(COUNTIFS(Table1_3[Country],Table1_3[[#This Row],[Country]],Table1_3[Product],Table1_3[[#This Row],[Product]],Table1_3[Sales Person],Table1_3[[#This Row],[Sales Person]],Table1_3[Amount],"&lt;=100")&gt;=2,"Contract","Deal")</f>
        <v>Deal</v>
      </c>
    </row>
    <row r="1302" spans="1:7" x14ac:dyDescent="0.3">
      <c r="A1302" t="s">
        <v>12</v>
      </c>
      <c r="B1302" t="s">
        <v>32</v>
      </c>
      <c r="C1302" t="s">
        <v>26</v>
      </c>
      <c r="D1302">
        <v>2456.1</v>
      </c>
      <c r="E1302">
        <v>58</v>
      </c>
      <c r="F1302" s="1">
        <v>45029</v>
      </c>
      <c r="G1302" t="str">
        <f>IF(COUNTIFS(Table1_3[Country],Table1_3[[#This Row],[Country]],Table1_3[Product],Table1_3[[#This Row],[Product]],Table1_3[Sales Person],Table1_3[[#This Row],[Sales Person]],Table1_3[Amount],"&lt;=100")&gt;=2,"Contract","Deal")</f>
        <v>Deal</v>
      </c>
    </row>
    <row r="1303" spans="1:7" x14ac:dyDescent="0.3">
      <c r="A1303" t="s">
        <v>12</v>
      </c>
      <c r="B1303" t="s">
        <v>32</v>
      </c>
      <c r="C1303" t="s">
        <v>26</v>
      </c>
      <c r="D1303">
        <v>2651.48</v>
      </c>
      <c r="E1303">
        <v>60</v>
      </c>
      <c r="F1303" s="1">
        <v>45395</v>
      </c>
      <c r="G1303" t="str">
        <f>IF(COUNTIFS(Table1_3[Country],Table1_3[[#This Row],[Country]],Table1_3[Product],Table1_3[[#This Row],[Product]],Table1_3[Sales Person],Table1_3[[#This Row],[Sales Person]],Table1_3[Amount],"&lt;=100")&gt;=2,"Contract","Deal")</f>
        <v>Deal</v>
      </c>
    </row>
    <row r="1304" spans="1:7" x14ac:dyDescent="0.3">
      <c r="A1304" t="s">
        <v>12</v>
      </c>
      <c r="B1304" t="s">
        <v>32</v>
      </c>
      <c r="C1304" t="s">
        <v>100</v>
      </c>
      <c r="D1304">
        <v>7364</v>
      </c>
      <c r="E1304">
        <v>196</v>
      </c>
      <c r="F1304" s="1">
        <v>44575</v>
      </c>
      <c r="G1304" t="str">
        <f>IF(COUNTIFS(Table1_3[Country],Table1_3[[#This Row],[Country]],Table1_3[Product],Table1_3[[#This Row],[Product]],Table1_3[Sales Person],Table1_3[[#This Row],[Sales Person]],Table1_3[Amount],"&lt;=100")&gt;=2,"Contract","Deal")</f>
        <v>Deal</v>
      </c>
    </row>
    <row r="1305" spans="1:7" x14ac:dyDescent="0.3">
      <c r="A1305" t="s">
        <v>12</v>
      </c>
      <c r="B1305" t="s">
        <v>32</v>
      </c>
      <c r="C1305" t="s">
        <v>100</v>
      </c>
      <c r="D1305">
        <v>8078.15</v>
      </c>
      <c r="E1305">
        <v>189</v>
      </c>
      <c r="F1305" s="1">
        <v>44940</v>
      </c>
      <c r="G1305" t="str">
        <f>IF(COUNTIFS(Table1_3[Country],Table1_3[[#This Row],[Country]],Table1_3[Product],Table1_3[[#This Row],[Product]],Table1_3[Sales Person],Table1_3[[#This Row],[Sales Person]],Table1_3[Amount],"&lt;=100")&gt;=2,"Contract","Deal")</f>
        <v>Deal</v>
      </c>
    </row>
    <row r="1306" spans="1:7" x14ac:dyDescent="0.3">
      <c r="A1306" t="s">
        <v>12</v>
      </c>
      <c r="B1306" t="s">
        <v>32</v>
      </c>
      <c r="C1306" t="s">
        <v>100</v>
      </c>
      <c r="D1306">
        <v>8561.59</v>
      </c>
      <c r="E1306">
        <v>204</v>
      </c>
      <c r="F1306" s="1">
        <v>45305</v>
      </c>
      <c r="G1306" t="str">
        <f>IF(COUNTIFS(Table1_3[Country],Table1_3[[#This Row],[Country]],Table1_3[Product],Table1_3[[#This Row],[Product]],Table1_3[Sales Person],Table1_3[[#This Row],[Sales Person]],Table1_3[Amount],"&lt;=100")&gt;=2,"Contract","Deal")</f>
        <v>Deal</v>
      </c>
    </row>
    <row r="1307" spans="1:7" x14ac:dyDescent="0.3">
      <c r="A1307" t="s">
        <v>12</v>
      </c>
      <c r="B1307" t="s">
        <v>32</v>
      </c>
      <c r="C1307" t="s">
        <v>20</v>
      </c>
      <c r="D1307">
        <v>784</v>
      </c>
      <c r="E1307">
        <v>249</v>
      </c>
      <c r="F1307" s="1">
        <v>44714</v>
      </c>
      <c r="G1307" t="str">
        <f>IF(COUNTIFS(Table1_3[Country],Table1_3[[#This Row],[Country]],Table1_3[Product],Table1_3[[#This Row],[Product]],Table1_3[Sales Person],Table1_3[[#This Row],[Sales Person]],Table1_3[Amount],"&lt;=100")&gt;=2,"Contract","Deal")</f>
        <v>Deal</v>
      </c>
    </row>
    <row r="1308" spans="1:7" x14ac:dyDescent="0.3">
      <c r="A1308" t="s">
        <v>12</v>
      </c>
      <c r="B1308" t="s">
        <v>32</v>
      </c>
      <c r="C1308" t="s">
        <v>20</v>
      </c>
      <c r="D1308">
        <v>885.68</v>
      </c>
      <c r="E1308">
        <v>240</v>
      </c>
      <c r="F1308" s="1">
        <v>45079</v>
      </c>
      <c r="G1308" t="str">
        <f>IF(COUNTIFS(Table1_3[Country],Table1_3[[#This Row],[Country]],Table1_3[Product],Table1_3[[#This Row],[Product]],Table1_3[Sales Person],Table1_3[[#This Row],[Sales Person]],Table1_3[Amount],"&lt;=100")&gt;=2,"Contract","Deal")</f>
        <v>Deal</v>
      </c>
    </row>
    <row r="1309" spans="1:7" x14ac:dyDescent="0.3">
      <c r="A1309" t="s">
        <v>12</v>
      </c>
      <c r="B1309" t="s">
        <v>32</v>
      </c>
      <c r="C1309" t="s">
        <v>20</v>
      </c>
      <c r="D1309">
        <v>906.85</v>
      </c>
      <c r="E1309">
        <v>246</v>
      </c>
      <c r="F1309" s="1">
        <v>45445</v>
      </c>
      <c r="G1309" t="str">
        <f>IF(COUNTIFS(Table1_3[Country],Table1_3[[#This Row],[Country]],Table1_3[Product],Table1_3[[#This Row],[Product]],Table1_3[Sales Person],Table1_3[[#This Row],[Sales Person]],Table1_3[Amount],"&lt;=100")&gt;=2,"Contract","Deal")</f>
        <v>Deal</v>
      </c>
    </row>
    <row r="1310" spans="1:7" x14ac:dyDescent="0.3">
      <c r="A1310" t="s">
        <v>12</v>
      </c>
      <c r="B1310" t="s">
        <v>32</v>
      </c>
      <c r="C1310" t="s">
        <v>23</v>
      </c>
      <c r="D1310">
        <v>1848</v>
      </c>
      <c r="E1310">
        <v>227</v>
      </c>
      <c r="F1310" s="1">
        <v>44575</v>
      </c>
      <c r="G1310" t="str">
        <f>IF(COUNTIFS(Table1_3[Country],Table1_3[[#This Row],[Country]],Table1_3[Product],Table1_3[[#This Row],[Product]],Table1_3[Sales Person],Table1_3[[#This Row],[Sales Person]],Table1_3[Amount],"&lt;=100")&gt;=2,"Contract","Deal")</f>
        <v>Deal</v>
      </c>
    </row>
    <row r="1311" spans="1:7" x14ac:dyDescent="0.3">
      <c r="A1311" t="s">
        <v>12</v>
      </c>
      <c r="B1311" t="s">
        <v>32</v>
      </c>
      <c r="C1311" t="s">
        <v>23</v>
      </c>
      <c r="D1311">
        <v>2043.13</v>
      </c>
      <c r="E1311">
        <v>243</v>
      </c>
      <c r="F1311" s="1">
        <v>44940</v>
      </c>
      <c r="G1311" t="str">
        <f>IF(COUNTIFS(Table1_3[Country],Table1_3[[#This Row],[Country]],Table1_3[Product],Table1_3[[#This Row],[Product]],Table1_3[Sales Person],Table1_3[[#This Row],[Sales Person]],Table1_3[Amount],"&lt;=100")&gt;=2,"Contract","Deal")</f>
        <v>Deal</v>
      </c>
    </row>
    <row r="1312" spans="1:7" x14ac:dyDescent="0.3">
      <c r="A1312" t="s">
        <v>12</v>
      </c>
      <c r="B1312" t="s">
        <v>32</v>
      </c>
      <c r="C1312" t="s">
        <v>23</v>
      </c>
      <c r="D1312">
        <v>1969.06</v>
      </c>
      <c r="E1312">
        <v>235</v>
      </c>
      <c r="F1312" s="1">
        <v>45305</v>
      </c>
      <c r="G1312" t="str">
        <f>IF(COUNTIFS(Table1_3[Country],Table1_3[[#This Row],[Country]],Table1_3[Product],Table1_3[[#This Row],[Product]],Table1_3[Sales Person],Table1_3[[#This Row],[Sales Person]],Table1_3[Amount],"&lt;=100")&gt;=2,"Contract","Deal")</f>
        <v>Deal</v>
      </c>
    </row>
    <row r="1313" spans="1:7" x14ac:dyDescent="0.3">
      <c r="A1313" t="s">
        <v>12</v>
      </c>
      <c r="B1313" t="s">
        <v>32</v>
      </c>
      <c r="C1313" t="s">
        <v>75</v>
      </c>
      <c r="D1313">
        <v>12313</v>
      </c>
      <c r="E1313">
        <v>103</v>
      </c>
      <c r="F1313" s="1">
        <v>44622</v>
      </c>
      <c r="G1313" t="str">
        <f>IF(COUNTIFS(Table1_3[Country],Table1_3[[#This Row],[Country]],Table1_3[Product],Table1_3[[#This Row],[Product]],Table1_3[Sales Person],Table1_3[[#This Row],[Sales Person]],Table1_3[Amount],"&lt;=100")&gt;=2,"Contract","Deal")</f>
        <v>Deal</v>
      </c>
    </row>
    <row r="1314" spans="1:7" x14ac:dyDescent="0.3">
      <c r="A1314" t="s">
        <v>12</v>
      </c>
      <c r="B1314" t="s">
        <v>32</v>
      </c>
      <c r="C1314" t="s">
        <v>75</v>
      </c>
      <c r="D1314">
        <v>13018</v>
      </c>
      <c r="E1314">
        <v>103</v>
      </c>
      <c r="F1314" s="1">
        <v>44987</v>
      </c>
      <c r="G1314" t="str">
        <f>IF(COUNTIFS(Table1_3[Country],Table1_3[[#This Row],[Country]],Table1_3[Product],Table1_3[[#This Row],[Product]],Table1_3[Sales Person],Table1_3[[#This Row],[Sales Person]],Table1_3[Amount],"&lt;=100")&gt;=2,"Contract","Deal")</f>
        <v>Deal</v>
      </c>
    </row>
    <row r="1315" spans="1:7" x14ac:dyDescent="0.3">
      <c r="A1315" t="s">
        <v>12</v>
      </c>
      <c r="B1315" t="s">
        <v>32</v>
      </c>
      <c r="C1315" t="s">
        <v>75</v>
      </c>
      <c r="D1315">
        <v>14154.35</v>
      </c>
      <c r="E1315">
        <v>105</v>
      </c>
      <c r="F1315" s="1">
        <v>45353</v>
      </c>
      <c r="G1315" t="str">
        <f>IF(COUNTIFS(Table1_3[Country],Table1_3[[#This Row],[Country]],Table1_3[Product],Table1_3[[#This Row],[Product]],Table1_3[Sales Person],Table1_3[[#This Row],[Sales Person]],Table1_3[Amount],"&lt;=100")&gt;=2,"Contract","Deal")</f>
        <v>Deal</v>
      </c>
    </row>
    <row r="1316" spans="1:7" x14ac:dyDescent="0.3">
      <c r="A1316" t="s">
        <v>12</v>
      </c>
      <c r="B1316" t="s">
        <v>32</v>
      </c>
      <c r="C1316" t="s">
        <v>57</v>
      </c>
      <c r="D1316">
        <v>2821</v>
      </c>
      <c r="E1316">
        <v>112</v>
      </c>
      <c r="F1316" s="1">
        <v>44705</v>
      </c>
      <c r="G1316" t="str">
        <f>IF(COUNTIFS(Table1_3[Country],Table1_3[[#This Row],[Country]],Table1_3[Product],Table1_3[[#This Row],[Product]],Table1_3[Sales Person],Table1_3[[#This Row],[Sales Person]],Table1_3[Amount],"&lt;=100")&gt;=2,"Contract","Deal")</f>
        <v>Deal</v>
      </c>
    </row>
    <row r="1317" spans="1:7" x14ac:dyDescent="0.3">
      <c r="A1317" t="s">
        <v>12</v>
      </c>
      <c r="B1317" t="s">
        <v>32</v>
      </c>
      <c r="C1317" t="s">
        <v>57</v>
      </c>
      <c r="D1317">
        <v>3099.14</v>
      </c>
      <c r="E1317">
        <v>115</v>
      </c>
      <c r="F1317" s="1">
        <v>45070</v>
      </c>
      <c r="G1317" t="str">
        <f>IF(COUNTIFS(Table1_3[Country],Table1_3[[#This Row],[Country]],Table1_3[Product],Table1_3[[#This Row],[Product]],Table1_3[Sales Person],Table1_3[[#This Row],[Sales Person]],Table1_3[Amount],"&lt;=100")&gt;=2,"Contract","Deal")</f>
        <v>Deal</v>
      </c>
    </row>
    <row r="1318" spans="1:7" x14ac:dyDescent="0.3">
      <c r="A1318" t="s">
        <v>12</v>
      </c>
      <c r="B1318" t="s">
        <v>32</v>
      </c>
      <c r="C1318" t="s">
        <v>57</v>
      </c>
      <c r="D1318">
        <v>2966.98</v>
      </c>
      <c r="E1318">
        <v>121</v>
      </c>
      <c r="F1318" s="1">
        <v>45436</v>
      </c>
      <c r="G1318" t="str">
        <f>IF(COUNTIFS(Table1_3[Country],Table1_3[[#This Row],[Country]],Table1_3[Product],Table1_3[[#This Row],[Product]],Table1_3[Sales Person],Table1_3[[#This Row],[Sales Person]],Table1_3[Amount],"&lt;=100")&gt;=2,"Contract","Deal")</f>
        <v>Deal</v>
      </c>
    </row>
    <row r="1319" spans="1:7" x14ac:dyDescent="0.3">
      <c r="A1319" t="s">
        <v>12</v>
      </c>
      <c r="B1319" t="s">
        <v>32</v>
      </c>
      <c r="C1319" t="s">
        <v>46</v>
      </c>
      <c r="D1319">
        <v>476</v>
      </c>
      <c r="E1319">
        <v>133</v>
      </c>
      <c r="F1319" s="1">
        <v>44728</v>
      </c>
      <c r="G1319" t="str">
        <f>IF(COUNTIFS(Table1_3[Country],Table1_3[[#This Row],[Country]],Table1_3[Product],Table1_3[[#This Row],[Product]],Table1_3[Sales Person],Table1_3[[#This Row],[Sales Person]],Table1_3[Amount],"&lt;=100")&gt;=2,"Contract","Deal")</f>
        <v>Deal</v>
      </c>
    </row>
    <row r="1320" spans="1:7" x14ac:dyDescent="0.3">
      <c r="A1320" t="s">
        <v>12</v>
      </c>
      <c r="B1320" t="s">
        <v>32</v>
      </c>
      <c r="C1320" t="s">
        <v>46</v>
      </c>
      <c r="D1320">
        <v>516.91999999999996</v>
      </c>
      <c r="E1320">
        <v>141</v>
      </c>
      <c r="F1320" s="1">
        <v>45093</v>
      </c>
      <c r="G1320" t="str">
        <f>IF(COUNTIFS(Table1_3[Country],Table1_3[[#This Row],[Country]],Table1_3[Product],Table1_3[[#This Row],[Product]],Table1_3[Sales Person],Table1_3[[#This Row],[Sales Person]],Table1_3[Amount],"&lt;=100")&gt;=2,"Contract","Deal")</f>
        <v>Deal</v>
      </c>
    </row>
    <row r="1321" spans="1:7" x14ac:dyDescent="0.3">
      <c r="A1321" t="s">
        <v>12</v>
      </c>
      <c r="B1321" t="s">
        <v>32</v>
      </c>
      <c r="C1321" t="s">
        <v>46</v>
      </c>
      <c r="D1321">
        <v>521.35</v>
      </c>
      <c r="E1321">
        <v>127</v>
      </c>
      <c r="F1321" s="1">
        <v>45459</v>
      </c>
      <c r="G1321" t="str">
        <f>IF(COUNTIFS(Table1_3[Country],Table1_3[[#This Row],[Country]],Table1_3[Product],Table1_3[[#This Row],[Product]],Table1_3[Sales Person],Table1_3[[#This Row],[Sales Person]],Table1_3[Amount],"&lt;=100")&gt;=2,"Contract","Deal")</f>
        <v>Deal</v>
      </c>
    </row>
    <row r="1322" spans="1:7" x14ac:dyDescent="0.3">
      <c r="A1322" t="s">
        <v>12</v>
      </c>
      <c r="B1322" t="s">
        <v>32</v>
      </c>
      <c r="C1322" t="s">
        <v>13</v>
      </c>
      <c r="D1322">
        <v>280</v>
      </c>
      <c r="E1322">
        <v>75</v>
      </c>
      <c r="F1322" s="1">
        <v>44690</v>
      </c>
      <c r="G1322" t="str">
        <f>IF(COUNTIFS(Table1_3[Country],Table1_3[[#This Row],[Country]],Table1_3[Product],Table1_3[[#This Row],[Product]],Table1_3[Sales Person],Table1_3[[#This Row],[Sales Person]],Table1_3[Amount],"&lt;=100")&gt;=2,"Contract","Deal")</f>
        <v>Deal</v>
      </c>
    </row>
    <row r="1323" spans="1:7" x14ac:dyDescent="0.3">
      <c r="A1323" t="s">
        <v>12</v>
      </c>
      <c r="B1323" t="s">
        <v>32</v>
      </c>
      <c r="C1323" t="s">
        <v>13</v>
      </c>
      <c r="D1323">
        <v>321.61</v>
      </c>
      <c r="E1323">
        <v>76</v>
      </c>
      <c r="F1323" s="1">
        <v>45055</v>
      </c>
      <c r="G1323" t="str">
        <f>IF(COUNTIFS(Table1_3[Country],Table1_3[[#This Row],[Country]],Table1_3[Product],Table1_3[[#This Row],[Product]],Table1_3[Sales Person],Table1_3[[#This Row],[Sales Person]],Table1_3[Amount],"&lt;=100")&gt;=2,"Contract","Deal")</f>
        <v>Deal</v>
      </c>
    </row>
    <row r="1324" spans="1:7" x14ac:dyDescent="0.3">
      <c r="A1324" t="s">
        <v>12</v>
      </c>
      <c r="B1324" t="s">
        <v>32</v>
      </c>
      <c r="C1324" t="s">
        <v>13</v>
      </c>
      <c r="D1324">
        <v>323.29000000000002</v>
      </c>
      <c r="E1324">
        <v>72</v>
      </c>
      <c r="F1324" s="1">
        <v>45421</v>
      </c>
      <c r="G1324" t="str">
        <f>IF(COUNTIFS(Table1_3[Country],Table1_3[[#This Row],[Country]],Table1_3[Product],Table1_3[[#This Row],[Product]],Table1_3[Sales Person],Table1_3[[#This Row],[Sales Person]],Table1_3[Amount],"&lt;=100")&gt;=2,"Contract","Deal")</f>
        <v>Deal</v>
      </c>
    </row>
    <row r="1325" spans="1:7" x14ac:dyDescent="0.3">
      <c r="A1325" t="s">
        <v>12</v>
      </c>
      <c r="B1325" t="s">
        <v>32</v>
      </c>
      <c r="C1325" t="s">
        <v>18</v>
      </c>
      <c r="D1325">
        <v>2583</v>
      </c>
      <c r="E1325">
        <v>126</v>
      </c>
      <c r="F1325" s="1">
        <v>44764</v>
      </c>
      <c r="G1325" t="str">
        <f>IF(COUNTIFS(Table1_3[Country],Table1_3[[#This Row],[Country]],Table1_3[Product],Table1_3[[#This Row],[Product]],Table1_3[Sales Person],Table1_3[[#This Row],[Sales Person]],Table1_3[Amount],"&lt;=100")&gt;=2,"Contract","Deal")</f>
        <v>Deal</v>
      </c>
    </row>
    <row r="1326" spans="1:7" x14ac:dyDescent="0.3">
      <c r="A1326" t="s">
        <v>12</v>
      </c>
      <c r="B1326" t="s">
        <v>32</v>
      </c>
      <c r="C1326" t="s">
        <v>18</v>
      </c>
      <c r="D1326">
        <v>2972.07</v>
      </c>
      <c r="E1326">
        <v>129</v>
      </c>
      <c r="F1326" s="1">
        <v>45129</v>
      </c>
      <c r="G1326" t="str">
        <f>IF(COUNTIFS(Table1_3[Country],Table1_3[[#This Row],[Country]],Table1_3[Product],Table1_3[[#This Row],[Product]],Table1_3[Sales Person],Table1_3[[#This Row],[Sales Person]],Table1_3[Amount],"&lt;=100")&gt;=2,"Contract","Deal")</f>
        <v>Deal</v>
      </c>
    </row>
    <row r="1327" spans="1:7" x14ac:dyDescent="0.3">
      <c r="A1327" t="s">
        <v>12</v>
      </c>
      <c r="B1327" t="s">
        <v>32</v>
      </c>
      <c r="C1327" t="s">
        <v>18</v>
      </c>
      <c r="D1327">
        <v>2960.99</v>
      </c>
      <c r="E1327">
        <v>133</v>
      </c>
      <c r="F1327" s="1">
        <v>45495</v>
      </c>
      <c r="G1327" t="str">
        <f>IF(COUNTIFS(Table1_3[Country],Table1_3[[#This Row],[Country]],Table1_3[Product],Table1_3[[#This Row],[Product]],Table1_3[Sales Person],Table1_3[[#This Row],[Sales Person]],Table1_3[Amount],"&lt;=100")&gt;=2,"Contract","Deal")</f>
        <v>Deal</v>
      </c>
    </row>
    <row r="1328" spans="1:7" x14ac:dyDescent="0.3">
      <c r="A1328" t="s">
        <v>12</v>
      </c>
      <c r="B1328" t="s">
        <v>32</v>
      </c>
      <c r="C1328" t="s">
        <v>50</v>
      </c>
      <c r="D1328">
        <v>10829</v>
      </c>
      <c r="E1328">
        <v>54</v>
      </c>
      <c r="F1328" s="1">
        <v>44582</v>
      </c>
      <c r="G1328" t="str">
        <f>IF(COUNTIFS(Table1_3[Country],Table1_3[[#This Row],[Country]],Table1_3[Product],Table1_3[[#This Row],[Product]],Table1_3[Sales Person],Table1_3[[#This Row],[Sales Person]],Table1_3[Amount],"&lt;=100")&gt;=2,"Contract","Deal")</f>
        <v>Deal</v>
      </c>
    </row>
    <row r="1329" spans="1:7" x14ac:dyDescent="0.3">
      <c r="A1329" t="s">
        <v>12</v>
      </c>
      <c r="B1329" t="s">
        <v>32</v>
      </c>
      <c r="C1329" t="s">
        <v>50</v>
      </c>
      <c r="D1329">
        <v>12450.24</v>
      </c>
      <c r="E1329">
        <v>57</v>
      </c>
      <c r="F1329" s="1">
        <v>44947</v>
      </c>
      <c r="G1329" t="str">
        <f>IF(COUNTIFS(Table1_3[Country],Table1_3[[#This Row],[Country]],Table1_3[Product],Table1_3[[#This Row],[Product]],Table1_3[Sales Person],Table1_3[[#This Row],[Sales Person]],Table1_3[Amount],"&lt;=100")&gt;=2,"Contract","Deal")</f>
        <v>Deal</v>
      </c>
    </row>
    <row r="1330" spans="1:7" x14ac:dyDescent="0.3">
      <c r="A1330" t="s">
        <v>12</v>
      </c>
      <c r="B1330" t="s">
        <v>32</v>
      </c>
      <c r="C1330" t="s">
        <v>50</v>
      </c>
      <c r="D1330">
        <v>12156.54</v>
      </c>
      <c r="E1330">
        <v>54</v>
      </c>
      <c r="F1330" s="1">
        <v>45312</v>
      </c>
      <c r="G1330" t="str">
        <f>IF(COUNTIFS(Table1_3[Country],Table1_3[[#This Row],[Country]],Table1_3[Product],Table1_3[[#This Row],[Product]],Table1_3[Sales Person],Table1_3[[#This Row],[Sales Person]],Table1_3[Amount],"&lt;=100")&gt;=2,"Contract","Deal")</f>
        <v>Deal</v>
      </c>
    </row>
    <row r="1331" spans="1:7" x14ac:dyDescent="0.3">
      <c r="A1331" t="s">
        <v>22</v>
      </c>
      <c r="B1331" t="s">
        <v>15</v>
      </c>
      <c r="C1331" t="s">
        <v>26</v>
      </c>
      <c r="D1331">
        <v>12271</v>
      </c>
      <c r="E1331">
        <v>116</v>
      </c>
      <c r="F1331" s="1">
        <v>44622</v>
      </c>
      <c r="G1331" t="str">
        <f>IF(COUNTIFS(Table1_3[Country],Table1_3[[#This Row],[Country]],Table1_3[Product],Table1_3[[#This Row],[Product]],Table1_3[Sales Person],Table1_3[[#This Row],[Sales Person]],Table1_3[Amount],"&lt;=100")&gt;=2,"Contract","Deal")</f>
        <v>Deal</v>
      </c>
    </row>
    <row r="1332" spans="1:7" x14ac:dyDescent="0.3">
      <c r="A1332" t="s">
        <v>22</v>
      </c>
      <c r="B1332" t="s">
        <v>15</v>
      </c>
      <c r="C1332" t="s">
        <v>26</v>
      </c>
      <c r="D1332">
        <v>12728.16</v>
      </c>
      <c r="E1332">
        <v>111</v>
      </c>
      <c r="F1332" s="1">
        <v>44987</v>
      </c>
      <c r="G1332" t="str">
        <f>IF(COUNTIFS(Table1_3[Country],Table1_3[[#This Row],[Country]],Table1_3[Product],Table1_3[[#This Row],[Product]],Table1_3[Sales Person],Table1_3[[#This Row],[Sales Person]],Table1_3[Amount],"&lt;=100")&gt;=2,"Contract","Deal")</f>
        <v>Deal</v>
      </c>
    </row>
    <row r="1333" spans="1:7" x14ac:dyDescent="0.3">
      <c r="A1333" t="s">
        <v>22</v>
      </c>
      <c r="B1333" t="s">
        <v>15</v>
      </c>
      <c r="C1333" t="s">
        <v>26</v>
      </c>
      <c r="D1333">
        <v>13072.95</v>
      </c>
      <c r="E1333">
        <v>119</v>
      </c>
      <c r="F1333" s="1">
        <v>45353</v>
      </c>
      <c r="G1333" t="str">
        <f>IF(COUNTIFS(Table1_3[Country],Table1_3[[#This Row],[Country]],Table1_3[Product],Table1_3[[#This Row],[Product]],Table1_3[Sales Person],Table1_3[[#This Row],[Sales Person]],Table1_3[Amount],"&lt;=100")&gt;=2,"Contract","Deal")</f>
        <v>Deal</v>
      </c>
    </row>
    <row r="1334" spans="1:7" x14ac:dyDescent="0.3">
      <c r="A1334" t="s">
        <v>22</v>
      </c>
      <c r="B1334" t="s">
        <v>15</v>
      </c>
      <c r="C1334" t="s">
        <v>20</v>
      </c>
      <c r="D1334">
        <v>7952</v>
      </c>
      <c r="E1334">
        <v>235</v>
      </c>
      <c r="F1334" s="1">
        <v>44791</v>
      </c>
      <c r="G1334" t="str">
        <f>IF(COUNTIFS(Table1_3[Country],Table1_3[[#This Row],[Country]],Table1_3[Product],Table1_3[[#This Row],[Product]],Table1_3[Sales Person],Table1_3[[#This Row],[Sales Person]],Table1_3[Amount],"&lt;=100")&gt;=2,"Contract","Deal")</f>
        <v>Deal</v>
      </c>
    </row>
    <row r="1335" spans="1:7" x14ac:dyDescent="0.3">
      <c r="A1335" t="s">
        <v>22</v>
      </c>
      <c r="B1335" t="s">
        <v>15</v>
      </c>
      <c r="C1335" t="s">
        <v>20</v>
      </c>
      <c r="D1335">
        <v>8564.73</v>
      </c>
      <c r="E1335">
        <v>237</v>
      </c>
      <c r="F1335" s="1">
        <v>45156</v>
      </c>
      <c r="G1335" t="str">
        <f>IF(COUNTIFS(Table1_3[Country],Table1_3[[#This Row],[Country]],Table1_3[Product],Table1_3[[#This Row],[Product]],Table1_3[Sales Person],Table1_3[[#This Row],[Sales Person]],Table1_3[Amount],"&lt;=100")&gt;=2,"Contract","Deal")</f>
        <v>Deal</v>
      </c>
    </row>
    <row r="1336" spans="1:7" x14ac:dyDescent="0.3">
      <c r="A1336" t="s">
        <v>22</v>
      </c>
      <c r="B1336" t="s">
        <v>15</v>
      </c>
      <c r="C1336" t="s">
        <v>20</v>
      </c>
      <c r="D1336">
        <v>8861.83</v>
      </c>
      <c r="E1336">
        <v>226</v>
      </c>
      <c r="F1336" s="1">
        <v>45522</v>
      </c>
      <c r="G1336" t="str">
        <f>IF(COUNTIFS(Table1_3[Country],Table1_3[[#This Row],[Country]],Table1_3[Product],Table1_3[[#This Row],[Product]],Table1_3[Sales Person],Table1_3[[#This Row],[Sales Person]],Table1_3[Amount],"&lt;=100")&gt;=2,"Contract","Deal")</f>
        <v>Deal</v>
      </c>
    </row>
    <row r="1337" spans="1:7" x14ac:dyDescent="0.3">
      <c r="A1337" t="s">
        <v>22</v>
      </c>
      <c r="B1337" t="s">
        <v>15</v>
      </c>
      <c r="C1337" t="s">
        <v>23</v>
      </c>
      <c r="D1337">
        <v>3080</v>
      </c>
      <c r="E1337">
        <v>73</v>
      </c>
      <c r="F1337" s="1">
        <v>44644</v>
      </c>
      <c r="G1337" t="str">
        <f>IF(COUNTIFS(Table1_3[Country],Table1_3[[#This Row],[Country]],Table1_3[Product],Table1_3[[#This Row],[Product]],Table1_3[Sales Person],Table1_3[[#This Row],[Sales Person]],Table1_3[Amount],"&lt;=100")&gt;=2,"Contract","Deal")</f>
        <v>Deal</v>
      </c>
    </row>
    <row r="1338" spans="1:7" x14ac:dyDescent="0.3">
      <c r="A1338" t="s">
        <v>22</v>
      </c>
      <c r="B1338" t="s">
        <v>15</v>
      </c>
      <c r="C1338" t="s">
        <v>23</v>
      </c>
      <c r="D1338">
        <v>3249.23</v>
      </c>
      <c r="E1338">
        <v>78</v>
      </c>
      <c r="F1338" s="1">
        <v>45009</v>
      </c>
      <c r="G1338" t="str">
        <f>IF(COUNTIFS(Table1_3[Country],Table1_3[[#This Row],[Country]],Table1_3[Product],Table1_3[[#This Row],[Product]],Table1_3[Sales Person],Table1_3[[#This Row],[Sales Person]],Table1_3[Amount],"&lt;=100")&gt;=2,"Contract","Deal")</f>
        <v>Deal</v>
      </c>
    </row>
    <row r="1339" spans="1:7" x14ac:dyDescent="0.3">
      <c r="A1339" t="s">
        <v>22</v>
      </c>
      <c r="B1339" t="s">
        <v>15</v>
      </c>
      <c r="C1339" t="s">
        <v>23</v>
      </c>
      <c r="D1339">
        <v>3400.26</v>
      </c>
      <c r="E1339">
        <v>77</v>
      </c>
      <c r="F1339" s="1">
        <v>45375</v>
      </c>
      <c r="G1339" t="str">
        <f>IF(COUNTIFS(Table1_3[Country],Table1_3[[#This Row],[Country]],Table1_3[Product],Table1_3[[#This Row],[Product]],Table1_3[Sales Person],Table1_3[[#This Row],[Sales Person]],Table1_3[Amount],"&lt;=100")&gt;=2,"Contract","Deal")</f>
        <v>Deal</v>
      </c>
    </row>
    <row r="1340" spans="1:7" x14ac:dyDescent="0.3">
      <c r="A1340" t="s">
        <v>22</v>
      </c>
      <c r="B1340" t="s">
        <v>15</v>
      </c>
      <c r="C1340" t="s">
        <v>65</v>
      </c>
      <c r="D1340">
        <v>3752</v>
      </c>
      <c r="E1340">
        <v>424</v>
      </c>
      <c r="F1340" s="1">
        <v>44586</v>
      </c>
      <c r="G1340" t="str">
        <f>IF(COUNTIFS(Table1_3[Country],Table1_3[[#This Row],[Country]],Table1_3[Product],Table1_3[[#This Row],[Product]],Table1_3[Sales Person],Table1_3[[#This Row],[Sales Person]],Table1_3[Amount],"&lt;=100")&gt;=2,"Contract","Deal")</f>
        <v>Deal</v>
      </c>
    </row>
    <row r="1341" spans="1:7" x14ac:dyDescent="0.3">
      <c r="A1341" t="s">
        <v>22</v>
      </c>
      <c r="B1341" t="s">
        <v>15</v>
      </c>
      <c r="C1341" t="s">
        <v>65</v>
      </c>
      <c r="D1341">
        <v>4101.26</v>
      </c>
      <c r="E1341">
        <v>425</v>
      </c>
      <c r="F1341" s="1">
        <v>44951</v>
      </c>
      <c r="G1341" t="str">
        <f>IF(COUNTIFS(Table1_3[Country],Table1_3[[#This Row],[Country]],Table1_3[Product],Table1_3[[#This Row],[Product]],Table1_3[Sales Person],Table1_3[[#This Row],[Sales Person]],Table1_3[Amount],"&lt;=100")&gt;=2,"Contract","Deal")</f>
        <v>Deal</v>
      </c>
    </row>
    <row r="1342" spans="1:7" x14ac:dyDescent="0.3">
      <c r="A1342" t="s">
        <v>22</v>
      </c>
      <c r="B1342" t="s">
        <v>15</v>
      </c>
      <c r="C1342" t="s">
        <v>65</v>
      </c>
      <c r="D1342">
        <v>4498.05</v>
      </c>
      <c r="E1342">
        <v>464</v>
      </c>
      <c r="F1342" s="1">
        <v>45316</v>
      </c>
      <c r="G1342" t="str">
        <f>IF(COUNTIFS(Table1_3[Country],Table1_3[[#This Row],[Country]],Table1_3[Product],Table1_3[[#This Row],[Product]],Table1_3[Sales Person],Table1_3[[#This Row],[Sales Person]],Table1_3[Amount],"&lt;=100")&gt;=2,"Contract","Deal")</f>
        <v>Deal</v>
      </c>
    </row>
    <row r="1343" spans="1:7" x14ac:dyDescent="0.3">
      <c r="A1343" t="s">
        <v>22</v>
      </c>
      <c r="B1343" t="s">
        <v>15</v>
      </c>
      <c r="C1343" t="s">
        <v>38</v>
      </c>
      <c r="D1343">
        <v>2317</v>
      </c>
      <c r="E1343">
        <v>195</v>
      </c>
      <c r="F1343" s="1">
        <v>44575</v>
      </c>
      <c r="G1343" t="str">
        <f>IF(COUNTIFS(Table1_3[Country],Table1_3[[#This Row],[Country]],Table1_3[Product],Table1_3[[#This Row],[Product]],Table1_3[Sales Person],Table1_3[[#This Row],[Sales Person]],Table1_3[Amount],"&lt;=100")&gt;=2,"Contract","Deal")</f>
        <v>Deal</v>
      </c>
    </row>
    <row r="1344" spans="1:7" x14ac:dyDescent="0.3">
      <c r="A1344" t="s">
        <v>22</v>
      </c>
      <c r="B1344" t="s">
        <v>15</v>
      </c>
      <c r="C1344" t="s">
        <v>38</v>
      </c>
      <c r="D1344">
        <v>2342.4899999999998</v>
      </c>
      <c r="E1344">
        <v>192</v>
      </c>
      <c r="F1344" s="1">
        <v>44940</v>
      </c>
      <c r="G1344" t="str">
        <f>IF(COUNTIFS(Table1_3[Country],Table1_3[[#This Row],[Country]],Table1_3[Product],Table1_3[[#This Row],[Product]],Table1_3[Sales Person],Table1_3[[#This Row],[Sales Person]],Table1_3[Amount],"&lt;=100")&gt;=2,"Contract","Deal")</f>
        <v>Deal</v>
      </c>
    </row>
    <row r="1345" spans="1:7" x14ac:dyDescent="0.3">
      <c r="A1345" t="s">
        <v>22</v>
      </c>
      <c r="B1345" t="s">
        <v>15</v>
      </c>
      <c r="C1345" t="s">
        <v>38</v>
      </c>
      <c r="D1345">
        <v>2456.77</v>
      </c>
      <c r="E1345">
        <v>188</v>
      </c>
      <c r="F1345" s="1">
        <v>45305</v>
      </c>
      <c r="G1345" t="str">
        <f>IF(COUNTIFS(Table1_3[Country],Table1_3[[#This Row],[Country]],Table1_3[Product],Table1_3[[#This Row],[Product]],Table1_3[Sales Person],Table1_3[[#This Row],[Sales Person]],Table1_3[Amount],"&lt;=100")&gt;=2,"Contract","Deal")</f>
        <v>Deal</v>
      </c>
    </row>
    <row r="1346" spans="1:7" x14ac:dyDescent="0.3">
      <c r="A1346" t="s">
        <v>22</v>
      </c>
      <c r="B1346" t="s">
        <v>15</v>
      </c>
      <c r="C1346" t="s">
        <v>57</v>
      </c>
      <c r="D1346">
        <v>6013</v>
      </c>
      <c r="E1346">
        <v>21</v>
      </c>
      <c r="F1346" s="1">
        <v>44727</v>
      </c>
      <c r="G1346" t="str">
        <f>IF(COUNTIFS(Table1_3[Country],Table1_3[[#This Row],[Country]],Table1_3[Product],Table1_3[[#This Row],[Product]],Table1_3[Sales Person],Table1_3[[#This Row],[Sales Person]],Table1_3[Amount],"&lt;=100")&gt;=2,"Contract","Deal")</f>
        <v>Deal</v>
      </c>
    </row>
    <row r="1347" spans="1:7" x14ac:dyDescent="0.3">
      <c r="A1347" t="s">
        <v>22</v>
      </c>
      <c r="B1347" t="s">
        <v>15</v>
      </c>
      <c r="C1347" t="s">
        <v>57</v>
      </c>
      <c r="D1347">
        <v>6528.42</v>
      </c>
      <c r="E1347">
        <v>22</v>
      </c>
      <c r="F1347" s="1">
        <v>45092</v>
      </c>
      <c r="G1347" t="str">
        <f>IF(COUNTIFS(Table1_3[Country],Table1_3[[#This Row],[Country]],Table1_3[Product],Table1_3[[#This Row],[Product]],Table1_3[Sales Person],Table1_3[[#This Row],[Sales Person]],Table1_3[Amount],"&lt;=100")&gt;=2,"Contract","Deal")</f>
        <v>Deal</v>
      </c>
    </row>
    <row r="1348" spans="1:7" x14ac:dyDescent="0.3">
      <c r="A1348" t="s">
        <v>22</v>
      </c>
      <c r="B1348" t="s">
        <v>15</v>
      </c>
      <c r="C1348" t="s">
        <v>57</v>
      </c>
      <c r="D1348">
        <v>7044.68</v>
      </c>
      <c r="E1348">
        <v>21</v>
      </c>
      <c r="F1348" s="1">
        <v>45458</v>
      </c>
      <c r="G1348" t="str">
        <f>IF(COUNTIFS(Table1_3[Country],Table1_3[[#This Row],[Country]],Table1_3[Product],Table1_3[[#This Row],[Product]],Table1_3[Sales Person],Table1_3[[#This Row],[Sales Person]],Table1_3[Amount],"&lt;=100")&gt;=2,"Contract","Deal")</f>
        <v>Deal</v>
      </c>
    </row>
    <row r="1349" spans="1:7" x14ac:dyDescent="0.3">
      <c r="A1349" t="s">
        <v>22</v>
      </c>
      <c r="B1349" t="s">
        <v>15</v>
      </c>
      <c r="C1349" t="s">
        <v>73</v>
      </c>
      <c r="D1349">
        <v>602</v>
      </c>
      <c r="E1349">
        <v>72</v>
      </c>
      <c r="F1349" s="1">
        <v>44637</v>
      </c>
      <c r="G1349" t="str">
        <f>IF(COUNTIFS(Table1_3[Country],Table1_3[[#This Row],[Country]],Table1_3[Product],Table1_3[[#This Row],[Product]],Table1_3[Sales Person],Table1_3[[#This Row],[Sales Person]],Table1_3[Amount],"&lt;=100")&gt;=2,"Contract","Deal")</f>
        <v>Deal</v>
      </c>
    </row>
    <row r="1350" spans="1:7" x14ac:dyDescent="0.3">
      <c r="A1350" t="s">
        <v>22</v>
      </c>
      <c r="B1350" t="s">
        <v>15</v>
      </c>
      <c r="C1350" t="s">
        <v>73</v>
      </c>
      <c r="D1350">
        <v>607.08000000000004</v>
      </c>
      <c r="E1350">
        <v>76</v>
      </c>
      <c r="F1350" s="1">
        <v>45002</v>
      </c>
      <c r="G1350" t="str">
        <f>IF(COUNTIFS(Table1_3[Country],Table1_3[[#This Row],[Country]],Table1_3[Product],Table1_3[[#This Row],[Product]],Table1_3[Sales Person],Table1_3[[#This Row],[Sales Person]],Table1_3[Amount],"&lt;=100")&gt;=2,"Contract","Deal")</f>
        <v>Deal</v>
      </c>
    </row>
    <row r="1351" spans="1:7" x14ac:dyDescent="0.3">
      <c r="A1351" t="s">
        <v>22</v>
      </c>
      <c r="B1351" t="s">
        <v>15</v>
      </c>
      <c r="C1351" t="s">
        <v>73</v>
      </c>
      <c r="D1351">
        <v>709.53</v>
      </c>
      <c r="E1351">
        <v>77</v>
      </c>
      <c r="F1351" s="1">
        <v>45368</v>
      </c>
      <c r="G1351" t="str">
        <f>IF(COUNTIFS(Table1_3[Country],Table1_3[[#This Row],[Country]],Table1_3[Product],Table1_3[[#This Row],[Product]],Table1_3[Sales Person],Table1_3[[#This Row],[Sales Person]],Table1_3[Amount],"&lt;=100")&gt;=2,"Contract","Deal")</f>
        <v>Deal</v>
      </c>
    </row>
    <row r="1352" spans="1:7" x14ac:dyDescent="0.3">
      <c r="A1352" t="s">
        <v>22</v>
      </c>
      <c r="B1352" t="s">
        <v>35</v>
      </c>
      <c r="C1352" t="s">
        <v>26</v>
      </c>
      <c r="D1352">
        <v>3024</v>
      </c>
      <c r="E1352">
        <v>23</v>
      </c>
      <c r="F1352" s="1">
        <v>44565</v>
      </c>
      <c r="G1352" t="str">
        <f>IF(COUNTIFS(Table1_3[Country],Table1_3[[#This Row],[Country]],Table1_3[Product],Table1_3[[#This Row],[Product]],Table1_3[Sales Person],Table1_3[[#This Row],[Sales Person]],Table1_3[Amount],"&lt;=100")&gt;=2,"Contract","Deal")</f>
        <v>Deal</v>
      </c>
    </row>
    <row r="1353" spans="1:7" x14ac:dyDescent="0.3">
      <c r="A1353" t="s">
        <v>22</v>
      </c>
      <c r="B1353" t="s">
        <v>35</v>
      </c>
      <c r="C1353" t="s">
        <v>26</v>
      </c>
      <c r="D1353">
        <v>3044.01</v>
      </c>
      <c r="E1353">
        <v>22</v>
      </c>
      <c r="F1353" s="1">
        <v>44930</v>
      </c>
      <c r="G1353" t="str">
        <f>IF(COUNTIFS(Table1_3[Country],Table1_3[[#This Row],[Country]],Table1_3[Product],Table1_3[[#This Row],[Product]],Table1_3[Sales Person],Table1_3[[#This Row],[Sales Person]],Table1_3[Amount],"&lt;=100")&gt;=2,"Contract","Deal")</f>
        <v>Deal</v>
      </c>
    </row>
    <row r="1354" spans="1:7" x14ac:dyDescent="0.3">
      <c r="A1354" t="s">
        <v>22</v>
      </c>
      <c r="B1354" t="s">
        <v>35</v>
      </c>
      <c r="C1354" t="s">
        <v>26</v>
      </c>
      <c r="D1354">
        <v>3615.98</v>
      </c>
      <c r="E1354">
        <v>24</v>
      </c>
      <c r="F1354" s="1">
        <v>45295</v>
      </c>
      <c r="G1354" t="str">
        <f>IF(COUNTIFS(Table1_3[Country],Table1_3[[#This Row],[Country]],Table1_3[Product],Table1_3[[#This Row],[Product]],Table1_3[Sales Person],Table1_3[[#This Row],[Sales Person]],Table1_3[Amount],"&lt;=100")&gt;=2,"Contract","Deal")</f>
        <v>Deal</v>
      </c>
    </row>
    <row r="1355" spans="1:7" x14ac:dyDescent="0.3">
      <c r="A1355" t="s">
        <v>22</v>
      </c>
      <c r="B1355" t="s">
        <v>35</v>
      </c>
      <c r="C1355" t="s">
        <v>23</v>
      </c>
      <c r="D1355">
        <v>2744</v>
      </c>
      <c r="E1355">
        <v>200</v>
      </c>
      <c r="F1355" s="1">
        <v>44777</v>
      </c>
      <c r="G1355" t="str">
        <f>IF(COUNTIFS(Table1_3[Country],Table1_3[[#This Row],[Country]],Table1_3[Product],Table1_3[[#This Row],[Product]],Table1_3[Sales Person],Table1_3[[#This Row],[Sales Person]],Table1_3[Amount],"&lt;=100")&gt;=2,"Contract","Deal")</f>
        <v>Deal</v>
      </c>
    </row>
    <row r="1356" spans="1:7" x14ac:dyDescent="0.3">
      <c r="A1356" t="s">
        <v>22</v>
      </c>
      <c r="B1356" t="s">
        <v>35</v>
      </c>
      <c r="C1356" t="s">
        <v>23</v>
      </c>
      <c r="D1356">
        <v>3125.34</v>
      </c>
      <c r="E1356">
        <v>191</v>
      </c>
      <c r="F1356" s="1">
        <v>45142</v>
      </c>
      <c r="G1356" t="str">
        <f>IF(COUNTIFS(Table1_3[Country],Table1_3[[#This Row],[Country]],Table1_3[Product],Table1_3[[#This Row],[Product]],Table1_3[Sales Person],Table1_3[[#This Row],[Sales Person]],Table1_3[Amount],"&lt;=100")&gt;=2,"Contract","Deal")</f>
        <v>Deal</v>
      </c>
    </row>
    <row r="1357" spans="1:7" x14ac:dyDescent="0.3">
      <c r="A1357" t="s">
        <v>22</v>
      </c>
      <c r="B1357" t="s">
        <v>35</v>
      </c>
      <c r="C1357" t="s">
        <v>23</v>
      </c>
      <c r="D1357">
        <v>3038.32</v>
      </c>
      <c r="E1357">
        <v>220</v>
      </c>
      <c r="F1357" s="1">
        <v>45508</v>
      </c>
      <c r="G1357" t="str">
        <f>IF(COUNTIFS(Table1_3[Country],Table1_3[[#This Row],[Country]],Table1_3[Product],Table1_3[[#This Row],[Product]],Table1_3[Sales Person],Table1_3[[#This Row],[Sales Person]],Table1_3[Amount],"&lt;=100")&gt;=2,"Contract","Deal")</f>
        <v>Deal</v>
      </c>
    </row>
    <row r="1358" spans="1:7" x14ac:dyDescent="0.3">
      <c r="A1358" t="s">
        <v>22</v>
      </c>
      <c r="B1358" t="s">
        <v>35</v>
      </c>
      <c r="C1358" t="s">
        <v>65</v>
      </c>
      <c r="D1358">
        <v>1309</v>
      </c>
      <c r="E1358">
        <v>30</v>
      </c>
      <c r="F1358" s="1">
        <v>44770</v>
      </c>
      <c r="G1358" t="str">
        <f>IF(COUNTIFS(Table1_3[Country],Table1_3[[#This Row],[Country]],Table1_3[Product],Table1_3[[#This Row],[Product]],Table1_3[Sales Person],Table1_3[[#This Row],[Sales Person]],Table1_3[Amount],"&lt;=100")&gt;=2,"Contract","Deal")</f>
        <v>Deal</v>
      </c>
    </row>
    <row r="1359" spans="1:7" x14ac:dyDescent="0.3">
      <c r="A1359" t="s">
        <v>22</v>
      </c>
      <c r="B1359" t="s">
        <v>35</v>
      </c>
      <c r="C1359" t="s">
        <v>65</v>
      </c>
      <c r="D1359">
        <v>1308.52</v>
      </c>
      <c r="E1359">
        <v>30</v>
      </c>
      <c r="F1359" s="1">
        <v>45135</v>
      </c>
      <c r="G1359" t="str">
        <f>IF(COUNTIFS(Table1_3[Country],Table1_3[[#This Row],[Country]],Table1_3[Product],Table1_3[[#This Row],[Product]],Table1_3[Sales Person],Table1_3[[#This Row],[Sales Person]],Table1_3[Amount],"&lt;=100")&gt;=2,"Contract","Deal")</f>
        <v>Deal</v>
      </c>
    </row>
    <row r="1360" spans="1:7" x14ac:dyDescent="0.3">
      <c r="A1360" t="s">
        <v>22</v>
      </c>
      <c r="B1360" t="s">
        <v>35</v>
      </c>
      <c r="C1360" t="s">
        <v>65</v>
      </c>
      <c r="D1360">
        <v>1469.24</v>
      </c>
      <c r="E1360">
        <v>29</v>
      </c>
      <c r="F1360" s="1">
        <v>45501</v>
      </c>
      <c r="G1360" t="str">
        <f>IF(COUNTIFS(Table1_3[Country],Table1_3[[#This Row],[Country]],Table1_3[Product],Table1_3[[#This Row],[Product]],Table1_3[Sales Person],Table1_3[[#This Row],[Sales Person]],Table1_3[Amount],"&lt;=100")&gt;=2,"Contract","Deal")</f>
        <v>Deal</v>
      </c>
    </row>
    <row r="1361" spans="1:7" x14ac:dyDescent="0.3">
      <c r="A1361" t="s">
        <v>22</v>
      </c>
      <c r="B1361" t="s">
        <v>35</v>
      </c>
      <c r="C1361" t="s">
        <v>57</v>
      </c>
      <c r="D1361">
        <v>13888</v>
      </c>
      <c r="E1361">
        <v>203</v>
      </c>
      <c r="F1361" s="1">
        <v>44644</v>
      </c>
      <c r="G1361" t="str">
        <f>IF(COUNTIFS(Table1_3[Country],Table1_3[[#This Row],[Country]],Table1_3[Product],Table1_3[[#This Row],[Product]],Table1_3[Sales Person],Table1_3[[#This Row],[Sales Person]],Table1_3[Amount],"&lt;=100")&gt;=2,"Contract","Deal")</f>
        <v>Deal</v>
      </c>
    </row>
    <row r="1362" spans="1:7" x14ac:dyDescent="0.3">
      <c r="A1362" t="s">
        <v>22</v>
      </c>
      <c r="B1362" t="s">
        <v>35</v>
      </c>
      <c r="C1362" t="s">
        <v>57</v>
      </c>
      <c r="D1362">
        <v>15840.74</v>
      </c>
      <c r="E1362">
        <v>216</v>
      </c>
      <c r="F1362" s="1">
        <v>45009</v>
      </c>
      <c r="G1362" t="str">
        <f>IF(COUNTIFS(Table1_3[Country],Table1_3[[#This Row],[Country]],Table1_3[Product],Table1_3[[#This Row],[Product]],Table1_3[Sales Person],Table1_3[[#This Row],[Sales Person]],Table1_3[Amount],"&lt;=100")&gt;=2,"Contract","Deal")</f>
        <v>Deal</v>
      </c>
    </row>
    <row r="1363" spans="1:7" x14ac:dyDescent="0.3">
      <c r="A1363" t="s">
        <v>22</v>
      </c>
      <c r="B1363" t="s">
        <v>35</v>
      </c>
      <c r="C1363" t="s">
        <v>57</v>
      </c>
      <c r="D1363">
        <v>14596.37</v>
      </c>
      <c r="E1363">
        <v>196</v>
      </c>
      <c r="F1363" s="1">
        <v>45375</v>
      </c>
      <c r="G1363" t="str">
        <f>IF(COUNTIFS(Table1_3[Country],Table1_3[[#This Row],[Country]],Table1_3[Product],Table1_3[[#This Row],[Product]],Table1_3[Sales Person],Table1_3[[#This Row],[Sales Person]],Table1_3[Amount],"&lt;=100")&gt;=2,"Contract","Deal")</f>
        <v>Deal</v>
      </c>
    </row>
    <row r="1364" spans="1:7" x14ac:dyDescent="0.3">
      <c r="A1364" t="s">
        <v>22</v>
      </c>
      <c r="B1364" t="s">
        <v>35</v>
      </c>
      <c r="C1364" t="s">
        <v>8</v>
      </c>
      <c r="D1364">
        <v>7756</v>
      </c>
      <c r="E1364">
        <v>410</v>
      </c>
      <c r="F1364" s="1">
        <v>44743</v>
      </c>
      <c r="G1364" t="str">
        <f>IF(COUNTIFS(Table1_3[Country],Table1_3[[#This Row],[Country]],Table1_3[Product],Table1_3[[#This Row],[Product]],Table1_3[Sales Person],Table1_3[[#This Row],[Sales Person]],Table1_3[Amount],"&lt;=100")&gt;=2,"Contract","Deal")</f>
        <v>Deal</v>
      </c>
    </row>
    <row r="1365" spans="1:7" x14ac:dyDescent="0.3">
      <c r="A1365" t="s">
        <v>22</v>
      </c>
      <c r="B1365" t="s">
        <v>35</v>
      </c>
      <c r="C1365" t="s">
        <v>8</v>
      </c>
      <c r="D1365">
        <v>8829.77</v>
      </c>
      <c r="E1365">
        <v>445</v>
      </c>
      <c r="F1365" s="1">
        <v>45108</v>
      </c>
      <c r="G1365" t="str">
        <f>IF(COUNTIFS(Table1_3[Country],Table1_3[[#This Row],[Country]],Table1_3[Product],Table1_3[[#This Row],[Product]],Table1_3[Sales Person],Table1_3[[#This Row],[Sales Person]],Table1_3[Amount],"&lt;=100")&gt;=2,"Contract","Deal")</f>
        <v>Deal</v>
      </c>
    </row>
    <row r="1366" spans="1:7" x14ac:dyDescent="0.3">
      <c r="A1366" t="s">
        <v>22</v>
      </c>
      <c r="B1366" t="s">
        <v>35</v>
      </c>
      <c r="C1366" t="s">
        <v>8</v>
      </c>
      <c r="D1366">
        <v>8936.91</v>
      </c>
      <c r="E1366">
        <v>442</v>
      </c>
      <c r="F1366" s="1">
        <v>45474</v>
      </c>
      <c r="G1366" t="str">
        <f>IF(COUNTIFS(Table1_3[Country],Table1_3[[#This Row],[Country]],Table1_3[Product],Table1_3[[#This Row],[Product]],Table1_3[Sales Person],Table1_3[[#This Row],[Sales Person]],Table1_3[Amount],"&lt;=100")&gt;=2,"Contract","Deal")</f>
        <v>Deal</v>
      </c>
    </row>
    <row r="1367" spans="1:7" x14ac:dyDescent="0.3">
      <c r="A1367" t="s">
        <v>22</v>
      </c>
      <c r="B1367" t="s">
        <v>35</v>
      </c>
      <c r="C1367" t="s">
        <v>73</v>
      </c>
      <c r="D1367">
        <v>2058</v>
      </c>
      <c r="E1367">
        <v>126</v>
      </c>
      <c r="F1367" s="1">
        <v>44735</v>
      </c>
      <c r="G1367" t="str">
        <f>IF(COUNTIFS(Table1_3[Country],Table1_3[[#This Row],[Country]],Table1_3[Product],Table1_3[[#This Row],[Product]],Table1_3[Sales Person],Table1_3[[#This Row],[Sales Person]],Table1_3[Amount],"&lt;=100")&gt;=2,"Contract","Deal")</f>
        <v>Deal</v>
      </c>
    </row>
    <row r="1368" spans="1:7" x14ac:dyDescent="0.3">
      <c r="A1368" t="s">
        <v>22</v>
      </c>
      <c r="B1368" t="s">
        <v>35</v>
      </c>
      <c r="C1368" t="s">
        <v>73</v>
      </c>
      <c r="D1368">
        <v>2375.7399999999998</v>
      </c>
      <c r="E1368">
        <v>129</v>
      </c>
      <c r="F1368" s="1">
        <v>45100</v>
      </c>
      <c r="G1368" t="str">
        <f>IF(COUNTIFS(Table1_3[Country],Table1_3[[#This Row],[Country]],Table1_3[Product],Table1_3[[#This Row],[Product]],Table1_3[Sales Person],Table1_3[[#This Row],[Sales Person]],Table1_3[Amount],"&lt;=100")&gt;=2,"Contract","Deal")</f>
        <v>Deal</v>
      </c>
    </row>
    <row r="1369" spans="1:7" x14ac:dyDescent="0.3">
      <c r="A1369" t="s">
        <v>22</v>
      </c>
      <c r="B1369" t="s">
        <v>35</v>
      </c>
      <c r="C1369" t="s">
        <v>73</v>
      </c>
      <c r="D1369">
        <v>2223.4899999999998</v>
      </c>
      <c r="E1369">
        <v>127</v>
      </c>
      <c r="F1369" s="1">
        <v>45466</v>
      </c>
      <c r="G1369" t="str">
        <f>IF(COUNTIFS(Table1_3[Country],Table1_3[[#This Row],[Country]],Table1_3[Product],Table1_3[[#This Row],[Product]],Table1_3[Sales Person],Table1_3[[#This Row],[Sales Person]],Table1_3[Amount],"&lt;=100")&gt;=2,"Contract","Deal")</f>
        <v>Deal</v>
      </c>
    </row>
    <row r="1370" spans="1:7" x14ac:dyDescent="0.3">
      <c r="A1370" t="s">
        <v>22</v>
      </c>
      <c r="B1370" t="s">
        <v>35</v>
      </c>
      <c r="C1370" t="s">
        <v>50</v>
      </c>
      <c r="D1370">
        <v>13405</v>
      </c>
      <c r="E1370">
        <v>12</v>
      </c>
      <c r="F1370" s="1">
        <v>44656</v>
      </c>
      <c r="G1370" t="str">
        <f>IF(COUNTIFS(Table1_3[Country],Table1_3[[#This Row],[Country]],Table1_3[Product],Table1_3[[#This Row],[Product]],Table1_3[Sales Person],Table1_3[[#This Row],[Sales Person]],Table1_3[Amount],"&lt;=100")&gt;=2,"Contract","Deal")</f>
        <v>Deal</v>
      </c>
    </row>
    <row r="1371" spans="1:7" x14ac:dyDescent="0.3">
      <c r="A1371" t="s">
        <v>22</v>
      </c>
      <c r="B1371" t="s">
        <v>35</v>
      </c>
      <c r="C1371" t="s">
        <v>50</v>
      </c>
      <c r="D1371">
        <v>14887.76</v>
      </c>
      <c r="E1371">
        <v>12</v>
      </c>
      <c r="F1371" s="1">
        <v>45021</v>
      </c>
      <c r="G1371" t="str">
        <f>IF(COUNTIFS(Table1_3[Country],Table1_3[[#This Row],[Country]],Table1_3[Product],Table1_3[[#This Row],[Product]],Table1_3[Sales Person],Table1_3[[#This Row],[Sales Person]],Table1_3[Amount],"&lt;=100")&gt;=2,"Contract","Deal")</f>
        <v>Deal</v>
      </c>
    </row>
    <row r="1372" spans="1:7" x14ac:dyDescent="0.3">
      <c r="A1372" t="s">
        <v>22</v>
      </c>
      <c r="B1372" t="s">
        <v>35</v>
      </c>
      <c r="C1372" t="s">
        <v>50</v>
      </c>
      <c r="D1372">
        <v>14603.41</v>
      </c>
      <c r="E1372">
        <v>12</v>
      </c>
      <c r="F1372" s="1">
        <v>45387</v>
      </c>
      <c r="G1372" t="str">
        <f>IF(COUNTIFS(Table1_3[Country],Table1_3[[#This Row],[Country]],Table1_3[Product],Table1_3[[#This Row],[Product]],Table1_3[Sales Person],Table1_3[[#This Row],[Sales Person]],Table1_3[Amount],"&lt;=100")&gt;=2,"Contract","Deal")</f>
        <v>Deal</v>
      </c>
    </row>
    <row r="1373" spans="1:7" x14ac:dyDescent="0.3">
      <c r="A1373" t="s">
        <v>22</v>
      </c>
      <c r="B1373" t="s">
        <v>35</v>
      </c>
      <c r="C1373" t="s">
        <v>59</v>
      </c>
      <c r="D1373">
        <v>7560</v>
      </c>
      <c r="E1373">
        <v>15</v>
      </c>
      <c r="F1373" s="1">
        <v>44784</v>
      </c>
      <c r="G1373" t="str">
        <f>IF(COUNTIFS(Table1_3[Country],Table1_3[[#This Row],[Country]],Table1_3[Product],Table1_3[[#This Row],[Product]],Table1_3[Sales Person],Table1_3[[#This Row],[Sales Person]],Table1_3[Amount],"&lt;=100")&gt;=2,"Contract","Deal")</f>
        <v>Deal</v>
      </c>
    </row>
    <row r="1374" spans="1:7" x14ac:dyDescent="0.3">
      <c r="A1374" t="s">
        <v>22</v>
      </c>
      <c r="B1374" t="s">
        <v>35</v>
      </c>
      <c r="C1374" t="s">
        <v>59</v>
      </c>
      <c r="D1374">
        <v>7685.42</v>
      </c>
      <c r="E1374">
        <v>15</v>
      </c>
      <c r="F1374" s="1">
        <v>45149</v>
      </c>
      <c r="G1374" t="str">
        <f>IF(COUNTIFS(Table1_3[Country],Table1_3[[#This Row],[Country]],Table1_3[Product],Table1_3[[#This Row],[Product]],Table1_3[Sales Person],Table1_3[[#This Row],[Sales Person]],Table1_3[Amount],"&lt;=100")&gt;=2,"Contract","Deal")</f>
        <v>Deal</v>
      </c>
    </row>
    <row r="1375" spans="1:7" x14ac:dyDescent="0.3">
      <c r="A1375" t="s">
        <v>22</v>
      </c>
      <c r="B1375" t="s">
        <v>35</v>
      </c>
      <c r="C1375" t="s">
        <v>59</v>
      </c>
      <c r="D1375">
        <v>8578.4</v>
      </c>
      <c r="E1375">
        <v>15</v>
      </c>
      <c r="F1375" s="1">
        <v>45515</v>
      </c>
      <c r="G1375" t="str">
        <f>IF(COUNTIFS(Table1_3[Country],Table1_3[[#This Row],[Country]],Table1_3[Product],Table1_3[[#This Row],[Product]],Table1_3[Sales Person],Table1_3[[#This Row],[Sales Person]],Table1_3[Amount],"&lt;=100")&gt;=2,"Contract","Deal")</f>
        <v>Deal</v>
      </c>
    </row>
    <row r="1376" spans="1:7" x14ac:dyDescent="0.3">
      <c r="A1376" t="s">
        <v>22</v>
      </c>
      <c r="B1376" t="s">
        <v>10</v>
      </c>
      <c r="C1376" t="s">
        <v>26</v>
      </c>
      <c r="D1376">
        <v>12992</v>
      </c>
      <c r="E1376">
        <v>83</v>
      </c>
      <c r="F1376" s="1">
        <v>44782</v>
      </c>
      <c r="G1376" t="str">
        <f>IF(COUNTIFS(Table1_3[Country],Table1_3[[#This Row],[Country]],Table1_3[Product],Table1_3[[#This Row],[Product]],Table1_3[Sales Person],Table1_3[[#This Row],[Sales Person]],Table1_3[Amount],"&lt;=100")&gt;=2,"Contract","Deal")</f>
        <v>Deal</v>
      </c>
    </row>
    <row r="1377" spans="1:7" x14ac:dyDescent="0.3">
      <c r="A1377" t="s">
        <v>22</v>
      </c>
      <c r="B1377" t="s">
        <v>10</v>
      </c>
      <c r="C1377" t="s">
        <v>26</v>
      </c>
      <c r="D1377">
        <v>14456.14</v>
      </c>
      <c r="E1377">
        <v>79</v>
      </c>
      <c r="F1377" s="1">
        <v>45147</v>
      </c>
      <c r="G1377" t="str">
        <f>IF(COUNTIFS(Table1_3[Country],Table1_3[[#This Row],[Country]],Table1_3[Product],Table1_3[[#This Row],[Product]],Table1_3[Sales Person],Table1_3[[#This Row],[Sales Person]],Table1_3[Amount],"&lt;=100")&gt;=2,"Contract","Deal")</f>
        <v>Deal</v>
      </c>
    </row>
    <row r="1378" spans="1:7" x14ac:dyDescent="0.3">
      <c r="A1378" t="s">
        <v>22</v>
      </c>
      <c r="B1378" t="s">
        <v>10</v>
      </c>
      <c r="C1378" t="s">
        <v>26</v>
      </c>
      <c r="D1378">
        <v>13731.44</v>
      </c>
      <c r="E1378">
        <v>82</v>
      </c>
      <c r="F1378" s="1">
        <v>45513</v>
      </c>
      <c r="G1378" t="str">
        <f>IF(COUNTIFS(Table1_3[Country],Table1_3[[#This Row],[Country]],Table1_3[Product],Table1_3[[#This Row],[Product]],Table1_3[Sales Person],Table1_3[[#This Row],[Sales Person]],Table1_3[Amount],"&lt;=100")&gt;=2,"Contract","Deal")</f>
        <v>Deal</v>
      </c>
    </row>
    <row r="1379" spans="1:7" x14ac:dyDescent="0.3">
      <c r="A1379" t="s">
        <v>22</v>
      </c>
      <c r="B1379" t="s">
        <v>10</v>
      </c>
      <c r="C1379" t="s">
        <v>87</v>
      </c>
      <c r="D1379">
        <v>2191</v>
      </c>
      <c r="E1379">
        <v>524</v>
      </c>
      <c r="F1379" s="1">
        <v>44638</v>
      </c>
      <c r="G1379" t="str">
        <f>IF(COUNTIFS(Table1_3[Country],Table1_3[[#This Row],[Country]],Table1_3[Product],Table1_3[[#This Row],[Product]],Table1_3[Sales Person],Table1_3[[#This Row],[Sales Person]],Table1_3[Amount],"&lt;=100")&gt;=2,"Contract","Deal")</f>
        <v>Deal</v>
      </c>
    </row>
    <row r="1380" spans="1:7" x14ac:dyDescent="0.3">
      <c r="A1380" t="s">
        <v>22</v>
      </c>
      <c r="B1380" t="s">
        <v>10</v>
      </c>
      <c r="C1380" t="s">
        <v>87</v>
      </c>
      <c r="D1380">
        <v>2385.4</v>
      </c>
      <c r="E1380">
        <v>540</v>
      </c>
      <c r="F1380" s="1">
        <v>45003</v>
      </c>
      <c r="G1380" t="str">
        <f>IF(COUNTIFS(Table1_3[Country],Table1_3[[#This Row],[Country]],Table1_3[Product],Table1_3[[#This Row],[Product]],Table1_3[Sales Person],Table1_3[[#This Row],[Sales Person]],Table1_3[Amount],"&lt;=100")&gt;=2,"Contract","Deal")</f>
        <v>Deal</v>
      </c>
    </row>
    <row r="1381" spans="1:7" x14ac:dyDescent="0.3">
      <c r="A1381" t="s">
        <v>22</v>
      </c>
      <c r="B1381" t="s">
        <v>10</v>
      </c>
      <c r="C1381" t="s">
        <v>87</v>
      </c>
      <c r="D1381">
        <v>2432.75</v>
      </c>
      <c r="E1381">
        <v>535</v>
      </c>
      <c r="F1381" s="1">
        <v>45369</v>
      </c>
      <c r="G1381" t="str">
        <f>IF(COUNTIFS(Table1_3[Country],Table1_3[[#This Row],[Country]],Table1_3[Product],Table1_3[[#This Row],[Product]],Table1_3[Sales Person],Table1_3[[#This Row],[Sales Person]],Table1_3[Amount],"&lt;=100")&gt;=2,"Contract","Deal")</f>
        <v>Deal</v>
      </c>
    </row>
    <row r="1382" spans="1:7" x14ac:dyDescent="0.3">
      <c r="A1382" t="s">
        <v>22</v>
      </c>
      <c r="B1382" t="s">
        <v>10</v>
      </c>
      <c r="C1382" t="s">
        <v>90</v>
      </c>
      <c r="D1382">
        <v>2471</v>
      </c>
      <c r="E1382">
        <v>202</v>
      </c>
      <c r="F1382" s="1">
        <v>44770</v>
      </c>
      <c r="G1382" t="str">
        <f>IF(COUNTIFS(Table1_3[Country],Table1_3[[#This Row],[Country]],Table1_3[Product],Table1_3[[#This Row],[Product]],Table1_3[Sales Person],Table1_3[[#This Row],[Sales Person]],Table1_3[Amount],"&lt;=100")&gt;=2,"Contract","Deal")</f>
        <v>Deal</v>
      </c>
    </row>
    <row r="1383" spans="1:7" x14ac:dyDescent="0.3">
      <c r="A1383" t="s">
        <v>22</v>
      </c>
      <c r="B1383" t="s">
        <v>10</v>
      </c>
      <c r="C1383" t="s">
        <v>90</v>
      </c>
      <c r="D1383">
        <v>2706.83</v>
      </c>
      <c r="E1383">
        <v>198</v>
      </c>
      <c r="F1383" s="1">
        <v>45135</v>
      </c>
      <c r="G1383" t="str">
        <f>IF(COUNTIFS(Table1_3[Country],Table1_3[[#This Row],[Country]],Table1_3[Product],Table1_3[[#This Row],[Product]],Table1_3[Sales Person],Table1_3[[#This Row],[Sales Person]],Table1_3[Amount],"&lt;=100")&gt;=2,"Contract","Deal")</f>
        <v>Deal</v>
      </c>
    </row>
    <row r="1384" spans="1:7" x14ac:dyDescent="0.3">
      <c r="A1384" t="s">
        <v>22</v>
      </c>
      <c r="B1384" t="s">
        <v>10</v>
      </c>
      <c r="C1384" t="s">
        <v>90</v>
      </c>
      <c r="D1384">
        <v>2941.72</v>
      </c>
      <c r="E1384">
        <v>220</v>
      </c>
      <c r="F1384" s="1">
        <v>45501</v>
      </c>
      <c r="G1384" t="str">
        <f>IF(COUNTIFS(Table1_3[Country],Table1_3[[#This Row],[Country]],Table1_3[Product],Table1_3[[#This Row],[Product]],Table1_3[Sales Person],Table1_3[[#This Row],[Sales Person]],Table1_3[Amount],"&lt;=100")&gt;=2,"Contract","Deal")</f>
        <v>Deal</v>
      </c>
    </row>
    <row r="1385" spans="1:7" x14ac:dyDescent="0.3">
      <c r="A1385" t="s">
        <v>22</v>
      </c>
      <c r="B1385" t="s">
        <v>10</v>
      </c>
      <c r="C1385" t="s">
        <v>8</v>
      </c>
      <c r="D1385">
        <v>4256</v>
      </c>
      <c r="E1385">
        <v>67</v>
      </c>
      <c r="F1385" s="1">
        <v>44781</v>
      </c>
      <c r="G1385" t="str">
        <f>IF(COUNTIFS(Table1_3[Country],Table1_3[[#This Row],[Country]],Table1_3[Product],Table1_3[[#This Row],[Product]],Table1_3[Sales Person],Table1_3[[#This Row],[Sales Person]],Table1_3[Amount],"&lt;=100")&gt;=2,"Contract","Deal")</f>
        <v>Deal</v>
      </c>
    </row>
    <row r="1386" spans="1:7" x14ac:dyDescent="0.3">
      <c r="A1386" t="s">
        <v>22</v>
      </c>
      <c r="B1386" t="s">
        <v>10</v>
      </c>
      <c r="C1386" t="s">
        <v>8</v>
      </c>
      <c r="D1386">
        <v>4451.38</v>
      </c>
      <c r="E1386">
        <v>71</v>
      </c>
      <c r="F1386" s="1">
        <v>45146</v>
      </c>
      <c r="G1386" t="str">
        <f>IF(COUNTIFS(Table1_3[Country],Table1_3[[#This Row],[Country]],Table1_3[Product],Table1_3[[#This Row],[Product]],Table1_3[Sales Person],Table1_3[[#This Row],[Sales Person]],Table1_3[Amount],"&lt;=100")&gt;=2,"Contract","Deal")</f>
        <v>Deal</v>
      </c>
    </row>
    <row r="1387" spans="1:7" x14ac:dyDescent="0.3">
      <c r="A1387" t="s">
        <v>22</v>
      </c>
      <c r="B1387" t="s">
        <v>10</v>
      </c>
      <c r="C1387" t="s">
        <v>8</v>
      </c>
      <c r="D1387">
        <v>4737.32</v>
      </c>
      <c r="E1387">
        <v>74</v>
      </c>
      <c r="F1387" s="1">
        <v>45512</v>
      </c>
      <c r="G1387" t="str">
        <f>IF(COUNTIFS(Table1_3[Country],Table1_3[[#This Row],[Country]],Table1_3[Product],Table1_3[[#This Row],[Product]],Table1_3[Sales Person],Table1_3[[#This Row],[Sales Person]],Table1_3[Amount],"&lt;=100")&gt;=2,"Contract","Deal")</f>
        <v>Deal</v>
      </c>
    </row>
    <row r="1388" spans="1:7" x14ac:dyDescent="0.3">
      <c r="A1388" t="s">
        <v>22</v>
      </c>
      <c r="B1388" t="s">
        <v>10</v>
      </c>
      <c r="C1388" t="s">
        <v>42</v>
      </c>
      <c r="D1388">
        <v>7196</v>
      </c>
      <c r="E1388">
        <v>160</v>
      </c>
      <c r="F1388" s="1">
        <v>44715</v>
      </c>
      <c r="G1388" t="str">
        <f>IF(COUNTIFS(Table1_3[Country],Table1_3[[#This Row],[Country]],Table1_3[Product],Table1_3[[#This Row],[Product]],Table1_3[Sales Person],Table1_3[[#This Row],[Sales Person]],Table1_3[Amount],"&lt;=100")&gt;=2,"Contract","Deal")</f>
        <v>Deal</v>
      </c>
    </row>
    <row r="1389" spans="1:7" x14ac:dyDescent="0.3">
      <c r="A1389" t="s">
        <v>22</v>
      </c>
      <c r="B1389" t="s">
        <v>10</v>
      </c>
      <c r="C1389" t="s">
        <v>42</v>
      </c>
      <c r="D1389">
        <v>7302.42</v>
      </c>
      <c r="E1389">
        <v>153</v>
      </c>
      <c r="F1389" s="1">
        <v>45080</v>
      </c>
      <c r="G1389" t="str">
        <f>IF(COUNTIFS(Table1_3[Country],Table1_3[[#This Row],[Country]],Table1_3[Product],Table1_3[[#This Row],[Product]],Table1_3[Sales Person],Table1_3[[#This Row],[Sales Person]],Table1_3[Amount],"&lt;=100")&gt;=2,"Contract","Deal")</f>
        <v>Deal</v>
      </c>
    </row>
    <row r="1390" spans="1:7" x14ac:dyDescent="0.3">
      <c r="A1390" t="s">
        <v>22</v>
      </c>
      <c r="B1390" t="s">
        <v>10</v>
      </c>
      <c r="C1390" t="s">
        <v>42</v>
      </c>
      <c r="D1390">
        <v>8665.99</v>
      </c>
      <c r="E1390">
        <v>162</v>
      </c>
      <c r="F1390" s="1">
        <v>45446</v>
      </c>
      <c r="G1390" t="str">
        <f>IF(COUNTIFS(Table1_3[Country],Table1_3[[#This Row],[Country]],Table1_3[Product],Table1_3[[#This Row],[Product]],Table1_3[Sales Person],Table1_3[[#This Row],[Sales Person]],Table1_3[Amount],"&lt;=100")&gt;=2,"Contract","Deal")</f>
        <v>Deal</v>
      </c>
    </row>
    <row r="1391" spans="1:7" x14ac:dyDescent="0.3">
      <c r="A1391" t="s">
        <v>22</v>
      </c>
      <c r="B1391" t="s">
        <v>10</v>
      </c>
      <c r="C1391" t="s">
        <v>18</v>
      </c>
      <c r="D1391">
        <v>3752</v>
      </c>
      <c r="E1391">
        <v>70</v>
      </c>
      <c r="F1391" s="1">
        <v>44622</v>
      </c>
      <c r="G1391" t="str">
        <f>IF(COUNTIFS(Table1_3[Country],Table1_3[[#This Row],[Country]],Table1_3[Product],Table1_3[[#This Row],[Product]],Table1_3[Sales Person],Table1_3[[#This Row],[Sales Person]],Table1_3[Amount],"&lt;=100")&gt;=2,"Contract","Deal")</f>
        <v>Deal</v>
      </c>
    </row>
    <row r="1392" spans="1:7" x14ac:dyDescent="0.3">
      <c r="A1392" t="s">
        <v>22</v>
      </c>
      <c r="B1392" t="s">
        <v>10</v>
      </c>
      <c r="C1392" t="s">
        <v>18</v>
      </c>
      <c r="D1392">
        <v>3938.2</v>
      </c>
      <c r="E1392">
        <v>70</v>
      </c>
      <c r="F1392" s="1">
        <v>44987</v>
      </c>
      <c r="G1392" t="str">
        <f>IF(COUNTIFS(Table1_3[Country],Table1_3[[#This Row],[Country]],Table1_3[Product],Table1_3[[#This Row],[Product]],Table1_3[Sales Person],Table1_3[[#This Row],[Sales Person]],Table1_3[Amount],"&lt;=100")&gt;=2,"Contract","Deal")</f>
        <v>Deal</v>
      </c>
    </row>
    <row r="1393" spans="1:7" x14ac:dyDescent="0.3">
      <c r="A1393" t="s">
        <v>22</v>
      </c>
      <c r="B1393" t="s">
        <v>10</v>
      </c>
      <c r="C1393" t="s">
        <v>18</v>
      </c>
      <c r="D1393">
        <v>4133.74</v>
      </c>
      <c r="E1393">
        <v>69</v>
      </c>
      <c r="F1393" s="1">
        <v>45353</v>
      </c>
      <c r="G1393" t="str">
        <f>IF(COUNTIFS(Table1_3[Country],Table1_3[[#This Row],[Country]],Table1_3[Product],Table1_3[[#This Row],[Product]],Table1_3[Sales Person],Table1_3[[#This Row],[Sales Person]],Table1_3[Amount],"&lt;=100")&gt;=2,"Contract","Deal")</f>
        <v>Deal</v>
      </c>
    </row>
    <row r="1394" spans="1:7" x14ac:dyDescent="0.3">
      <c r="A1394" t="s">
        <v>22</v>
      </c>
      <c r="B1394" t="s">
        <v>10</v>
      </c>
      <c r="C1394" t="s">
        <v>50</v>
      </c>
      <c r="D1394">
        <v>6510</v>
      </c>
      <c r="E1394">
        <v>170</v>
      </c>
      <c r="F1394" s="1">
        <v>44694</v>
      </c>
      <c r="G1394" t="str">
        <f>IF(COUNTIFS(Table1_3[Country],Table1_3[[#This Row],[Country]],Table1_3[Product],Table1_3[[#This Row],[Product]],Table1_3[Sales Person],Table1_3[[#This Row],[Sales Person]],Table1_3[Amount],"&lt;=100")&gt;=2,"Contract","Deal")</f>
        <v>Deal</v>
      </c>
    </row>
    <row r="1395" spans="1:7" x14ac:dyDescent="0.3">
      <c r="A1395" t="s">
        <v>22</v>
      </c>
      <c r="B1395" t="s">
        <v>10</v>
      </c>
      <c r="C1395" t="s">
        <v>50</v>
      </c>
      <c r="D1395">
        <v>7362.7</v>
      </c>
      <c r="E1395">
        <v>179</v>
      </c>
      <c r="F1395" s="1">
        <v>45059</v>
      </c>
      <c r="G1395" t="str">
        <f>IF(COUNTIFS(Table1_3[Country],Table1_3[[#This Row],[Country]],Table1_3[Product],Table1_3[[#This Row],[Product]],Table1_3[Sales Person],Table1_3[[#This Row],[Sales Person]],Table1_3[Amount],"&lt;=100")&gt;=2,"Contract","Deal")</f>
        <v>Deal</v>
      </c>
    </row>
    <row r="1396" spans="1:7" x14ac:dyDescent="0.3">
      <c r="A1396" t="s">
        <v>22</v>
      </c>
      <c r="B1396" t="s">
        <v>10</v>
      </c>
      <c r="C1396" t="s">
        <v>50</v>
      </c>
      <c r="D1396">
        <v>7117.3</v>
      </c>
      <c r="E1396">
        <v>174</v>
      </c>
      <c r="F1396" s="1">
        <v>45425</v>
      </c>
      <c r="G1396" t="str">
        <f>IF(COUNTIFS(Table1_3[Country],Table1_3[[#This Row],[Country]],Table1_3[Product],Table1_3[[#This Row],[Product]],Table1_3[Sales Person],Table1_3[[#This Row],[Sales Person]],Table1_3[Amount],"&lt;=100")&gt;=2,"Contract","Deal")</f>
        <v>Deal</v>
      </c>
    </row>
    <row r="1397" spans="1:7" x14ac:dyDescent="0.3">
      <c r="A1397" t="s">
        <v>22</v>
      </c>
      <c r="B1397" t="s">
        <v>25</v>
      </c>
      <c r="C1397" t="s">
        <v>23</v>
      </c>
      <c r="D1397">
        <v>7175</v>
      </c>
      <c r="E1397">
        <v>145</v>
      </c>
      <c r="F1397" s="1">
        <v>44782</v>
      </c>
      <c r="G1397" t="str">
        <f>IF(COUNTIFS(Table1_3[Country],Table1_3[[#This Row],[Country]],Table1_3[Product],Table1_3[[#This Row],[Product]],Table1_3[Sales Person],Table1_3[[#This Row],[Sales Person]],Table1_3[Amount],"&lt;=100")&gt;=2,"Contract","Deal")</f>
        <v>Deal</v>
      </c>
    </row>
    <row r="1398" spans="1:7" x14ac:dyDescent="0.3">
      <c r="A1398" t="s">
        <v>22</v>
      </c>
      <c r="B1398" t="s">
        <v>25</v>
      </c>
      <c r="C1398" t="s">
        <v>23</v>
      </c>
      <c r="D1398">
        <v>7772.63</v>
      </c>
      <c r="E1398">
        <v>140</v>
      </c>
      <c r="F1398" s="1">
        <v>45147</v>
      </c>
      <c r="G1398" t="str">
        <f>IF(COUNTIFS(Table1_3[Country],Table1_3[[#This Row],[Country]],Table1_3[Product],Table1_3[[#This Row],[Product]],Table1_3[Sales Person],Table1_3[[#This Row],[Sales Person]],Table1_3[Amount],"&lt;=100")&gt;=2,"Contract","Deal")</f>
        <v>Deal</v>
      </c>
    </row>
    <row r="1399" spans="1:7" x14ac:dyDescent="0.3">
      <c r="A1399" t="s">
        <v>22</v>
      </c>
      <c r="B1399" t="s">
        <v>25</v>
      </c>
      <c r="C1399" t="s">
        <v>23</v>
      </c>
      <c r="D1399">
        <v>7605.55</v>
      </c>
      <c r="E1399">
        <v>154</v>
      </c>
      <c r="F1399" s="1">
        <v>45513</v>
      </c>
      <c r="G1399" t="str">
        <f>IF(COUNTIFS(Table1_3[Country],Table1_3[[#This Row],[Country]],Table1_3[Product],Table1_3[[#This Row],[Product]],Table1_3[Sales Person],Table1_3[[#This Row],[Sales Person]],Table1_3[Amount],"&lt;=100")&gt;=2,"Contract","Deal")</f>
        <v>Deal</v>
      </c>
    </row>
    <row r="1400" spans="1:7" x14ac:dyDescent="0.3">
      <c r="A1400" t="s">
        <v>22</v>
      </c>
      <c r="B1400" t="s">
        <v>25</v>
      </c>
      <c r="C1400" t="s">
        <v>65</v>
      </c>
      <c r="D1400">
        <v>5173</v>
      </c>
      <c r="E1400">
        <v>129</v>
      </c>
      <c r="F1400" s="1">
        <v>44566</v>
      </c>
      <c r="G1400" t="str">
        <f>IF(COUNTIFS(Table1_3[Country],Table1_3[[#This Row],[Country]],Table1_3[Product],Table1_3[[#This Row],[Product]],Table1_3[Sales Person],Table1_3[[#This Row],[Sales Person]],Table1_3[Amount],"&lt;=100")&gt;=2,"Contract","Deal")</f>
        <v>Deal</v>
      </c>
    </row>
    <row r="1401" spans="1:7" x14ac:dyDescent="0.3">
      <c r="A1401" t="s">
        <v>22</v>
      </c>
      <c r="B1401" t="s">
        <v>25</v>
      </c>
      <c r="C1401" t="s">
        <v>65</v>
      </c>
      <c r="D1401">
        <v>5752.62</v>
      </c>
      <c r="E1401">
        <v>125</v>
      </c>
      <c r="F1401" s="1">
        <v>44931</v>
      </c>
      <c r="G1401" t="str">
        <f>IF(COUNTIFS(Table1_3[Country],Table1_3[[#This Row],[Country]],Table1_3[Product],Table1_3[[#This Row],[Product]],Table1_3[Sales Person],Table1_3[[#This Row],[Sales Person]],Table1_3[Amount],"&lt;=100")&gt;=2,"Contract","Deal")</f>
        <v>Deal</v>
      </c>
    </row>
    <row r="1402" spans="1:7" x14ac:dyDescent="0.3">
      <c r="A1402" t="s">
        <v>22</v>
      </c>
      <c r="B1402" t="s">
        <v>25</v>
      </c>
      <c r="C1402" t="s">
        <v>65</v>
      </c>
      <c r="D1402">
        <v>6015.37</v>
      </c>
      <c r="E1402">
        <v>136</v>
      </c>
      <c r="F1402" s="1">
        <v>45296</v>
      </c>
      <c r="G1402" t="str">
        <f>IF(COUNTIFS(Table1_3[Country],Table1_3[[#This Row],[Country]],Table1_3[Product],Table1_3[[#This Row],[Product]],Table1_3[Sales Person],Table1_3[[#This Row],[Sales Person]],Table1_3[Amount],"&lt;=100")&gt;=2,"Contract","Deal")</f>
        <v>Deal</v>
      </c>
    </row>
    <row r="1403" spans="1:7" x14ac:dyDescent="0.3">
      <c r="A1403" t="s">
        <v>22</v>
      </c>
      <c r="B1403" t="s">
        <v>25</v>
      </c>
      <c r="C1403" t="s">
        <v>75</v>
      </c>
      <c r="D1403">
        <v>13062</v>
      </c>
      <c r="E1403">
        <v>62</v>
      </c>
      <c r="F1403" s="1">
        <v>44774</v>
      </c>
      <c r="G1403" t="str">
        <f>IF(COUNTIFS(Table1_3[Country],Table1_3[[#This Row],[Country]],Table1_3[Product],Table1_3[[#This Row],[Product]],Table1_3[Sales Person],Table1_3[[#This Row],[Sales Person]],Table1_3[Amount],"&lt;=100")&gt;=2,"Contract","Deal")</f>
        <v>Deal</v>
      </c>
    </row>
    <row r="1404" spans="1:7" x14ac:dyDescent="0.3">
      <c r="A1404" t="s">
        <v>22</v>
      </c>
      <c r="B1404" t="s">
        <v>25</v>
      </c>
      <c r="C1404" t="s">
        <v>75</v>
      </c>
      <c r="D1404">
        <v>13998.33</v>
      </c>
      <c r="E1404">
        <v>60</v>
      </c>
      <c r="F1404" s="1">
        <v>45139</v>
      </c>
      <c r="G1404" t="str">
        <f>IF(COUNTIFS(Table1_3[Country],Table1_3[[#This Row],[Country]],Table1_3[Product],Table1_3[[#This Row],[Product]],Table1_3[Sales Person],Table1_3[[#This Row],[Sales Person]],Table1_3[Amount],"&lt;=100")&gt;=2,"Contract","Deal")</f>
        <v>Deal</v>
      </c>
    </row>
    <row r="1405" spans="1:7" x14ac:dyDescent="0.3">
      <c r="A1405" t="s">
        <v>22</v>
      </c>
      <c r="B1405" t="s">
        <v>25</v>
      </c>
      <c r="C1405" t="s">
        <v>75</v>
      </c>
      <c r="D1405">
        <v>14722.35</v>
      </c>
      <c r="E1405">
        <v>61</v>
      </c>
      <c r="F1405" s="1">
        <v>45505</v>
      </c>
      <c r="G1405" t="str">
        <f>IF(COUNTIFS(Table1_3[Country],Table1_3[[#This Row],[Country]],Table1_3[Product],Table1_3[[#This Row],[Product]],Table1_3[Sales Person],Table1_3[[#This Row],[Sales Person]],Table1_3[Amount],"&lt;=100")&gt;=2,"Contract","Deal")</f>
        <v>Deal</v>
      </c>
    </row>
    <row r="1406" spans="1:7" x14ac:dyDescent="0.3">
      <c r="A1406" t="s">
        <v>22</v>
      </c>
      <c r="B1406" t="s">
        <v>25</v>
      </c>
      <c r="C1406" t="s">
        <v>57</v>
      </c>
      <c r="D1406">
        <v>9205</v>
      </c>
      <c r="E1406">
        <v>419</v>
      </c>
      <c r="F1406" s="1">
        <v>44722</v>
      </c>
      <c r="G1406" t="str">
        <f>IF(COUNTIFS(Table1_3[Country],Table1_3[[#This Row],[Country]],Table1_3[Product],Table1_3[[#This Row],[Product]],Table1_3[Sales Person],Table1_3[[#This Row],[Sales Person]],Table1_3[Amount],"&lt;=100")&gt;=2,"Contract","Deal")</f>
        <v>Deal</v>
      </c>
    </row>
    <row r="1407" spans="1:7" x14ac:dyDescent="0.3">
      <c r="A1407" t="s">
        <v>22</v>
      </c>
      <c r="B1407" t="s">
        <v>25</v>
      </c>
      <c r="C1407" t="s">
        <v>57</v>
      </c>
      <c r="D1407">
        <v>10454.549999999999</v>
      </c>
      <c r="E1407">
        <v>434</v>
      </c>
      <c r="F1407" s="1">
        <v>45087</v>
      </c>
      <c r="G1407" t="str">
        <f>IF(COUNTIFS(Table1_3[Country],Table1_3[[#This Row],[Country]],Table1_3[Product],Table1_3[[#This Row],[Product]],Table1_3[Sales Person],Table1_3[[#This Row],[Sales Person]],Table1_3[Amount],"&lt;=100")&gt;=2,"Contract","Deal")</f>
        <v>Deal</v>
      </c>
    </row>
    <row r="1408" spans="1:7" x14ac:dyDescent="0.3">
      <c r="A1408" t="s">
        <v>22</v>
      </c>
      <c r="B1408" t="s">
        <v>25</v>
      </c>
      <c r="C1408" t="s">
        <v>57</v>
      </c>
      <c r="D1408">
        <v>9759.5300000000007</v>
      </c>
      <c r="E1408">
        <v>424</v>
      </c>
      <c r="F1408" s="1">
        <v>45453</v>
      </c>
      <c r="G1408" t="str">
        <f>IF(COUNTIFS(Table1_3[Country],Table1_3[[#This Row],[Country]],Table1_3[Product],Table1_3[[#This Row],[Product]],Table1_3[Sales Person],Table1_3[[#This Row],[Sales Person]],Table1_3[Amount],"&lt;=100")&gt;=2,"Contract","Deal")</f>
        <v>Deal</v>
      </c>
    </row>
    <row r="1409" spans="1:7" x14ac:dyDescent="0.3">
      <c r="A1409" t="s">
        <v>22</v>
      </c>
      <c r="B1409" t="s">
        <v>25</v>
      </c>
      <c r="C1409" t="s">
        <v>73</v>
      </c>
      <c r="D1409">
        <v>630</v>
      </c>
      <c r="E1409">
        <v>52</v>
      </c>
      <c r="F1409" s="1">
        <v>44797</v>
      </c>
      <c r="G1409" t="str">
        <f>IF(COUNTIFS(Table1_3[Country],Table1_3[[#This Row],[Country]],Table1_3[Product],Table1_3[[#This Row],[Product]],Table1_3[Sales Person],Table1_3[[#This Row],[Sales Person]],Table1_3[Amount],"&lt;=100")&gt;=2,"Contract","Deal")</f>
        <v>Deal</v>
      </c>
    </row>
    <row r="1410" spans="1:7" x14ac:dyDescent="0.3">
      <c r="A1410" t="s">
        <v>22</v>
      </c>
      <c r="B1410" t="s">
        <v>25</v>
      </c>
      <c r="C1410" t="s">
        <v>73</v>
      </c>
      <c r="D1410">
        <v>727.11</v>
      </c>
      <c r="E1410">
        <v>50</v>
      </c>
      <c r="F1410" s="1">
        <v>45162</v>
      </c>
      <c r="G1410" t="str">
        <f>IF(COUNTIFS(Table1_3[Country],Table1_3[[#This Row],[Country]],Table1_3[Product],Table1_3[[#This Row],[Product]],Table1_3[Sales Person],Table1_3[[#This Row],[Sales Person]],Table1_3[Amount],"&lt;=100")&gt;=2,"Contract","Deal")</f>
        <v>Deal</v>
      </c>
    </row>
    <row r="1411" spans="1:7" x14ac:dyDescent="0.3">
      <c r="A1411" t="s">
        <v>22</v>
      </c>
      <c r="B1411" t="s">
        <v>25</v>
      </c>
      <c r="C1411" t="s">
        <v>73</v>
      </c>
      <c r="D1411">
        <v>758.28</v>
      </c>
      <c r="E1411">
        <v>57</v>
      </c>
      <c r="F1411" s="1">
        <v>45528</v>
      </c>
      <c r="G1411" t="str">
        <f>IF(COUNTIFS(Table1_3[Country],Table1_3[[#This Row],[Country]],Table1_3[Product],Table1_3[[#This Row],[Product]],Table1_3[Sales Person],Table1_3[[#This Row],[Sales Person]],Table1_3[Amount],"&lt;=100")&gt;=2,"Contract","Deal")</f>
        <v>Deal</v>
      </c>
    </row>
    <row r="1412" spans="1:7" x14ac:dyDescent="0.3">
      <c r="A1412" t="s">
        <v>22</v>
      </c>
      <c r="B1412" t="s">
        <v>25</v>
      </c>
      <c r="C1412" t="s">
        <v>50</v>
      </c>
      <c r="D1412">
        <v>6867</v>
      </c>
      <c r="E1412">
        <v>183</v>
      </c>
      <c r="F1412" s="1">
        <v>44740</v>
      </c>
      <c r="G1412" t="str">
        <f>IF(COUNTIFS(Table1_3[Country],Table1_3[[#This Row],[Country]],Table1_3[Product],Table1_3[[#This Row],[Product]],Table1_3[Sales Person],Table1_3[[#This Row],[Sales Person]],Table1_3[Amount],"&lt;=100")&gt;=2,"Contract","Deal")</f>
        <v>Deal</v>
      </c>
    </row>
    <row r="1413" spans="1:7" x14ac:dyDescent="0.3">
      <c r="A1413" t="s">
        <v>22</v>
      </c>
      <c r="B1413" t="s">
        <v>25</v>
      </c>
      <c r="C1413" t="s">
        <v>50</v>
      </c>
      <c r="D1413">
        <v>7265.05</v>
      </c>
      <c r="E1413">
        <v>194</v>
      </c>
      <c r="F1413" s="1">
        <v>45105</v>
      </c>
      <c r="G1413" t="str">
        <f>IF(COUNTIFS(Table1_3[Country],Table1_3[[#This Row],[Country]],Table1_3[Product],Table1_3[[#This Row],[Product]],Table1_3[Sales Person],Table1_3[[#This Row],[Sales Person]],Table1_3[Amount],"&lt;=100")&gt;=2,"Contract","Deal")</f>
        <v>Deal</v>
      </c>
    </row>
    <row r="1414" spans="1:7" x14ac:dyDescent="0.3">
      <c r="A1414" t="s">
        <v>22</v>
      </c>
      <c r="B1414" t="s">
        <v>25</v>
      </c>
      <c r="C1414" t="s">
        <v>50</v>
      </c>
      <c r="D1414">
        <v>7712.91</v>
      </c>
      <c r="E1414">
        <v>192</v>
      </c>
      <c r="F1414" s="1">
        <v>45471</v>
      </c>
      <c r="G1414" t="str">
        <f>IF(COUNTIFS(Table1_3[Country],Table1_3[[#This Row],[Country]],Table1_3[Product],Table1_3[[#This Row],[Product]],Table1_3[Sales Person],Table1_3[[#This Row],[Sales Person]],Table1_3[Amount],"&lt;=100")&gt;=2,"Contract","Deal")</f>
        <v>Deal</v>
      </c>
    </row>
    <row r="1415" spans="1:7" x14ac:dyDescent="0.3">
      <c r="A1415" t="s">
        <v>22</v>
      </c>
      <c r="B1415" t="s">
        <v>7</v>
      </c>
      <c r="C1415" t="s">
        <v>26</v>
      </c>
      <c r="D1415">
        <v>2107</v>
      </c>
      <c r="E1415">
        <v>121</v>
      </c>
      <c r="F1415" s="1">
        <v>44574</v>
      </c>
      <c r="G1415" t="str">
        <f>IF(COUNTIFS(Table1_3[Country],Table1_3[[#This Row],[Country]],Table1_3[Product],Table1_3[[#This Row],[Product]],Table1_3[Sales Person],Table1_3[[#This Row],[Sales Person]],Table1_3[Amount],"&lt;=100")&gt;=2,"Contract","Deal")</f>
        <v>Deal</v>
      </c>
    </row>
    <row r="1416" spans="1:7" x14ac:dyDescent="0.3">
      <c r="A1416" t="s">
        <v>22</v>
      </c>
      <c r="B1416" t="s">
        <v>7</v>
      </c>
      <c r="C1416" t="s">
        <v>26</v>
      </c>
      <c r="D1416">
        <v>2260.21</v>
      </c>
      <c r="E1416">
        <v>128</v>
      </c>
      <c r="F1416" s="1">
        <v>44939</v>
      </c>
      <c r="G1416" t="str">
        <f>IF(COUNTIFS(Table1_3[Country],Table1_3[[#This Row],[Country]],Table1_3[Product],Table1_3[[#This Row],[Product]],Table1_3[Sales Person],Table1_3[[#This Row],[Sales Person]],Table1_3[Amount],"&lt;=100")&gt;=2,"Contract","Deal")</f>
        <v>Deal</v>
      </c>
    </row>
    <row r="1417" spans="1:7" x14ac:dyDescent="0.3">
      <c r="A1417" t="s">
        <v>22</v>
      </c>
      <c r="B1417" t="s">
        <v>7</v>
      </c>
      <c r="C1417" t="s">
        <v>26</v>
      </c>
      <c r="D1417">
        <v>2498.04</v>
      </c>
      <c r="E1417">
        <v>129</v>
      </c>
      <c r="F1417" s="1">
        <v>45304</v>
      </c>
      <c r="G1417" t="str">
        <f>IF(COUNTIFS(Table1_3[Country],Table1_3[[#This Row],[Country]],Table1_3[Product],Table1_3[[#This Row],[Product]],Table1_3[Sales Person],Table1_3[[#This Row],[Sales Person]],Table1_3[Amount],"&lt;=100")&gt;=2,"Contract","Deal")</f>
        <v>Deal</v>
      </c>
    </row>
    <row r="1418" spans="1:7" x14ac:dyDescent="0.3">
      <c r="A1418" t="s">
        <v>22</v>
      </c>
      <c r="B1418" t="s">
        <v>7</v>
      </c>
      <c r="C1418" t="s">
        <v>20</v>
      </c>
      <c r="D1418">
        <v>7</v>
      </c>
      <c r="E1418">
        <v>84</v>
      </c>
      <c r="F1418" s="1">
        <v>44627</v>
      </c>
      <c r="G1418" t="str">
        <f>IF(COUNTIFS(Table1_3[Country],Table1_3[[#This Row],[Country]],Table1_3[Product],Table1_3[[#This Row],[Product]],Table1_3[Sales Person],Table1_3[[#This Row],[Sales Person]],Table1_3[Amount],"&lt;=100")&gt;=2,"Contract","Deal")</f>
        <v>Contract</v>
      </c>
    </row>
    <row r="1419" spans="1:7" x14ac:dyDescent="0.3">
      <c r="A1419" t="s">
        <v>22</v>
      </c>
      <c r="B1419" t="s">
        <v>7</v>
      </c>
      <c r="C1419" t="s">
        <v>20</v>
      </c>
      <c r="D1419">
        <v>8.0399999999999991</v>
      </c>
      <c r="E1419">
        <v>85</v>
      </c>
      <c r="F1419" s="1">
        <v>44992</v>
      </c>
      <c r="G1419" t="str">
        <f>IF(COUNTIFS(Table1_3[Country],Table1_3[[#This Row],[Country]],Table1_3[Product],Table1_3[[#This Row],[Product]],Table1_3[Sales Person],Table1_3[[#This Row],[Sales Person]],Table1_3[Amount],"&lt;=100")&gt;=2,"Contract","Deal")</f>
        <v>Contract</v>
      </c>
    </row>
    <row r="1420" spans="1:7" x14ac:dyDescent="0.3">
      <c r="A1420" t="s">
        <v>22</v>
      </c>
      <c r="B1420" t="s">
        <v>7</v>
      </c>
      <c r="C1420" t="s">
        <v>20</v>
      </c>
      <c r="D1420">
        <v>8.16</v>
      </c>
      <c r="E1420">
        <v>84</v>
      </c>
      <c r="F1420" s="1">
        <v>45358</v>
      </c>
      <c r="G1420" t="str">
        <f>IF(COUNTIFS(Table1_3[Country],Table1_3[[#This Row],[Country]],Table1_3[Product],Table1_3[[#This Row],[Product]],Table1_3[Sales Person],Table1_3[[#This Row],[Sales Person]],Table1_3[Amount],"&lt;=100")&gt;=2,"Contract","Deal")</f>
        <v>Contract</v>
      </c>
    </row>
    <row r="1421" spans="1:7" x14ac:dyDescent="0.3">
      <c r="A1421" t="s">
        <v>22</v>
      </c>
      <c r="B1421" t="s">
        <v>7</v>
      </c>
      <c r="C1421" t="s">
        <v>75</v>
      </c>
      <c r="D1421">
        <v>5775</v>
      </c>
      <c r="E1421">
        <v>135</v>
      </c>
      <c r="F1421" s="1">
        <v>44742</v>
      </c>
      <c r="G1421" t="str">
        <f>IF(COUNTIFS(Table1_3[Country],Table1_3[[#This Row],[Country]],Table1_3[Product],Table1_3[[#This Row],[Product]],Table1_3[Sales Person],Table1_3[[#This Row],[Sales Person]],Table1_3[Amount],"&lt;=100")&gt;=2,"Contract","Deal")</f>
        <v>Deal</v>
      </c>
    </row>
    <row r="1422" spans="1:7" x14ac:dyDescent="0.3">
      <c r="A1422" t="s">
        <v>22</v>
      </c>
      <c r="B1422" t="s">
        <v>7</v>
      </c>
      <c r="C1422" t="s">
        <v>75</v>
      </c>
      <c r="D1422">
        <v>6635.15</v>
      </c>
      <c r="E1422">
        <v>141</v>
      </c>
      <c r="F1422" s="1">
        <v>45107</v>
      </c>
      <c r="G1422" t="str">
        <f>IF(COUNTIFS(Table1_3[Country],Table1_3[[#This Row],[Country]],Table1_3[Product],Table1_3[[#This Row],[Product]],Table1_3[Sales Person],Table1_3[[#This Row],[Sales Person]],Table1_3[Amount],"&lt;=100")&gt;=2,"Contract","Deal")</f>
        <v>Deal</v>
      </c>
    </row>
    <row r="1423" spans="1:7" x14ac:dyDescent="0.3">
      <c r="A1423" t="s">
        <v>22</v>
      </c>
      <c r="B1423" t="s">
        <v>7</v>
      </c>
      <c r="C1423" t="s">
        <v>75</v>
      </c>
      <c r="D1423">
        <v>6154.53</v>
      </c>
      <c r="E1423">
        <v>132</v>
      </c>
      <c r="F1423" s="1">
        <v>45473</v>
      </c>
      <c r="G1423" t="str">
        <f>IF(COUNTIFS(Table1_3[Country],Table1_3[[#This Row],[Country]],Table1_3[Product],Table1_3[[#This Row],[Product]],Table1_3[Sales Person],Table1_3[[#This Row],[Sales Person]],Table1_3[Amount],"&lt;=100")&gt;=2,"Contract","Deal")</f>
        <v>Deal</v>
      </c>
    </row>
    <row r="1424" spans="1:7" x14ac:dyDescent="0.3">
      <c r="A1424" t="s">
        <v>22</v>
      </c>
      <c r="B1424" t="s">
        <v>7</v>
      </c>
      <c r="C1424" t="s">
        <v>36</v>
      </c>
      <c r="D1424">
        <v>3619</v>
      </c>
      <c r="E1424">
        <v>164</v>
      </c>
      <c r="F1424" s="1">
        <v>44664</v>
      </c>
      <c r="G1424" t="str">
        <f>IF(COUNTIFS(Table1_3[Country],Table1_3[[#This Row],[Country]],Table1_3[Product],Table1_3[[#This Row],[Product]],Table1_3[Sales Person],Table1_3[[#This Row],[Sales Person]],Table1_3[Amount],"&lt;=100")&gt;=2,"Contract","Deal")</f>
        <v>Deal</v>
      </c>
    </row>
    <row r="1425" spans="1:7" x14ac:dyDescent="0.3">
      <c r="A1425" t="s">
        <v>22</v>
      </c>
      <c r="B1425" t="s">
        <v>7</v>
      </c>
      <c r="C1425" t="s">
        <v>36</v>
      </c>
      <c r="D1425">
        <v>3826.22</v>
      </c>
      <c r="E1425">
        <v>169</v>
      </c>
      <c r="F1425" s="1">
        <v>45029</v>
      </c>
      <c r="G1425" t="str">
        <f>IF(COUNTIFS(Table1_3[Country],Table1_3[[#This Row],[Country]],Table1_3[Product],Table1_3[[#This Row],[Product]],Table1_3[Sales Person],Table1_3[[#This Row],[Sales Person]],Table1_3[Amount],"&lt;=100")&gt;=2,"Contract","Deal")</f>
        <v>Deal</v>
      </c>
    </row>
    <row r="1426" spans="1:7" x14ac:dyDescent="0.3">
      <c r="A1426" t="s">
        <v>22</v>
      </c>
      <c r="B1426" t="s">
        <v>7</v>
      </c>
      <c r="C1426" t="s">
        <v>36</v>
      </c>
      <c r="D1426">
        <v>4059.65</v>
      </c>
      <c r="E1426">
        <v>175</v>
      </c>
      <c r="F1426" s="1">
        <v>45395</v>
      </c>
      <c r="G1426" t="str">
        <f>IF(COUNTIFS(Table1_3[Country],Table1_3[[#This Row],[Country]],Table1_3[Product],Table1_3[[#This Row],[Product]],Table1_3[Sales Person],Table1_3[[#This Row],[Sales Person]],Table1_3[Amount],"&lt;=100")&gt;=2,"Contract","Deal")</f>
        <v>Deal</v>
      </c>
    </row>
    <row r="1427" spans="1:7" x14ac:dyDescent="0.3">
      <c r="A1427" t="s">
        <v>22</v>
      </c>
      <c r="B1427" t="s">
        <v>7</v>
      </c>
      <c r="C1427" t="s">
        <v>60</v>
      </c>
      <c r="D1427">
        <v>6762</v>
      </c>
      <c r="E1427">
        <v>46</v>
      </c>
      <c r="F1427" s="1">
        <v>44739</v>
      </c>
      <c r="G1427" t="str">
        <f>IF(COUNTIFS(Table1_3[Country],Table1_3[[#This Row],[Country]],Table1_3[Product],Table1_3[[#This Row],[Product]],Table1_3[Sales Person],Table1_3[[#This Row],[Sales Person]],Table1_3[Amount],"&lt;=100")&gt;=2,"Contract","Deal")</f>
        <v>Deal</v>
      </c>
    </row>
    <row r="1428" spans="1:7" x14ac:dyDescent="0.3">
      <c r="A1428" t="s">
        <v>22</v>
      </c>
      <c r="B1428" t="s">
        <v>7</v>
      </c>
      <c r="C1428" t="s">
        <v>60</v>
      </c>
      <c r="D1428">
        <v>7304.74</v>
      </c>
      <c r="E1428">
        <v>49</v>
      </c>
      <c r="F1428" s="1">
        <v>45104</v>
      </c>
      <c r="G1428" t="str">
        <f>IF(COUNTIFS(Table1_3[Country],Table1_3[[#This Row],[Country]],Table1_3[Product],Table1_3[[#This Row],[Product]],Table1_3[Sales Person],Table1_3[[#This Row],[Sales Person]],Table1_3[Amount],"&lt;=100")&gt;=2,"Contract","Deal")</f>
        <v>Deal</v>
      </c>
    </row>
    <row r="1429" spans="1:7" x14ac:dyDescent="0.3">
      <c r="A1429" t="s">
        <v>22</v>
      </c>
      <c r="B1429" t="s">
        <v>7</v>
      </c>
      <c r="C1429" t="s">
        <v>60</v>
      </c>
      <c r="D1429">
        <v>7917.76</v>
      </c>
      <c r="E1429">
        <v>50</v>
      </c>
      <c r="F1429" s="1">
        <v>45470</v>
      </c>
      <c r="G1429" t="str">
        <f>IF(COUNTIFS(Table1_3[Country],Table1_3[[#This Row],[Country]],Table1_3[Product],Table1_3[[#This Row],[Product]],Table1_3[Sales Person],Table1_3[[#This Row],[Sales Person]],Table1_3[Amount],"&lt;=100")&gt;=2,"Contract","Deal")</f>
        <v>Deal</v>
      </c>
    </row>
    <row r="1430" spans="1:7" x14ac:dyDescent="0.3">
      <c r="A1430" t="s">
        <v>22</v>
      </c>
      <c r="B1430" t="s">
        <v>7</v>
      </c>
      <c r="C1430" t="s">
        <v>73</v>
      </c>
      <c r="D1430">
        <v>6811</v>
      </c>
      <c r="E1430">
        <v>344</v>
      </c>
      <c r="F1430" s="1">
        <v>44784</v>
      </c>
      <c r="G1430" t="str">
        <f>IF(COUNTIFS(Table1_3[Country],Table1_3[[#This Row],[Country]],Table1_3[Product],Table1_3[[#This Row],[Product]],Table1_3[Sales Person],Table1_3[[#This Row],[Sales Person]],Table1_3[Amount],"&lt;=100")&gt;=2,"Contract","Deal")</f>
        <v>Deal</v>
      </c>
    </row>
    <row r="1431" spans="1:7" x14ac:dyDescent="0.3">
      <c r="A1431" t="s">
        <v>22</v>
      </c>
      <c r="B1431" t="s">
        <v>7</v>
      </c>
      <c r="C1431" t="s">
        <v>73</v>
      </c>
      <c r="D1431">
        <v>7055.38</v>
      </c>
      <c r="E1431">
        <v>334</v>
      </c>
      <c r="F1431" s="1">
        <v>45149</v>
      </c>
      <c r="G1431" t="str">
        <f>IF(COUNTIFS(Table1_3[Country],Table1_3[[#This Row],[Country]],Table1_3[Product],Table1_3[[#This Row],[Product]],Table1_3[Sales Person],Table1_3[[#This Row],[Sales Person]],Table1_3[Amount],"&lt;=100")&gt;=2,"Contract","Deal")</f>
        <v>Deal</v>
      </c>
    </row>
    <row r="1432" spans="1:7" x14ac:dyDescent="0.3">
      <c r="A1432" t="s">
        <v>22</v>
      </c>
      <c r="B1432" t="s">
        <v>7</v>
      </c>
      <c r="C1432" t="s">
        <v>73</v>
      </c>
      <c r="D1432">
        <v>8043.29</v>
      </c>
      <c r="E1432">
        <v>344</v>
      </c>
      <c r="F1432" s="1">
        <v>45515</v>
      </c>
      <c r="G1432" t="str">
        <f>IF(COUNTIFS(Table1_3[Country],Table1_3[[#This Row],[Country]],Table1_3[Product],Table1_3[[#This Row],[Product]],Table1_3[Sales Person],Table1_3[[#This Row],[Sales Person]],Table1_3[Amount],"&lt;=100")&gt;=2,"Contract","Deal")</f>
        <v>Deal</v>
      </c>
    </row>
    <row r="1433" spans="1:7" x14ac:dyDescent="0.3">
      <c r="A1433" t="s">
        <v>22</v>
      </c>
      <c r="B1433" t="s">
        <v>7</v>
      </c>
      <c r="C1433" t="s">
        <v>18</v>
      </c>
      <c r="D1433">
        <v>749</v>
      </c>
      <c r="E1433">
        <v>148</v>
      </c>
      <c r="F1433" s="1">
        <v>44642</v>
      </c>
      <c r="G1433" t="str">
        <f>IF(COUNTIFS(Table1_3[Country],Table1_3[[#This Row],[Country]],Table1_3[Product],Table1_3[[#This Row],[Product]],Table1_3[Sales Person],Table1_3[[#This Row],[Sales Person]],Table1_3[Amount],"&lt;=100")&gt;=2,"Contract","Deal")</f>
        <v>Deal</v>
      </c>
    </row>
    <row r="1434" spans="1:7" x14ac:dyDescent="0.3">
      <c r="A1434" t="s">
        <v>22</v>
      </c>
      <c r="B1434" t="s">
        <v>7</v>
      </c>
      <c r="C1434" t="s">
        <v>18</v>
      </c>
      <c r="D1434">
        <v>860.12</v>
      </c>
      <c r="E1434">
        <v>158</v>
      </c>
      <c r="F1434" s="1">
        <v>45007</v>
      </c>
      <c r="G1434" t="str">
        <f>IF(COUNTIFS(Table1_3[Country],Table1_3[[#This Row],[Country]],Table1_3[Product],Table1_3[[#This Row],[Product]],Table1_3[Sales Person],Table1_3[[#This Row],[Sales Person]],Table1_3[Amount],"&lt;=100")&gt;=2,"Contract","Deal")</f>
        <v>Deal</v>
      </c>
    </row>
    <row r="1435" spans="1:7" x14ac:dyDescent="0.3">
      <c r="A1435" t="s">
        <v>22</v>
      </c>
      <c r="B1435" t="s">
        <v>7</v>
      </c>
      <c r="C1435" t="s">
        <v>18</v>
      </c>
      <c r="D1435">
        <v>867.5</v>
      </c>
      <c r="E1435">
        <v>143</v>
      </c>
      <c r="F1435" s="1">
        <v>45373</v>
      </c>
      <c r="G1435" t="str">
        <f>IF(COUNTIFS(Table1_3[Country],Table1_3[[#This Row],[Country]],Table1_3[Product],Table1_3[[#This Row],[Product]],Table1_3[Sales Person],Table1_3[[#This Row],[Sales Person]],Table1_3[Amount],"&lt;=100")&gt;=2,"Contract","Deal")</f>
        <v>Deal</v>
      </c>
    </row>
    <row r="1436" spans="1:7" x14ac:dyDescent="0.3">
      <c r="A1436" t="s">
        <v>22</v>
      </c>
      <c r="B1436" t="s">
        <v>7</v>
      </c>
      <c r="C1436" t="s">
        <v>50</v>
      </c>
      <c r="D1436">
        <v>12488</v>
      </c>
      <c r="E1436">
        <v>200</v>
      </c>
      <c r="F1436" s="1">
        <v>44608</v>
      </c>
      <c r="G1436" t="str">
        <f>IF(COUNTIFS(Table1_3[Country],Table1_3[[#This Row],[Country]],Table1_3[Product],Table1_3[[#This Row],[Product]],Table1_3[Sales Person],Table1_3[[#This Row],[Sales Person]],Table1_3[Amount],"&lt;=100")&gt;=2,"Contract","Deal")</f>
        <v>Deal</v>
      </c>
    </row>
    <row r="1437" spans="1:7" x14ac:dyDescent="0.3">
      <c r="A1437" t="s">
        <v>22</v>
      </c>
      <c r="B1437" t="s">
        <v>7</v>
      </c>
      <c r="C1437" t="s">
        <v>50</v>
      </c>
      <c r="D1437">
        <v>13105.65</v>
      </c>
      <c r="E1437">
        <v>199</v>
      </c>
      <c r="F1437" s="1">
        <v>44973</v>
      </c>
      <c r="G1437" t="str">
        <f>IF(COUNTIFS(Table1_3[Country],Table1_3[[#This Row],[Country]],Table1_3[Product],Table1_3[[#This Row],[Product]],Table1_3[Sales Person],Table1_3[[#This Row],[Sales Person]],Table1_3[Amount],"&lt;=100")&gt;=2,"Contract","Deal")</f>
        <v>Deal</v>
      </c>
    </row>
    <row r="1438" spans="1:7" x14ac:dyDescent="0.3">
      <c r="A1438" t="s">
        <v>22</v>
      </c>
      <c r="B1438" t="s">
        <v>7</v>
      </c>
      <c r="C1438" t="s">
        <v>50</v>
      </c>
      <c r="D1438">
        <v>13444.87</v>
      </c>
      <c r="E1438">
        <v>197</v>
      </c>
      <c r="F1438" s="1">
        <v>45338</v>
      </c>
      <c r="G1438" t="str">
        <f>IF(COUNTIFS(Table1_3[Country],Table1_3[[#This Row],[Country]],Table1_3[Product],Table1_3[[#This Row],[Product]],Table1_3[Sales Person],Table1_3[[#This Row],[Sales Person]],Table1_3[Amount],"&lt;=100")&gt;=2,"Contract","Deal")</f>
        <v>Deal</v>
      </c>
    </row>
    <row r="1439" spans="1:7" x14ac:dyDescent="0.3">
      <c r="A1439" t="s">
        <v>22</v>
      </c>
      <c r="B1439" t="s">
        <v>32</v>
      </c>
      <c r="C1439" t="s">
        <v>11</v>
      </c>
      <c r="D1439">
        <v>7007</v>
      </c>
      <c r="E1439">
        <v>135</v>
      </c>
      <c r="F1439" s="1">
        <v>44742</v>
      </c>
      <c r="G1439" t="str">
        <f>IF(COUNTIFS(Table1_3[Country],Table1_3[[#This Row],[Country]],Table1_3[Product],Table1_3[[#This Row],[Product]],Table1_3[Sales Person],Table1_3[[#This Row],[Sales Person]],Table1_3[Amount],"&lt;=100")&gt;=2,"Contract","Deal")</f>
        <v>Deal</v>
      </c>
    </row>
    <row r="1440" spans="1:7" x14ac:dyDescent="0.3">
      <c r="A1440" t="s">
        <v>22</v>
      </c>
      <c r="B1440" t="s">
        <v>32</v>
      </c>
      <c r="C1440" t="s">
        <v>11</v>
      </c>
      <c r="D1440">
        <v>7586.38</v>
      </c>
      <c r="E1440">
        <v>131</v>
      </c>
      <c r="F1440" s="1">
        <v>45107</v>
      </c>
      <c r="G1440" t="str">
        <f>IF(COUNTIFS(Table1_3[Country],Table1_3[[#This Row],[Country]],Table1_3[Product],Table1_3[[#This Row],[Product]],Table1_3[Sales Person],Table1_3[[#This Row],[Sales Person]],Table1_3[Amount],"&lt;=100")&gt;=2,"Contract","Deal")</f>
        <v>Deal</v>
      </c>
    </row>
    <row r="1441" spans="1:7" x14ac:dyDescent="0.3">
      <c r="A1441" t="s">
        <v>22</v>
      </c>
      <c r="B1441" t="s">
        <v>32</v>
      </c>
      <c r="C1441" t="s">
        <v>11</v>
      </c>
      <c r="D1441">
        <v>8347.2999999999993</v>
      </c>
      <c r="E1441">
        <v>138</v>
      </c>
      <c r="F1441" s="1">
        <v>45473</v>
      </c>
      <c r="G1441" t="str">
        <f>IF(COUNTIFS(Table1_3[Country],Table1_3[[#This Row],[Country]],Table1_3[Product],Table1_3[[#This Row],[Product]],Table1_3[Sales Person],Table1_3[[#This Row],[Sales Person]],Table1_3[Amount],"&lt;=100")&gt;=2,"Contract","Deal")</f>
        <v>Deal</v>
      </c>
    </row>
    <row r="1442" spans="1:7" x14ac:dyDescent="0.3">
      <c r="A1442" t="s">
        <v>22</v>
      </c>
      <c r="B1442" t="s">
        <v>32</v>
      </c>
      <c r="C1442" t="s">
        <v>23</v>
      </c>
      <c r="D1442">
        <v>3738</v>
      </c>
      <c r="E1442">
        <v>261</v>
      </c>
      <c r="F1442" s="1">
        <v>44788</v>
      </c>
      <c r="G1442" t="str">
        <f>IF(COUNTIFS(Table1_3[Country],Table1_3[[#This Row],[Country]],Table1_3[Product],Table1_3[[#This Row],[Product]],Table1_3[Sales Person],Table1_3[[#This Row],[Sales Person]],Table1_3[Amount],"&lt;=100")&gt;=2,"Contract","Deal")</f>
        <v>Deal</v>
      </c>
    </row>
    <row r="1443" spans="1:7" x14ac:dyDescent="0.3">
      <c r="A1443" t="s">
        <v>22</v>
      </c>
      <c r="B1443" t="s">
        <v>32</v>
      </c>
      <c r="C1443" t="s">
        <v>23</v>
      </c>
      <c r="D1443">
        <v>4264.49</v>
      </c>
      <c r="E1443">
        <v>252</v>
      </c>
      <c r="F1443" s="1">
        <v>45153</v>
      </c>
      <c r="G1443" t="str">
        <f>IF(COUNTIFS(Table1_3[Country],Table1_3[[#This Row],[Country]],Table1_3[Product],Table1_3[[#This Row],[Product]],Table1_3[Sales Person],Table1_3[[#This Row],[Sales Person]],Table1_3[Amount],"&lt;=100")&gt;=2,"Contract","Deal")</f>
        <v>Deal</v>
      </c>
    </row>
    <row r="1444" spans="1:7" x14ac:dyDescent="0.3">
      <c r="A1444" t="s">
        <v>22</v>
      </c>
      <c r="B1444" t="s">
        <v>32</v>
      </c>
      <c r="C1444" t="s">
        <v>23</v>
      </c>
      <c r="D1444">
        <v>4273.09</v>
      </c>
      <c r="E1444">
        <v>280</v>
      </c>
      <c r="F1444" s="1">
        <v>45519</v>
      </c>
      <c r="G1444" t="str">
        <f>IF(COUNTIFS(Table1_3[Country],Table1_3[[#This Row],[Country]],Table1_3[Product],Table1_3[[#This Row],[Product]],Table1_3[Sales Person],Table1_3[[#This Row],[Sales Person]],Table1_3[Amount],"&lt;=100")&gt;=2,"Contract","Deal")</f>
        <v>Deal</v>
      </c>
    </row>
    <row r="1445" spans="1:7" x14ac:dyDescent="0.3">
      <c r="A1445" t="s">
        <v>22</v>
      </c>
      <c r="B1445" t="s">
        <v>32</v>
      </c>
      <c r="C1445" t="s">
        <v>38</v>
      </c>
      <c r="D1445">
        <v>3843</v>
      </c>
      <c r="E1445">
        <v>5</v>
      </c>
      <c r="F1445" s="1">
        <v>44690</v>
      </c>
      <c r="G1445" t="str">
        <f>IF(COUNTIFS(Table1_3[Country],Table1_3[[#This Row],[Country]],Table1_3[Product],Table1_3[[#This Row],[Product]],Table1_3[Sales Person],Table1_3[[#This Row],[Sales Person]],Table1_3[Amount],"&lt;=100")&gt;=2,"Contract","Deal")</f>
        <v>Deal</v>
      </c>
    </row>
    <row r="1446" spans="1:7" x14ac:dyDescent="0.3">
      <c r="A1446" t="s">
        <v>22</v>
      </c>
      <c r="B1446" t="s">
        <v>32</v>
      </c>
      <c r="C1446" t="s">
        <v>38</v>
      </c>
      <c r="D1446">
        <v>3857.27</v>
      </c>
      <c r="E1446">
        <v>5</v>
      </c>
      <c r="F1446" s="1">
        <v>45055</v>
      </c>
      <c r="G1446" t="str">
        <f>IF(COUNTIFS(Table1_3[Country],Table1_3[[#This Row],[Country]],Table1_3[Product],Table1_3[[#This Row],[Product]],Table1_3[Sales Person],Table1_3[[#This Row],[Sales Person]],Table1_3[Amount],"&lt;=100")&gt;=2,"Contract","Deal")</f>
        <v>Deal</v>
      </c>
    </row>
    <row r="1447" spans="1:7" x14ac:dyDescent="0.3">
      <c r="A1447" t="s">
        <v>22</v>
      </c>
      <c r="B1447" t="s">
        <v>32</v>
      </c>
      <c r="C1447" t="s">
        <v>38</v>
      </c>
      <c r="D1447">
        <v>4142.16</v>
      </c>
      <c r="E1447">
        <v>5</v>
      </c>
      <c r="F1447" s="1">
        <v>45421</v>
      </c>
      <c r="G1447" t="str">
        <f>IF(COUNTIFS(Table1_3[Country],Table1_3[[#This Row],[Country]],Table1_3[Product],Table1_3[[#This Row],[Product]],Table1_3[Sales Person],Table1_3[[#This Row],[Sales Person]],Table1_3[Amount],"&lt;=100")&gt;=2,"Contract","Deal")</f>
        <v>Deal</v>
      </c>
    </row>
    <row r="1448" spans="1:7" x14ac:dyDescent="0.3">
      <c r="A1448" t="s">
        <v>22</v>
      </c>
      <c r="B1448" t="s">
        <v>32</v>
      </c>
      <c r="C1448" t="s">
        <v>36</v>
      </c>
      <c r="D1448">
        <v>6916</v>
      </c>
      <c r="E1448">
        <v>42</v>
      </c>
      <c r="F1448" s="1">
        <v>44684</v>
      </c>
      <c r="G1448" t="str">
        <f>IF(COUNTIFS(Table1_3[Country],Table1_3[[#This Row],[Country]],Table1_3[Product],Table1_3[[#This Row],[Product]],Table1_3[Sales Person],Table1_3[[#This Row],[Sales Person]],Table1_3[Amount],"&lt;=100")&gt;=2,"Contract","Deal")</f>
        <v>Deal</v>
      </c>
    </row>
    <row r="1449" spans="1:7" x14ac:dyDescent="0.3">
      <c r="A1449" t="s">
        <v>22</v>
      </c>
      <c r="B1449" t="s">
        <v>32</v>
      </c>
      <c r="C1449" t="s">
        <v>36</v>
      </c>
      <c r="D1449">
        <v>7368.94</v>
      </c>
      <c r="E1449">
        <v>45</v>
      </c>
      <c r="F1449" s="1">
        <v>45049</v>
      </c>
      <c r="G1449" t="str">
        <f>IF(COUNTIFS(Table1_3[Country],Table1_3[[#This Row],[Country]],Table1_3[Product],Table1_3[[#This Row],[Product]],Table1_3[Sales Person],Table1_3[[#This Row],[Sales Person]],Table1_3[Amount],"&lt;=100")&gt;=2,"Contract","Deal")</f>
        <v>Deal</v>
      </c>
    </row>
    <row r="1450" spans="1:7" x14ac:dyDescent="0.3">
      <c r="A1450" t="s">
        <v>22</v>
      </c>
      <c r="B1450" t="s">
        <v>32</v>
      </c>
      <c r="C1450" t="s">
        <v>36</v>
      </c>
      <c r="D1450">
        <v>7301.31</v>
      </c>
      <c r="E1450">
        <v>42</v>
      </c>
      <c r="F1450" s="1">
        <v>45415</v>
      </c>
      <c r="G1450" t="str">
        <f>IF(COUNTIFS(Table1_3[Country],Table1_3[[#This Row],[Country]],Table1_3[Product],Table1_3[[#This Row],[Product]],Table1_3[Sales Person],Table1_3[[#This Row],[Sales Person]],Table1_3[Amount],"&lt;=100")&gt;=2,"Contract","Deal")</f>
        <v>Deal</v>
      </c>
    </row>
    <row r="1451" spans="1:7" x14ac:dyDescent="0.3">
      <c r="A1451" t="s">
        <v>22</v>
      </c>
      <c r="B1451" t="s">
        <v>32</v>
      </c>
      <c r="C1451" t="s">
        <v>57</v>
      </c>
      <c r="D1451">
        <v>5852</v>
      </c>
      <c r="E1451">
        <v>93</v>
      </c>
      <c r="F1451" s="1">
        <v>44629</v>
      </c>
      <c r="G1451" t="str">
        <f>IF(COUNTIFS(Table1_3[Country],Table1_3[[#This Row],[Country]],Table1_3[Product],Table1_3[[#This Row],[Product]],Table1_3[Sales Person],Table1_3[[#This Row],[Sales Person]],Table1_3[Amount],"&lt;=100")&gt;=2,"Contract","Deal")</f>
        <v>Deal</v>
      </c>
    </row>
    <row r="1452" spans="1:7" x14ac:dyDescent="0.3">
      <c r="A1452" t="s">
        <v>22</v>
      </c>
      <c r="B1452" t="s">
        <v>32</v>
      </c>
      <c r="C1452" t="s">
        <v>57</v>
      </c>
      <c r="D1452">
        <v>6669.6</v>
      </c>
      <c r="E1452">
        <v>99</v>
      </c>
      <c r="F1452" s="1">
        <v>44994</v>
      </c>
      <c r="G1452" t="str">
        <f>IF(COUNTIFS(Table1_3[Country],Table1_3[[#This Row],[Country]],Table1_3[Product],Table1_3[[#This Row],[Product]],Table1_3[Sales Person],Table1_3[[#This Row],[Sales Person]],Table1_3[Amount],"&lt;=100")&gt;=2,"Contract","Deal")</f>
        <v>Deal</v>
      </c>
    </row>
    <row r="1453" spans="1:7" x14ac:dyDescent="0.3">
      <c r="A1453" t="s">
        <v>22</v>
      </c>
      <c r="B1453" t="s">
        <v>32</v>
      </c>
      <c r="C1453" t="s">
        <v>57</v>
      </c>
      <c r="D1453">
        <v>6937.75</v>
      </c>
      <c r="E1453">
        <v>94</v>
      </c>
      <c r="F1453" s="1">
        <v>45360</v>
      </c>
      <c r="G1453" t="str">
        <f>IF(COUNTIFS(Table1_3[Country],Table1_3[[#This Row],[Country]],Table1_3[Product],Table1_3[[#This Row],[Product]],Table1_3[Sales Person],Table1_3[[#This Row],[Sales Person]],Table1_3[Amount],"&lt;=100")&gt;=2,"Contract","Deal")</f>
        <v>Deal</v>
      </c>
    </row>
    <row r="1454" spans="1:7" x14ac:dyDescent="0.3">
      <c r="A1454" t="s">
        <v>22</v>
      </c>
      <c r="B1454" t="s">
        <v>32</v>
      </c>
      <c r="C1454" t="s">
        <v>42</v>
      </c>
      <c r="D1454">
        <v>2331</v>
      </c>
      <c r="E1454">
        <v>321</v>
      </c>
      <c r="F1454" s="1">
        <v>44783</v>
      </c>
      <c r="G1454" t="str">
        <f>IF(COUNTIFS(Table1_3[Country],Table1_3[[#This Row],[Country]],Table1_3[Product],Table1_3[[#This Row],[Product]],Table1_3[Sales Person],Table1_3[[#This Row],[Sales Person]],Table1_3[Amount],"&lt;=100")&gt;=2,"Contract","Deal")</f>
        <v>Deal</v>
      </c>
    </row>
    <row r="1455" spans="1:7" x14ac:dyDescent="0.3">
      <c r="A1455" t="s">
        <v>22</v>
      </c>
      <c r="B1455" t="s">
        <v>32</v>
      </c>
      <c r="C1455" t="s">
        <v>42</v>
      </c>
      <c r="D1455">
        <v>2494.19</v>
      </c>
      <c r="E1455">
        <v>315</v>
      </c>
      <c r="F1455" s="1">
        <v>45148</v>
      </c>
      <c r="G1455" t="str">
        <f>IF(COUNTIFS(Table1_3[Country],Table1_3[[#This Row],[Country]],Table1_3[Product],Table1_3[[#This Row],[Product]],Table1_3[Sales Person],Table1_3[[#This Row],[Sales Person]],Table1_3[Amount],"&lt;=100")&gt;=2,"Contract","Deal")</f>
        <v>Deal</v>
      </c>
    </row>
    <row r="1456" spans="1:7" x14ac:dyDescent="0.3">
      <c r="A1456" t="s">
        <v>22</v>
      </c>
      <c r="B1456" t="s">
        <v>32</v>
      </c>
      <c r="C1456" t="s">
        <v>42</v>
      </c>
      <c r="D1456">
        <v>2495.71</v>
      </c>
      <c r="E1456">
        <v>310</v>
      </c>
      <c r="F1456" s="1">
        <v>45514</v>
      </c>
      <c r="G1456" t="str">
        <f>IF(COUNTIFS(Table1_3[Country],Table1_3[[#This Row],[Country]],Table1_3[Product],Table1_3[[#This Row],[Product]],Table1_3[Sales Person],Table1_3[[#This Row],[Sales Person]],Table1_3[Amount],"&lt;=100")&gt;=2,"Contract","Deal")</f>
        <v>Deal</v>
      </c>
    </row>
    <row r="1457" spans="1:7" x14ac:dyDescent="0.3">
      <c r="A1457" t="s">
        <v>22</v>
      </c>
      <c r="B1457" t="s">
        <v>32</v>
      </c>
      <c r="C1457" t="s">
        <v>50</v>
      </c>
      <c r="D1457">
        <v>1267</v>
      </c>
      <c r="E1457">
        <v>157</v>
      </c>
      <c r="F1457" s="1">
        <v>44609</v>
      </c>
      <c r="G1457" t="str">
        <f>IF(COUNTIFS(Table1_3[Country],Table1_3[[#This Row],[Country]],Table1_3[Product],Table1_3[[#This Row],[Product]],Table1_3[Sales Person],Table1_3[[#This Row],[Sales Person]],Table1_3[Amount],"&lt;=100")&gt;=2,"Contract","Deal")</f>
        <v>Deal</v>
      </c>
    </row>
    <row r="1458" spans="1:7" x14ac:dyDescent="0.3">
      <c r="A1458" t="s">
        <v>22</v>
      </c>
      <c r="B1458" t="s">
        <v>32</v>
      </c>
      <c r="C1458" t="s">
        <v>50</v>
      </c>
      <c r="D1458">
        <v>1339.61</v>
      </c>
      <c r="E1458">
        <v>166</v>
      </c>
      <c r="F1458" s="1">
        <v>44974</v>
      </c>
      <c r="G1458" t="str">
        <f>IF(COUNTIFS(Table1_3[Country],Table1_3[[#This Row],[Country]],Table1_3[Product],Table1_3[[#This Row],[Product]],Table1_3[Sales Person],Table1_3[[#This Row],[Sales Person]],Table1_3[Amount],"&lt;=100")&gt;=2,"Contract","Deal")</f>
        <v>Deal</v>
      </c>
    </row>
    <row r="1459" spans="1:7" x14ac:dyDescent="0.3">
      <c r="A1459" t="s">
        <v>22</v>
      </c>
      <c r="B1459" t="s">
        <v>32</v>
      </c>
      <c r="C1459" t="s">
        <v>50</v>
      </c>
      <c r="D1459">
        <v>1440.85</v>
      </c>
      <c r="E1459">
        <v>152</v>
      </c>
      <c r="F1459" s="1">
        <v>45339</v>
      </c>
      <c r="G1459" t="str">
        <f>IF(COUNTIFS(Table1_3[Country],Table1_3[[#This Row],[Country]],Table1_3[Product],Table1_3[[#This Row],[Product]],Table1_3[Sales Person],Table1_3[[#This Row],[Sales Person]],Table1_3[Amount],"&lt;=100")&gt;=2,"Contract","Deal")</f>
        <v>Deal</v>
      </c>
    </row>
    <row r="1460" spans="1:7" x14ac:dyDescent="0.3">
      <c r="A1460" t="s">
        <v>53</v>
      </c>
      <c r="B1460" t="s">
        <v>15</v>
      </c>
      <c r="C1460" t="s">
        <v>26</v>
      </c>
      <c r="D1460">
        <v>14889</v>
      </c>
      <c r="E1460">
        <v>52</v>
      </c>
      <c r="F1460" s="1">
        <v>44792</v>
      </c>
      <c r="G1460" t="str">
        <f>IF(COUNTIFS(Table1_3[Country],Table1_3[[#This Row],[Country]],Table1_3[Product],Table1_3[[#This Row],[Product]],Table1_3[Sales Person],Table1_3[[#This Row],[Sales Person]],Table1_3[Amount],"&lt;=100")&gt;=2,"Contract","Deal")</f>
        <v>Deal</v>
      </c>
    </row>
    <row r="1461" spans="1:7" x14ac:dyDescent="0.3">
      <c r="A1461" t="s">
        <v>53</v>
      </c>
      <c r="B1461" t="s">
        <v>15</v>
      </c>
      <c r="C1461" t="s">
        <v>26</v>
      </c>
      <c r="D1461">
        <v>14953.43</v>
      </c>
      <c r="E1461">
        <v>51</v>
      </c>
      <c r="F1461" s="1">
        <v>45157</v>
      </c>
      <c r="G1461" t="str">
        <f>IF(COUNTIFS(Table1_3[Country],Table1_3[[#This Row],[Country]],Table1_3[Product],Table1_3[[#This Row],[Product]],Table1_3[Sales Person],Table1_3[[#This Row],[Sales Person]],Table1_3[Amount],"&lt;=100")&gt;=2,"Contract","Deal")</f>
        <v>Deal</v>
      </c>
    </row>
    <row r="1462" spans="1:7" x14ac:dyDescent="0.3">
      <c r="A1462" t="s">
        <v>53</v>
      </c>
      <c r="B1462" t="s">
        <v>15</v>
      </c>
      <c r="C1462" t="s">
        <v>26</v>
      </c>
      <c r="D1462">
        <v>15593.5</v>
      </c>
      <c r="E1462">
        <v>56</v>
      </c>
      <c r="F1462" s="1">
        <v>45523</v>
      </c>
      <c r="G1462" t="str">
        <f>IF(COUNTIFS(Table1_3[Country],Table1_3[[#This Row],[Country]],Table1_3[Product],Table1_3[[#This Row],[Product]],Table1_3[Sales Person],Table1_3[[#This Row],[Sales Person]],Table1_3[Amount],"&lt;=100")&gt;=2,"Contract","Deal")</f>
        <v>Deal</v>
      </c>
    </row>
    <row r="1463" spans="1:7" x14ac:dyDescent="0.3">
      <c r="A1463" t="s">
        <v>53</v>
      </c>
      <c r="B1463" t="s">
        <v>15</v>
      </c>
      <c r="C1463" t="s">
        <v>20</v>
      </c>
      <c r="D1463">
        <v>3087</v>
      </c>
      <c r="E1463">
        <v>128</v>
      </c>
      <c r="F1463" s="1">
        <v>44799</v>
      </c>
      <c r="G1463" t="str">
        <f>IF(COUNTIFS(Table1_3[Country],Table1_3[[#This Row],[Country]],Table1_3[Product],Table1_3[[#This Row],[Product]],Table1_3[Sales Person],Table1_3[[#This Row],[Sales Person]],Table1_3[Amount],"&lt;=100")&gt;=2,"Contract","Deal")</f>
        <v>Deal</v>
      </c>
    </row>
    <row r="1464" spans="1:7" x14ac:dyDescent="0.3">
      <c r="A1464" t="s">
        <v>53</v>
      </c>
      <c r="B1464" t="s">
        <v>15</v>
      </c>
      <c r="C1464" t="s">
        <v>20</v>
      </c>
      <c r="D1464">
        <v>3430.43</v>
      </c>
      <c r="E1464">
        <v>123</v>
      </c>
      <c r="F1464" s="1">
        <v>45164</v>
      </c>
      <c r="G1464" t="str">
        <f>IF(COUNTIFS(Table1_3[Country],Table1_3[[#This Row],[Country]],Table1_3[Product],Table1_3[[#This Row],[Product]],Table1_3[Sales Person],Table1_3[[#This Row],[Sales Person]],Table1_3[Amount],"&lt;=100")&gt;=2,"Contract","Deal")</f>
        <v>Deal</v>
      </c>
    </row>
    <row r="1465" spans="1:7" x14ac:dyDescent="0.3">
      <c r="A1465" t="s">
        <v>53</v>
      </c>
      <c r="B1465" t="s">
        <v>15</v>
      </c>
      <c r="C1465" t="s">
        <v>20</v>
      </c>
      <c r="D1465">
        <v>3277.47</v>
      </c>
      <c r="E1465">
        <v>131</v>
      </c>
      <c r="F1465" s="1">
        <v>45530</v>
      </c>
      <c r="G1465" t="str">
        <f>IF(COUNTIFS(Table1_3[Country],Table1_3[[#This Row],[Country]],Table1_3[Product],Table1_3[[#This Row],[Product]],Table1_3[Sales Person],Table1_3[[#This Row],[Sales Person]],Table1_3[Amount],"&lt;=100")&gt;=2,"Contract","Deal")</f>
        <v>Deal</v>
      </c>
    </row>
    <row r="1466" spans="1:7" x14ac:dyDescent="0.3">
      <c r="A1466" t="s">
        <v>53</v>
      </c>
      <c r="B1466" t="s">
        <v>15</v>
      </c>
      <c r="C1466" t="s">
        <v>36</v>
      </c>
      <c r="D1466">
        <v>6993</v>
      </c>
      <c r="E1466">
        <v>31</v>
      </c>
      <c r="F1466" s="1">
        <v>44746</v>
      </c>
      <c r="G1466" t="str">
        <f>IF(COUNTIFS(Table1_3[Country],Table1_3[[#This Row],[Country]],Table1_3[Product],Table1_3[[#This Row],[Product]],Table1_3[Sales Person],Table1_3[[#This Row],[Sales Person]],Table1_3[Amount],"&lt;=100")&gt;=2,"Contract","Deal")</f>
        <v>Deal</v>
      </c>
    </row>
    <row r="1467" spans="1:7" x14ac:dyDescent="0.3">
      <c r="A1467" t="s">
        <v>53</v>
      </c>
      <c r="B1467" t="s">
        <v>15</v>
      </c>
      <c r="C1467" t="s">
        <v>36</v>
      </c>
      <c r="D1467">
        <v>7299.4</v>
      </c>
      <c r="E1467">
        <v>34</v>
      </c>
      <c r="F1467" s="1">
        <v>45111</v>
      </c>
      <c r="G1467" t="str">
        <f>IF(COUNTIFS(Table1_3[Country],Table1_3[[#This Row],[Country]],Table1_3[Product],Table1_3[[#This Row],[Product]],Table1_3[Sales Person],Table1_3[[#This Row],[Sales Person]],Table1_3[Amount],"&lt;=100")&gt;=2,"Contract","Deal")</f>
        <v>Deal</v>
      </c>
    </row>
    <row r="1468" spans="1:7" x14ac:dyDescent="0.3">
      <c r="A1468" t="s">
        <v>53</v>
      </c>
      <c r="B1468" t="s">
        <v>15</v>
      </c>
      <c r="C1468" t="s">
        <v>36</v>
      </c>
      <c r="D1468">
        <v>7914.74</v>
      </c>
      <c r="E1468">
        <v>31</v>
      </c>
      <c r="F1468" s="1">
        <v>45477</v>
      </c>
      <c r="G1468" t="str">
        <f>IF(COUNTIFS(Table1_3[Country],Table1_3[[#This Row],[Country]],Table1_3[Product],Table1_3[[#This Row],[Product]],Table1_3[Sales Person],Table1_3[[#This Row],[Sales Person]],Table1_3[Amount],"&lt;=100")&gt;=2,"Contract","Deal")</f>
        <v>Deal</v>
      </c>
    </row>
    <row r="1469" spans="1:7" x14ac:dyDescent="0.3">
      <c r="A1469" t="s">
        <v>53</v>
      </c>
      <c r="B1469" t="s">
        <v>15</v>
      </c>
      <c r="C1469" t="s">
        <v>57</v>
      </c>
      <c r="D1469">
        <v>7959</v>
      </c>
      <c r="E1469">
        <v>53</v>
      </c>
      <c r="F1469" s="1">
        <v>44589</v>
      </c>
      <c r="G1469" t="str">
        <f>IF(COUNTIFS(Table1_3[Country],Table1_3[[#This Row],[Country]],Table1_3[Product],Table1_3[[#This Row],[Product]],Table1_3[Sales Person],Table1_3[[#This Row],[Sales Person]],Table1_3[Amount],"&lt;=100")&gt;=2,"Contract","Deal")</f>
        <v>Deal</v>
      </c>
    </row>
    <row r="1470" spans="1:7" x14ac:dyDescent="0.3">
      <c r="A1470" t="s">
        <v>53</v>
      </c>
      <c r="B1470" t="s">
        <v>15</v>
      </c>
      <c r="C1470" t="s">
        <v>57</v>
      </c>
      <c r="D1470">
        <v>8081.79</v>
      </c>
      <c r="E1470">
        <v>54</v>
      </c>
      <c r="F1470" s="1">
        <v>44954</v>
      </c>
      <c r="G1470" t="str">
        <f>IF(COUNTIFS(Table1_3[Country],Table1_3[[#This Row],[Country]],Table1_3[Product],Table1_3[[#This Row],[Product]],Table1_3[Sales Person],Table1_3[[#This Row],[Sales Person]],Table1_3[Amount],"&lt;=100")&gt;=2,"Contract","Deal")</f>
        <v>Deal</v>
      </c>
    </row>
    <row r="1471" spans="1:7" x14ac:dyDescent="0.3">
      <c r="A1471" t="s">
        <v>53</v>
      </c>
      <c r="B1471" t="s">
        <v>15</v>
      </c>
      <c r="C1471" t="s">
        <v>57</v>
      </c>
      <c r="D1471">
        <v>8548</v>
      </c>
      <c r="E1471">
        <v>55</v>
      </c>
      <c r="F1471" s="1">
        <v>45319</v>
      </c>
      <c r="G1471" t="str">
        <f>IF(COUNTIFS(Table1_3[Country],Table1_3[[#This Row],[Country]],Table1_3[Product],Table1_3[[#This Row],[Product]],Table1_3[Sales Person],Table1_3[[#This Row],[Sales Person]],Table1_3[Amount],"&lt;=100")&gt;=2,"Contract","Deal")</f>
        <v>Deal</v>
      </c>
    </row>
    <row r="1472" spans="1:7" x14ac:dyDescent="0.3">
      <c r="A1472" t="s">
        <v>53</v>
      </c>
      <c r="B1472" t="s">
        <v>15</v>
      </c>
      <c r="C1472" t="s">
        <v>60</v>
      </c>
      <c r="D1472">
        <v>7161</v>
      </c>
      <c r="E1472">
        <v>92</v>
      </c>
      <c r="F1472" s="1">
        <v>44635</v>
      </c>
      <c r="G1472" t="str">
        <f>IF(COUNTIFS(Table1_3[Country],Table1_3[[#This Row],[Country]],Table1_3[Product],Table1_3[[#This Row],[Product]],Table1_3[Sales Person],Table1_3[[#This Row],[Sales Person]],Table1_3[Amount],"&lt;=100")&gt;=2,"Contract","Deal")</f>
        <v>Deal</v>
      </c>
    </row>
    <row r="1473" spans="1:7" x14ac:dyDescent="0.3">
      <c r="A1473" t="s">
        <v>53</v>
      </c>
      <c r="B1473" t="s">
        <v>15</v>
      </c>
      <c r="C1473" t="s">
        <v>60</v>
      </c>
      <c r="D1473">
        <v>7984.45</v>
      </c>
      <c r="E1473">
        <v>95</v>
      </c>
      <c r="F1473" s="1">
        <v>45000</v>
      </c>
      <c r="G1473" t="str">
        <f>IF(COUNTIFS(Table1_3[Country],Table1_3[[#This Row],[Country]],Table1_3[Product],Table1_3[[#This Row],[Product]],Table1_3[Sales Person],Table1_3[[#This Row],[Sales Person]],Table1_3[Amount],"&lt;=100")&gt;=2,"Contract","Deal")</f>
        <v>Deal</v>
      </c>
    </row>
    <row r="1474" spans="1:7" x14ac:dyDescent="0.3">
      <c r="A1474" t="s">
        <v>53</v>
      </c>
      <c r="B1474" t="s">
        <v>15</v>
      </c>
      <c r="C1474" t="s">
        <v>60</v>
      </c>
      <c r="D1474">
        <v>7824.91</v>
      </c>
      <c r="E1474">
        <v>100</v>
      </c>
      <c r="F1474" s="1">
        <v>45366</v>
      </c>
      <c r="G1474" t="str">
        <f>IF(COUNTIFS(Table1_3[Country],Table1_3[[#This Row],[Country]],Table1_3[Product],Table1_3[[#This Row],[Product]],Table1_3[Sales Person],Table1_3[[#This Row],[Sales Person]],Table1_3[Amount],"&lt;=100")&gt;=2,"Contract","Deal")</f>
        <v>Deal</v>
      </c>
    </row>
    <row r="1475" spans="1:7" x14ac:dyDescent="0.3">
      <c r="A1475" t="s">
        <v>53</v>
      </c>
      <c r="B1475" t="s">
        <v>15</v>
      </c>
      <c r="C1475" t="s">
        <v>33</v>
      </c>
      <c r="D1475">
        <v>8897</v>
      </c>
      <c r="E1475">
        <v>188</v>
      </c>
      <c r="F1475" s="1">
        <v>44740</v>
      </c>
      <c r="G1475" t="str">
        <f>IF(COUNTIFS(Table1_3[Country],Table1_3[[#This Row],[Country]],Table1_3[Product],Table1_3[[#This Row],[Product]],Table1_3[Sales Person],Table1_3[[#This Row],[Sales Person]],Table1_3[Amount],"&lt;=100")&gt;=2,"Contract","Deal")</f>
        <v>Deal</v>
      </c>
    </row>
    <row r="1476" spans="1:7" x14ac:dyDescent="0.3">
      <c r="A1476" t="s">
        <v>53</v>
      </c>
      <c r="B1476" t="s">
        <v>15</v>
      </c>
      <c r="C1476" t="s">
        <v>33</v>
      </c>
      <c r="D1476">
        <v>9332.76</v>
      </c>
      <c r="E1476">
        <v>196</v>
      </c>
      <c r="F1476" s="1">
        <v>45105</v>
      </c>
      <c r="G1476" t="str">
        <f>IF(COUNTIFS(Table1_3[Country],Table1_3[[#This Row],[Country]],Table1_3[Product],Table1_3[[#This Row],[Product]],Table1_3[Sales Person],Table1_3[[#This Row],[Sales Person]],Table1_3[Amount],"&lt;=100")&gt;=2,"Contract","Deal")</f>
        <v>Deal</v>
      </c>
    </row>
    <row r="1477" spans="1:7" x14ac:dyDescent="0.3">
      <c r="A1477" t="s">
        <v>53</v>
      </c>
      <c r="B1477" t="s">
        <v>15</v>
      </c>
      <c r="C1477" t="s">
        <v>33</v>
      </c>
      <c r="D1477">
        <v>10322.19</v>
      </c>
      <c r="E1477">
        <v>182</v>
      </c>
      <c r="F1477" s="1">
        <v>45471</v>
      </c>
      <c r="G1477" t="str">
        <f>IF(COUNTIFS(Table1_3[Country],Table1_3[[#This Row],[Country]],Table1_3[Product],Table1_3[[#This Row],[Product]],Table1_3[Sales Person],Table1_3[[#This Row],[Sales Person]],Table1_3[Amount],"&lt;=100")&gt;=2,"Contract","Deal")</f>
        <v>Deal</v>
      </c>
    </row>
    <row r="1478" spans="1:7" x14ac:dyDescent="0.3">
      <c r="A1478" t="s">
        <v>53</v>
      </c>
      <c r="B1478" t="s">
        <v>15</v>
      </c>
      <c r="C1478" t="s">
        <v>42</v>
      </c>
      <c r="D1478">
        <v>938</v>
      </c>
      <c r="E1478">
        <v>158</v>
      </c>
      <c r="F1478" s="1">
        <v>44600</v>
      </c>
      <c r="G1478" t="str">
        <f>IF(COUNTIFS(Table1_3[Country],Table1_3[[#This Row],[Country]],Table1_3[Product],Table1_3[[#This Row],[Product]],Table1_3[Sales Person],Table1_3[[#This Row],[Sales Person]],Table1_3[Amount],"&lt;=100")&gt;=2,"Contract","Deal")</f>
        <v>Deal</v>
      </c>
    </row>
    <row r="1479" spans="1:7" x14ac:dyDescent="0.3">
      <c r="A1479" t="s">
        <v>53</v>
      </c>
      <c r="B1479" t="s">
        <v>15</v>
      </c>
      <c r="C1479" t="s">
        <v>42</v>
      </c>
      <c r="D1479">
        <v>960.69</v>
      </c>
      <c r="E1479">
        <v>155</v>
      </c>
      <c r="F1479" s="1">
        <v>44965</v>
      </c>
      <c r="G1479" t="str">
        <f>IF(COUNTIFS(Table1_3[Country],Table1_3[[#This Row],[Country]],Table1_3[Product],Table1_3[[#This Row],[Product]],Table1_3[Sales Person],Table1_3[[#This Row],[Sales Person]],Table1_3[Amount],"&lt;=100")&gt;=2,"Contract","Deal")</f>
        <v>Deal</v>
      </c>
    </row>
    <row r="1480" spans="1:7" x14ac:dyDescent="0.3">
      <c r="A1480" t="s">
        <v>53</v>
      </c>
      <c r="B1480" t="s">
        <v>15</v>
      </c>
      <c r="C1480" t="s">
        <v>42</v>
      </c>
      <c r="D1480">
        <v>1018.8</v>
      </c>
      <c r="E1480">
        <v>157</v>
      </c>
      <c r="F1480" s="1">
        <v>45330</v>
      </c>
      <c r="G1480" t="str">
        <f>IF(COUNTIFS(Table1_3[Country],Table1_3[[#This Row],[Country]],Table1_3[Product],Table1_3[[#This Row],[Product]],Table1_3[Sales Person],Table1_3[[#This Row],[Sales Person]],Table1_3[Amount],"&lt;=100")&gt;=2,"Contract","Deal")</f>
        <v>Deal</v>
      </c>
    </row>
    <row r="1481" spans="1:7" x14ac:dyDescent="0.3">
      <c r="A1481" t="s">
        <v>53</v>
      </c>
      <c r="B1481" t="s">
        <v>15</v>
      </c>
      <c r="C1481" t="s">
        <v>59</v>
      </c>
      <c r="D1481">
        <v>3171</v>
      </c>
      <c r="E1481">
        <v>220</v>
      </c>
      <c r="F1481" s="1">
        <v>44692</v>
      </c>
      <c r="G1481" t="str">
        <f>IF(COUNTIFS(Table1_3[Country],Table1_3[[#This Row],[Country]],Table1_3[Product],Table1_3[[#This Row],[Product]],Table1_3[Sales Person],Table1_3[[#This Row],[Sales Person]],Table1_3[Amount],"&lt;=100")&gt;=2,"Contract","Deal")</f>
        <v>Deal</v>
      </c>
    </row>
    <row r="1482" spans="1:7" x14ac:dyDescent="0.3">
      <c r="A1482" t="s">
        <v>53</v>
      </c>
      <c r="B1482" t="s">
        <v>15</v>
      </c>
      <c r="C1482" t="s">
        <v>59</v>
      </c>
      <c r="D1482">
        <v>3251.53</v>
      </c>
      <c r="E1482">
        <v>241</v>
      </c>
      <c r="F1482" s="1">
        <v>45057</v>
      </c>
      <c r="G1482" t="str">
        <f>IF(COUNTIFS(Table1_3[Country],Table1_3[[#This Row],[Country]],Table1_3[Product],Table1_3[[#This Row],[Product]],Table1_3[Sales Person],Table1_3[[#This Row],[Sales Person]],Table1_3[Amount],"&lt;=100")&gt;=2,"Contract","Deal")</f>
        <v>Deal</v>
      </c>
    </row>
    <row r="1483" spans="1:7" x14ac:dyDescent="0.3">
      <c r="A1483" t="s">
        <v>53</v>
      </c>
      <c r="B1483" t="s">
        <v>15</v>
      </c>
      <c r="C1483" t="s">
        <v>59</v>
      </c>
      <c r="D1483">
        <v>3618.67</v>
      </c>
      <c r="E1483">
        <v>213</v>
      </c>
      <c r="F1483" s="1">
        <v>45423</v>
      </c>
      <c r="G1483" t="str">
        <f>IF(COUNTIFS(Table1_3[Country],Table1_3[[#This Row],[Country]],Table1_3[Product],Table1_3[[#This Row],[Product]],Table1_3[Sales Person],Table1_3[[#This Row],[Sales Person]],Table1_3[Amount],"&lt;=100")&gt;=2,"Contract","Deal")</f>
        <v>Deal</v>
      </c>
    </row>
    <row r="1484" spans="1:7" x14ac:dyDescent="0.3">
      <c r="A1484" t="s">
        <v>53</v>
      </c>
      <c r="B1484" t="s">
        <v>35</v>
      </c>
      <c r="C1484" t="s">
        <v>100</v>
      </c>
      <c r="D1484">
        <v>5131</v>
      </c>
      <c r="E1484">
        <v>285</v>
      </c>
      <c r="F1484" s="1">
        <v>44592</v>
      </c>
      <c r="G1484" t="str">
        <f>IF(COUNTIFS(Table1_3[Country],Table1_3[[#This Row],[Country]],Table1_3[Product],Table1_3[[#This Row],[Product]],Table1_3[Sales Person],Table1_3[[#This Row],[Sales Person]],Table1_3[Amount],"&lt;=100")&gt;=2,"Contract","Deal")</f>
        <v>Deal</v>
      </c>
    </row>
    <row r="1485" spans="1:7" x14ac:dyDescent="0.3">
      <c r="A1485" t="s">
        <v>53</v>
      </c>
      <c r="B1485" t="s">
        <v>35</v>
      </c>
      <c r="C1485" t="s">
        <v>100</v>
      </c>
      <c r="D1485">
        <v>5833.2</v>
      </c>
      <c r="E1485">
        <v>290</v>
      </c>
      <c r="F1485" s="1">
        <v>44957</v>
      </c>
      <c r="G1485" t="str">
        <f>IF(COUNTIFS(Table1_3[Country],Table1_3[[#This Row],[Country]],Table1_3[Product],Table1_3[[#This Row],[Product]],Table1_3[Sales Person],Table1_3[[#This Row],[Sales Person]],Table1_3[Amount],"&lt;=100")&gt;=2,"Contract","Deal")</f>
        <v>Deal</v>
      </c>
    </row>
    <row r="1486" spans="1:7" x14ac:dyDescent="0.3">
      <c r="A1486" t="s">
        <v>53</v>
      </c>
      <c r="B1486" t="s">
        <v>35</v>
      </c>
      <c r="C1486" t="s">
        <v>100</v>
      </c>
      <c r="D1486">
        <v>5443.42</v>
      </c>
      <c r="E1486">
        <v>284</v>
      </c>
      <c r="F1486" s="1">
        <v>45322</v>
      </c>
      <c r="G1486" t="str">
        <f>IF(COUNTIFS(Table1_3[Country],Table1_3[[#This Row],[Country]],Table1_3[Product],Table1_3[[#This Row],[Product]],Table1_3[Sales Person],Table1_3[[#This Row],[Sales Person]],Table1_3[Amount],"&lt;=100")&gt;=2,"Contract","Deal")</f>
        <v>Deal</v>
      </c>
    </row>
    <row r="1487" spans="1:7" x14ac:dyDescent="0.3">
      <c r="A1487" t="s">
        <v>53</v>
      </c>
      <c r="B1487" t="s">
        <v>35</v>
      </c>
      <c r="C1487" t="s">
        <v>23</v>
      </c>
      <c r="D1487">
        <v>9772</v>
      </c>
      <c r="E1487">
        <v>301</v>
      </c>
      <c r="F1487" s="1">
        <v>44580</v>
      </c>
      <c r="G1487" t="str">
        <f>IF(COUNTIFS(Table1_3[Country],Table1_3[[#This Row],[Country]],Table1_3[Product],Table1_3[[#This Row],[Product]],Table1_3[Sales Person],Table1_3[[#This Row],[Sales Person]],Table1_3[Amount],"&lt;=100")&gt;=2,"Contract","Deal")</f>
        <v>Deal</v>
      </c>
    </row>
    <row r="1488" spans="1:7" x14ac:dyDescent="0.3">
      <c r="A1488" t="s">
        <v>53</v>
      </c>
      <c r="B1488" t="s">
        <v>35</v>
      </c>
      <c r="C1488" t="s">
        <v>23</v>
      </c>
      <c r="D1488">
        <v>10407.51</v>
      </c>
      <c r="E1488">
        <v>301</v>
      </c>
      <c r="F1488" s="1">
        <v>44945</v>
      </c>
      <c r="G1488" t="str">
        <f>IF(COUNTIFS(Table1_3[Country],Table1_3[[#This Row],[Country]],Table1_3[Product],Table1_3[[#This Row],[Product]],Table1_3[Sales Person],Table1_3[[#This Row],[Sales Person]],Table1_3[Amount],"&lt;=100")&gt;=2,"Contract","Deal")</f>
        <v>Deal</v>
      </c>
    </row>
    <row r="1489" spans="1:7" x14ac:dyDescent="0.3">
      <c r="A1489" t="s">
        <v>53</v>
      </c>
      <c r="B1489" t="s">
        <v>35</v>
      </c>
      <c r="C1489" t="s">
        <v>23</v>
      </c>
      <c r="D1489">
        <v>11462.19</v>
      </c>
      <c r="E1489">
        <v>288</v>
      </c>
      <c r="F1489" s="1">
        <v>45310</v>
      </c>
      <c r="G1489" t="str">
        <f>IF(COUNTIFS(Table1_3[Country],Table1_3[[#This Row],[Country]],Table1_3[Product],Table1_3[[#This Row],[Product]],Table1_3[Sales Person],Table1_3[[#This Row],[Sales Person]],Table1_3[Amount],"&lt;=100")&gt;=2,"Contract","Deal")</f>
        <v>Deal</v>
      </c>
    </row>
    <row r="1490" spans="1:7" x14ac:dyDescent="0.3">
      <c r="A1490" t="s">
        <v>53</v>
      </c>
      <c r="B1490" t="s">
        <v>35</v>
      </c>
      <c r="C1490" t="s">
        <v>75</v>
      </c>
      <c r="D1490">
        <v>3381</v>
      </c>
      <c r="E1490">
        <v>408</v>
      </c>
      <c r="F1490" s="1">
        <v>44788</v>
      </c>
      <c r="G1490" t="str">
        <f>IF(COUNTIFS(Table1_3[Country],Table1_3[[#This Row],[Country]],Table1_3[Product],Table1_3[[#This Row],[Product]],Table1_3[Sales Person],Table1_3[[#This Row],[Sales Person]],Table1_3[Amount],"&lt;=100")&gt;=2,"Contract","Deal")</f>
        <v>Deal</v>
      </c>
    </row>
    <row r="1491" spans="1:7" x14ac:dyDescent="0.3">
      <c r="A1491" t="s">
        <v>53</v>
      </c>
      <c r="B1491" t="s">
        <v>35</v>
      </c>
      <c r="C1491" t="s">
        <v>75</v>
      </c>
      <c r="D1491">
        <v>3859.95</v>
      </c>
      <c r="E1491">
        <v>395</v>
      </c>
      <c r="F1491" s="1">
        <v>45153</v>
      </c>
      <c r="G1491" t="str">
        <f>IF(COUNTIFS(Table1_3[Country],Table1_3[[#This Row],[Country]],Table1_3[Product],Table1_3[[#This Row],[Product]],Table1_3[Sales Person],Table1_3[[#This Row],[Sales Person]],Table1_3[Amount],"&lt;=100")&gt;=2,"Contract","Deal")</f>
        <v>Deal</v>
      </c>
    </row>
    <row r="1492" spans="1:7" x14ac:dyDescent="0.3">
      <c r="A1492" t="s">
        <v>53</v>
      </c>
      <c r="B1492" t="s">
        <v>35</v>
      </c>
      <c r="C1492" t="s">
        <v>75</v>
      </c>
      <c r="D1492">
        <v>3997.02</v>
      </c>
      <c r="E1492">
        <v>411</v>
      </c>
      <c r="F1492" s="1">
        <v>45519</v>
      </c>
      <c r="G1492" t="str">
        <f>IF(COUNTIFS(Table1_3[Country],Table1_3[[#This Row],[Country]],Table1_3[Product],Table1_3[[#This Row],[Product]],Table1_3[Sales Person],Table1_3[[#This Row],[Sales Person]],Table1_3[Amount],"&lt;=100")&gt;=2,"Contract","Deal")</f>
        <v>Deal</v>
      </c>
    </row>
    <row r="1493" spans="1:7" x14ac:dyDescent="0.3">
      <c r="A1493" t="s">
        <v>53</v>
      </c>
      <c r="B1493" t="s">
        <v>35</v>
      </c>
      <c r="C1493" t="s">
        <v>36</v>
      </c>
      <c r="D1493">
        <v>3696</v>
      </c>
      <c r="E1493">
        <v>233</v>
      </c>
      <c r="F1493" s="1">
        <v>44578</v>
      </c>
      <c r="G1493" t="str">
        <f>IF(COUNTIFS(Table1_3[Country],Table1_3[[#This Row],[Country]],Table1_3[Product],Table1_3[[#This Row],[Product]],Table1_3[Sales Person],Table1_3[[#This Row],[Sales Person]],Table1_3[Amount],"&lt;=100")&gt;=2,"Contract","Deal")</f>
        <v>Deal</v>
      </c>
    </row>
    <row r="1494" spans="1:7" x14ac:dyDescent="0.3">
      <c r="A1494" t="s">
        <v>53</v>
      </c>
      <c r="B1494" t="s">
        <v>35</v>
      </c>
      <c r="C1494" t="s">
        <v>36</v>
      </c>
      <c r="D1494">
        <v>4049.61</v>
      </c>
      <c r="E1494">
        <v>255</v>
      </c>
      <c r="F1494" s="1">
        <v>44943</v>
      </c>
      <c r="G1494" t="str">
        <f>IF(COUNTIFS(Table1_3[Country],Table1_3[[#This Row],[Country]],Table1_3[Product],Table1_3[[#This Row],[Product]],Table1_3[Sales Person],Table1_3[[#This Row],[Sales Person]],Table1_3[Amount],"&lt;=100")&gt;=2,"Contract","Deal")</f>
        <v>Deal</v>
      </c>
    </row>
    <row r="1495" spans="1:7" x14ac:dyDescent="0.3">
      <c r="A1495" t="s">
        <v>53</v>
      </c>
      <c r="B1495" t="s">
        <v>35</v>
      </c>
      <c r="C1495" t="s">
        <v>36</v>
      </c>
      <c r="D1495">
        <v>4389.2299999999996</v>
      </c>
      <c r="E1495">
        <v>241</v>
      </c>
      <c r="F1495" s="1">
        <v>45308</v>
      </c>
      <c r="G1495" t="str">
        <f>IF(COUNTIFS(Table1_3[Country],Table1_3[[#This Row],[Country]],Table1_3[Product],Table1_3[[#This Row],[Product]],Table1_3[Sales Person],Table1_3[[#This Row],[Sales Person]],Table1_3[Amount],"&lt;=100")&gt;=2,"Contract","Deal")</f>
        <v>Deal</v>
      </c>
    </row>
    <row r="1496" spans="1:7" x14ac:dyDescent="0.3">
      <c r="A1496" t="s">
        <v>53</v>
      </c>
      <c r="B1496" t="s">
        <v>10</v>
      </c>
      <c r="C1496" t="s">
        <v>100</v>
      </c>
      <c r="D1496">
        <v>6454</v>
      </c>
      <c r="E1496">
        <v>157</v>
      </c>
      <c r="F1496" s="1">
        <v>44690</v>
      </c>
      <c r="G1496" t="str">
        <f>IF(COUNTIFS(Table1_3[Country],Table1_3[[#This Row],[Country]],Table1_3[Product],Table1_3[[#This Row],[Product]],Table1_3[Sales Person],Table1_3[[#This Row],[Sales Person]],Table1_3[Amount],"&lt;=100")&gt;=2,"Contract","Deal")</f>
        <v>Deal</v>
      </c>
    </row>
    <row r="1497" spans="1:7" x14ac:dyDescent="0.3">
      <c r="A1497" t="s">
        <v>53</v>
      </c>
      <c r="B1497" t="s">
        <v>10</v>
      </c>
      <c r="C1497" t="s">
        <v>100</v>
      </c>
      <c r="D1497">
        <v>6898</v>
      </c>
      <c r="E1497">
        <v>163</v>
      </c>
      <c r="F1497" s="1">
        <v>45055</v>
      </c>
      <c r="G1497" t="str">
        <f>IF(COUNTIFS(Table1_3[Country],Table1_3[[#This Row],[Country]],Table1_3[Product],Table1_3[[#This Row],[Product]],Table1_3[Sales Person],Table1_3[[#This Row],[Sales Person]],Table1_3[Amount],"&lt;=100")&gt;=2,"Contract","Deal")</f>
        <v>Deal</v>
      </c>
    </row>
    <row r="1498" spans="1:7" x14ac:dyDescent="0.3">
      <c r="A1498" t="s">
        <v>53</v>
      </c>
      <c r="B1498" t="s">
        <v>10</v>
      </c>
      <c r="C1498" t="s">
        <v>100</v>
      </c>
      <c r="D1498">
        <v>7745.33</v>
      </c>
      <c r="E1498">
        <v>164</v>
      </c>
      <c r="F1498" s="1">
        <v>45421</v>
      </c>
      <c r="G1498" t="str">
        <f>IF(COUNTIFS(Table1_3[Country],Table1_3[[#This Row],[Country]],Table1_3[Product],Table1_3[[#This Row],[Product]],Table1_3[Sales Person],Table1_3[[#This Row],[Sales Person]],Table1_3[Amount],"&lt;=100")&gt;=2,"Contract","Deal")</f>
        <v>Deal</v>
      </c>
    </row>
    <row r="1499" spans="1:7" x14ac:dyDescent="0.3">
      <c r="A1499" t="s">
        <v>53</v>
      </c>
      <c r="B1499" t="s">
        <v>10</v>
      </c>
      <c r="C1499" t="s">
        <v>36</v>
      </c>
      <c r="D1499">
        <v>4956</v>
      </c>
      <c r="E1499">
        <v>58</v>
      </c>
      <c r="F1499" s="1">
        <v>44601</v>
      </c>
      <c r="G1499" t="str">
        <f>IF(COUNTIFS(Table1_3[Country],Table1_3[[#This Row],[Country]],Table1_3[Product],Table1_3[[#This Row],[Product]],Table1_3[Sales Person],Table1_3[[#This Row],[Sales Person]],Table1_3[Amount],"&lt;=100")&gt;=2,"Contract","Deal")</f>
        <v>Deal</v>
      </c>
    </row>
    <row r="1500" spans="1:7" x14ac:dyDescent="0.3">
      <c r="A1500" t="s">
        <v>53</v>
      </c>
      <c r="B1500" t="s">
        <v>10</v>
      </c>
      <c r="C1500" t="s">
        <v>36</v>
      </c>
      <c r="D1500">
        <v>5465.85</v>
      </c>
      <c r="E1500">
        <v>56</v>
      </c>
      <c r="F1500" s="1">
        <v>44966</v>
      </c>
      <c r="G1500" t="str">
        <f>IF(COUNTIFS(Table1_3[Country],Table1_3[[#This Row],[Country]],Table1_3[Product],Table1_3[[#This Row],[Product]],Table1_3[Sales Person],Table1_3[[#This Row],[Sales Person]],Table1_3[Amount],"&lt;=100")&gt;=2,"Contract","Deal")</f>
        <v>Deal</v>
      </c>
    </row>
    <row r="1501" spans="1:7" x14ac:dyDescent="0.3">
      <c r="A1501" t="s">
        <v>53</v>
      </c>
      <c r="B1501" t="s">
        <v>10</v>
      </c>
      <c r="C1501" t="s">
        <v>36</v>
      </c>
      <c r="D1501">
        <v>5596.93</v>
      </c>
      <c r="E1501">
        <v>62</v>
      </c>
      <c r="F1501" s="1">
        <v>45331</v>
      </c>
      <c r="G1501" t="str">
        <f>IF(COUNTIFS(Table1_3[Country],Table1_3[[#This Row],[Country]],Table1_3[Product],Table1_3[[#This Row],[Product]],Table1_3[Sales Person],Table1_3[[#This Row],[Sales Person]],Table1_3[Amount],"&lt;=100")&gt;=2,"Contract","Deal")</f>
        <v>Deal</v>
      </c>
    </row>
    <row r="1502" spans="1:7" x14ac:dyDescent="0.3">
      <c r="A1502" t="s">
        <v>53</v>
      </c>
      <c r="B1502" t="s">
        <v>10</v>
      </c>
      <c r="C1502" t="s">
        <v>57</v>
      </c>
      <c r="D1502">
        <v>4340</v>
      </c>
      <c r="E1502">
        <v>226</v>
      </c>
      <c r="F1502" s="1">
        <v>44655</v>
      </c>
      <c r="G1502" t="str">
        <f>IF(COUNTIFS(Table1_3[Country],Table1_3[[#This Row],[Country]],Table1_3[Product],Table1_3[[#This Row],[Product]],Table1_3[Sales Person],Table1_3[[#This Row],[Sales Person]],Table1_3[Amount],"&lt;=100")&gt;=2,"Contract","Deal")</f>
        <v>Deal</v>
      </c>
    </row>
    <row r="1503" spans="1:7" x14ac:dyDescent="0.3">
      <c r="A1503" t="s">
        <v>53</v>
      </c>
      <c r="B1503" t="s">
        <v>10</v>
      </c>
      <c r="C1503" t="s">
        <v>57</v>
      </c>
      <c r="D1503">
        <v>4508.93</v>
      </c>
      <c r="E1503">
        <v>231</v>
      </c>
      <c r="F1503" s="1">
        <v>45020</v>
      </c>
      <c r="G1503" t="str">
        <f>IF(COUNTIFS(Table1_3[Country],Table1_3[[#This Row],[Country]],Table1_3[Product],Table1_3[[#This Row],[Product]],Table1_3[Sales Person],Table1_3[[#This Row],[Sales Person]],Table1_3[Amount],"&lt;=100")&gt;=2,"Contract","Deal")</f>
        <v>Deal</v>
      </c>
    </row>
    <row r="1504" spans="1:7" x14ac:dyDescent="0.3">
      <c r="A1504" t="s">
        <v>53</v>
      </c>
      <c r="B1504" t="s">
        <v>10</v>
      </c>
      <c r="C1504" t="s">
        <v>57</v>
      </c>
      <c r="D1504">
        <v>4591.7700000000004</v>
      </c>
      <c r="E1504">
        <v>222</v>
      </c>
      <c r="F1504" s="1">
        <v>45386</v>
      </c>
      <c r="G1504" t="str">
        <f>IF(COUNTIFS(Table1_3[Country],Table1_3[[#This Row],[Country]],Table1_3[Product],Table1_3[[#This Row],[Product]],Table1_3[Sales Person],Table1_3[[#This Row],[Sales Person]],Table1_3[Amount],"&lt;=100")&gt;=2,"Contract","Deal")</f>
        <v>Deal</v>
      </c>
    </row>
    <row r="1505" spans="1:7" x14ac:dyDescent="0.3">
      <c r="A1505" t="s">
        <v>53</v>
      </c>
      <c r="B1505" t="s">
        <v>10</v>
      </c>
      <c r="C1505" t="s">
        <v>33</v>
      </c>
      <c r="D1505">
        <v>4361</v>
      </c>
      <c r="E1505">
        <v>40</v>
      </c>
      <c r="F1505" s="1">
        <v>44742</v>
      </c>
      <c r="G1505" t="str">
        <f>IF(COUNTIFS(Table1_3[Country],Table1_3[[#This Row],[Country]],Table1_3[Product],Table1_3[[#This Row],[Product]],Table1_3[Sales Person],Table1_3[[#This Row],[Sales Person]],Table1_3[Amount],"&lt;=100")&gt;=2,"Contract","Deal")</f>
        <v>Deal</v>
      </c>
    </row>
    <row r="1506" spans="1:7" x14ac:dyDescent="0.3">
      <c r="A1506" t="s">
        <v>53</v>
      </c>
      <c r="B1506" t="s">
        <v>10</v>
      </c>
      <c r="C1506" t="s">
        <v>33</v>
      </c>
      <c r="D1506">
        <v>4517.1899999999996</v>
      </c>
      <c r="E1506">
        <v>40</v>
      </c>
      <c r="F1506" s="1">
        <v>45107</v>
      </c>
      <c r="G1506" t="str">
        <f>IF(COUNTIFS(Table1_3[Country],Table1_3[[#This Row],[Country]],Table1_3[Product],Table1_3[[#This Row],[Product]],Table1_3[Sales Person],Table1_3[[#This Row],[Sales Person]],Table1_3[Amount],"&lt;=100")&gt;=2,"Contract","Deal")</f>
        <v>Deal</v>
      </c>
    </row>
    <row r="1507" spans="1:7" x14ac:dyDescent="0.3">
      <c r="A1507" t="s">
        <v>53</v>
      </c>
      <c r="B1507" t="s">
        <v>10</v>
      </c>
      <c r="C1507" t="s">
        <v>33</v>
      </c>
      <c r="D1507">
        <v>4781.1400000000003</v>
      </c>
      <c r="E1507">
        <v>38</v>
      </c>
      <c r="F1507" s="1">
        <v>45473</v>
      </c>
      <c r="G1507" t="str">
        <f>IF(COUNTIFS(Table1_3[Country],Table1_3[[#This Row],[Country]],Table1_3[Product],Table1_3[[#This Row],[Product]],Table1_3[Sales Person],Table1_3[[#This Row],[Sales Person]],Table1_3[Amount],"&lt;=100")&gt;=2,"Contract","Deal")</f>
        <v>Deal</v>
      </c>
    </row>
    <row r="1508" spans="1:7" x14ac:dyDescent="0.3">
      <c r="A1508" t="s">
        <v>53</v>
      </c>
      <c r="B1508" t="s">
        <v>10</v>
      </c>
      <c r="C1508" t="s">
        <v>13</v>
      </c>
      <c r="D1508">
        <v>4522</v>
      </c>
      <c r="E1508">
        <v>5</v>
      </c>
      <c r="F1508" s="1">
        <v>44690</v>
      </c>
      <c r="G1508" t="str">
        <f>IF(COUNTIFS(Table1_3[Country],Table1_3[[#This Row],[Country]],Table1_3[Product],Table1_3[[#This Row],[Product]],Table1_3[Sales Person],Table1_3[[#This Row],[Sales Person]],Table1_3[Amount],"&lt;=100")&gt;=2,"Contract","Deal")</f>
        <v>Deal</v>
      </c>
    </row>
    <row r="1509" spans="1:7" x14ac:dyDescent="0.3">
      <c r="A1509" t="s">
        <v>53</v>
      </c>
      <c r="B1509" t="s">
        <v>10</v>
      </c>
      <c r="C1509" t="s">
        <v>13</v>
      </c>
      <c r="D1509">
        <v>4726.6499999999996</v>
      </c>
      <c r="E1509">
        <v>5</v>
      </c>
      <c r="F1509" s="1">
        <v>45055</v>
      </c>
      <c r="G1509" t="str">
        <f>IF(COUNTIFS(Table1_3[Country],Table1_3[[#This Row],[Country]],Table1_3[Product],Table1_3[[#This Row],[Product]],Table1_3[Sales Person],Table1_3[[#This Row],[Sales Person]],Table1_3[Amount],"&lt;=100")&gt;=2,"Contract","Deal")</f>
        <v>Deal</v>
      </c>
    </row>
    <row r="1510" spans="1:7" x14ac:dyDescent="0.3">
      <c r="A1510" t="s">
        <v>53</v>
      </c>
      <c r="B1510" t="s">
        <v>10</v>
      </c>
      <c r="C1510" t="s">
        <v>13</v>
      </c>
      <c r="D1510">
        <v>5188.18</v>
      </c>
      <c r="E1510">
        <v>5</v>
      </c>
      <c r="F1510" s="1">
        <v>45421</v>
      </c>
      <c r="G1510" t="str">
        <f>IF(COUNTIFS(Table1_3[Country],Table1_3[[#This Row],[Country]],Table1_3[Product],Table1_3[[#This Row],[Product]],Table1_3[Sales Person],Table1_3[[#This Row],[Sales Person]],Table1_3[Amount],"&lt;=100")&gt;=2,"Contract","Deal")</f>
        <v>Deal</v>
      </c>
    </row>
    <row r="1511" spans="1:7" x14ac:dyDescent="0.3">
      <c r="A1511" t="s">
        <v>53</v>
      </c>
      <c r="B1511" t="s">
        <v>10</v>
      </c>
      <c r="C1511" t="s">
        <v>73</v>
      </c>
      <c r="D1511">
        <v>9954</v>
      </c>
      <c r="E1511">
        <v>154</v>
      </c>
      <c r="F1511" s="1">
        <v>44727</v>
      </c>
      <c r="G1511" t="str">
        <f>IF(COUNTIFS(Table1_3[Country],Table1_3[[#This Row],[Country]],Table1_3[Product],Table1_3[[#This Row],[Product]],Table1_3[Sales Person],Table1_3[[#This Row],[Sales Person]],Table1_3[Amount],"&lt;=100")&gt;=2,"Contract","Deal")</f>
        <v>Deal</v>
      </c>
    </row>
    <row r="1512" spans="1:7" x14ac:dyDescent="0.3">
      <c r="A1512" t="s">
        <v>53</v>
      </c>
      <c r="B1512" t="s">
        <v>10</v>
      </c>
      <c r="C1512" t="s">
        <v>73</v>
      </c>
      <c r="D1512">
        <v>10994.3</v>
      </c>
      <c r="E1512">
        <v>152</v>
      </c>
      <c r="F1512" s="1">
        <v>45092</v>
      </c>
      <c r="G1512" t="str">
        <f>IF(COUNTIFS(Table1_3[Country],Table1_3[[#This Row],[Country]],Table1_3[Product],Table1_3[[#This Row],[Product]],Table1_3[Sales Person],Table1_3[[#This Row],[Sales Person]],Table1_3[Amount],"&lt;=100")&gt;=2,"Contract","Deal")</f>
        <v>Deal</v>
      </c>
    </row>
    <row r="1513" spans="1:7" x14ac:dyDescent="0.3">
      <c r="A1513" t="s">
        <v>53</v>
      </c>
      <c r="B1513" t="s">
        <v>10</v>
      </c>
      <c r="C1513" t="s">
        <v>73</v>
      </c>
      <c r="D1513">
        <v>11595.41</v>
      </c>
      <c r="E1513">
        <v>153</v>
      </c>
      <c r="F1513" s="1">
        <v>45458</v>
      </c>
      <c r="G1513" t="str">
        <f>IF(COUNTIFS(Table1_3[Country],Table1_3[[#This Row],[Country]],Table1_3[Product],Table1_3[[#This Row],[Product]],Table1_3[Sales Person],Table1_3[[#This Row],[Sales Person]],Table1_3[Amount],"&lt;=100")&gt;=2,"Contract","Deal")</f>
        <v>Deal</v>
      </c>
    </row>
    <row r="1514" spans="1:7" x14ac:dyDescent="0.3">
      <c r="A1514" t="s">
        <v>53</v>
      </c>
      <c r="B1514" t="s">
        <v>10</v>
      </c>
      <c r="C1514" t="s">
        <v>50</v>
      </c>
      <c r="D1514">
        <v>2492</v>
      </c>
      <c r="E1514">
        <v>33</v>
      </c>
      <c r="F1514" s="1">
        <v>44795</v>
      </c>
      <c r="G1514" t="str">
        <f>IF(COUNTIFS(Table1_3[Country],Table1_3[[#This Row],[Country]],Table1_3[Product],Table1_3[[#This Row],[Product]],Table1_3[Sales Person],Table1_3[[#This Row],[Sales Person]],Table1_3[Amount],"&lt;=100")&gt;=2,"Contract","Deal")</f>
        <v>Deal</v>
      </c>
    </row>
    <row r="1515" spans="1:7" x14ac:dyDescent="0.3">
      <c r="A1515" t="s">
        <v>53</v>
      </c>
      <c r="B1515" t="s">
        <v>10</v>
      </c>
      <c r="C1515" t="s">
        <v>50</v>
      </c>
      <c r="D1515">
        <v>2514.8200000000002</v>
      </c>
      <c r="E1515">
        <v>32</v>
      </c>
      <c r="F1515" s="1">
        <v>45160</v>
      </c>
      <c r="G1515" t="str">
        <f>IF(COUNTIFS(Table1_3[Country],Table1_3[[#This Row],[Country]],Table1_3[Product],Table1_3[[#This Row],[Product]],Table1_3[Sales Person],Table1_3[[#This Row],[Sales Person]],Table1_3[Amount],"&lt;=100")&gt;=2,"Contract","Deal")</f>
        <v>Deal</v>
      </c>
    </row>
    <row r="1516" spans="1:7" x14ac:dyDescent="0.3">
      <c r="A1516" t="s">
        <v>53</v>
      </c>
      <c r="B1516" t="s">
        <v>10</v>
      </c>
      <c r="C1516" t="s">
        <v>50</v>
      </c>
      <c r="D1516">
        <v>2606.11</v>
      </c>
      <c r="E1516">
        <v>31</v>
      </c>
      <c r="F1516" s="1">
        <v>45526</v>
      </c>
      <c r="G1516" t="str">
        <f>IF(COUNTIFS(Table1_3[Country],Table1_3[[#This Row],[Country]],Table1_3[Product],Table1_3[[#This Row],[Product]],Table1_3[Sales Person],Table1_3[[#This Row],[Sales Person]],Table1_3[Amount],"&lt;=100")&gt;=2,"Contract","Deal")</f>
        <v>Deal</v>
      </c>
    </row>
    <row r="1517" spans="1:7" x14ac:dyDescent="0.3">
      <c r="A1517" t="s">
        <v>53</v>
      </c>
      <c r="B1517" t="s">
        <v>25</v>
      </c>
      <c r="C1517" t="s">
        <v>23</v>
      </c>
      <c r="D1517">
        <v>6433</v>
      </c>
      <c r="E1517">
        <v>7</v>
      </c>
      <c r="F1517" s="1">
        <v>44777</v>
      </c>
      <c r="G1517" t="str">
        <f>IF(COUNTIFS(Table1_3[Country],Table1_3[[#This Row],[Country]],Table1_3[Product],Table1_3[[#This Row],[Product]],Table1_3[Sales Person],Table1_3[[#This Row],[Sales Person]],Table1_3[Amount],"&lt;=100")&gt;=2,"Contract","Deal")</f>
        <v>Deal</v>
      </c>
    </row>
    <row r="1518" spans="1:7" x14ac:dyDescent="0.3">
      <c r="A1518" t="s">
        <v>53</v>
      </c>
      <c r="B1518" t="s">
        <v>25</v>
      </c>
      <c r="C1518" t="s">
        <v>23</v>
      </c>
      <c r="D1518">
        <v>7231.89</v>
      </c>
      <c r="E1518">
        <v>8</v>
      </c>
      <c r="F1518" s="1">
        <v>45142</v>
      </c>
      <c r="G1518" t="str">
        <f>IF(COUNTIFS(Table1_3[Country],Table1_3[[#This Row],[Country]],Table1_3[Product],Table1_3[[#This Row],[Product]],Table1_3[Sales Person],Table1_3[[#This Row],[Sales Person]],Table1_3[Amount],"&lt;=100")&gt;=2,"Contract","Deal")</f>
        <v>Deal</v>
      </c>
    </row>
    <row r="1519" spans="1:7" x14ac:dyDescent="0.3">
      <c r="A1519" t="s">
        <v>53</v>
      </c>
      <c r="B1519" t="s">
        <v>25</v>
      </c>
      <c r="C1519" t="s">
        <v>23</v>
      </c>
      <c r="D1519">
        <v>6878.47</v>
      </c>
      <c r="E1519">
        <v>7</v>
      </c>
      <c r="F1519" s="1">
        <v>45508</v>
      </c>
      <c r="G1519" t="str">
        <f>IF(COUNTIFS(Table1_3[Country],Table1_3[[#This Row],[Country]],Table1_3[Product],Table1_3[[#This Row],[Product]],Table1_3[Sales Person],Table1_3[[#This Row],[Sales Person]],Table1_3[Amount],"&lt;=100")&gt;=2,"Contract","Deal")</f>
        <v>Deal</v>
      </c>
    </row>
    <row r="1520" spans="1:7" x14ac:dyDescent="0.3">
      <c r="A1520" t="s">
        <v>53</v>
      </c>
      <c r="B1520" t="s">
        <v>25</v>
      </c>
      <c r="C1520" t="s">
        <v>90</v>
      </c>
      <c r="D1520">
        <v>497</v>
      </c>
      <c r="E1520">
        <v>475</v>
      </c>
      <c r="F1520" s="1">
        <v>44588</v>
      </c>
      <c r="G1520" t="str">
        <f>IF(COUNTIFS(Table1_3[Country],Table1_3[[#This Row],[Country]],Table1_3[Product],Table1_3[[#This Row],[Product]],Table1_3[Sales Person],Table1_3[[#This Row],[Sales Person]],Table1_3[Amount],"&lt;=100")&gt;=2,"Contract","Deal")</f>
        <v>Deal</v>
      </c>
    </row>
    <row r="1521" spans="1:7" x14ac:dyDescent="0.3">
      <c r="A1521" t="s">
        <v>53</v>
      </c>
      <c r="B1521" t="s">
        <v>25</v>
      </c>
      <c r="C1521" t="s">
        <v>90</v>
      </c>
      <c r="D1521">
        <v>571.52</v>
      </c>
      <c r="E1521">
        <v>489</v>
      </c>
      <c r="F1521" s="1">
        <v>44953</v>
      </c>
      <c r="G1521" t="str">
        <f>IF(COUNTIFS(Table1_3[Country],Table1_3[[#This Row],[Country]],Table1_3[Product],Table1_3[[#This Row],[Product]],Table1_3[Sales Person],Table1_3[[#This Row],[Sales Person]],Table1_3[Amount],"&lt;=100")&gt;=2,"Contract","Deal")</f>
        <v>Deal</v>
      </c>
    </row>
    <row r="1522" spans="1:7" x14ac:dyDescent="0.3">
      <c r="A1522" t="s">
        <v>53</v>
      </c>
      <c r="B1522" t="s">
        <v>25</v>
      </c>
      <c r="C1522" t="s">
        <v>90</v>
      </c>
      <c r="D1522">
        <v>595.16</v>
      </c>
      <c r="E1522">
        <v>461</v>
      </c>
      <c r="F1522" s="1">
        <v>45318</v>
      </c>
      <c r="G1522" t="str">
        <f>IF(COUNTIFS(Table1_3[Country],Table1_3[[#This Row],[Country]],Table1_3[Product],Table1_3[[#This Row],[Product]],Table1_3[Sales Person],Table1_3[[#This Row],[Sales Person]],Table1_3[Amount],"&lt;=100")&gt;=2,"Contract","Deal")</f>
        <v>Deal</v>
      </c>
    </row>
    <row r="1523" spans="1:7" x14ac:dyDescent="0.3">
      <c r="A1523" t="s">
        <v>53</v>
      </c>
      <c r="B1523" t="s">
        <v>25</v>
      </c>
      <c r="C1523" t="s">
        <v>13</v>
      </c>
      <c r="D1523">
        <v>2058</v>
      </c>
      <c r="E1523">
        <v>236</v>
      </c>
      <c r="F1523" s="1">
        <v>44608</v>
      </c>
      <c r="G1523" t="str">
        <f>IF(COUNTIFS(Table1_3[Country],Table1_3[[#This Row],[Country]],Table1_3[Product],Table1_3[[#This Row],[Product]],Table1_3[Sales Person],Table1_3[[#This Row],[Sales Person]],Table1_3[Amount],"&lt;=100")&gt;=2,"Contract","Deal")</f>
        <v>Deal</v>
      </c>
    </row>
    <row r="1524" spans="1:7" x14ac:dyDescent="0.3">
      <c r="A1524" t="s">
        <v>53</v>
      </c>
      <c r="B1524" t="s">
        <v>25</v>
      </c>
      <c r="C1524" t="s">
        <v>13</v>
      </c>
      <c r="D1524">
        <v>2318.46</v>
      </c>
      <c r="E1524">
        <v>235</v>
      </c>
      <c r="F1524" s="1">
        <v>44973</v>
      </c>
      <c r="G1524" t="str">
        <f>IF(COUNTIFS(Table1_3[Country],Table1_3[[#This Row],[Country]],Table1_3[Product],Table1_3[[#This Row],[Product]],Table1_3[Sales Person],Table1_3[[#This Row],[Sales Person]],Table1_3[Amount],"&lt;=100")&gt;=2,"Contract","Deal")</f>
        <v>Deal</v>
      </c>
    </row>
    <row r="1525" spans="1:7" x14ac:dyDescent="0.3">
      <c r="A1525" t="s">
        <v>53</v>
      </c>
      <c r="B1525" t="s">
        <v>25</v>
      </c>
      <c r="C1525" t="s">
        <v>13</v>
      </c>
      <c r="D1525">
        <v>2257.14</v>
      </c>
      <c r="E1525">
        <v>231</v>
      </c>
      <c r="F1525" s="1">
        <v>45338</v>
      </c>
      <c r="G1525" t="str">
        <f>IF(COUNTIFS(Table1_3[Country],Table1_3[[#This Row],[Country]],Table1_3[Product],Table1_3[[#This Row],[Product]],Table1_3[Sales Person],Table1_3[[#This Row],[Sales Person]],Table1_3[Amount],"&lt;=100")&gt;=2,"Contract","Deal")</f>
        <v>Deal</v>
      </c>
    </row>
    <row r="1526" spans="1:7" x14ac:dyDescent="0.3">
      <c r="A1526" t="s">
        <v>53</v>
      </c>
      <c r="B1526" t="s">
        <v>7</v>
      </c>
      <c r="C1526" t="s">
        <v>23</v>
      </c>
      <c r="D1526">
        <v>3507</v>
      </c>
      <c r="E1526">
        <v>380</v>
      </c>
      <c r="F1526" s="1">
        <v>44747</v>
      </c>
      <c r="G1526" t="str">
        <f>IF(COUNTIFS(Table1_3[Country],Table1_3[[#This Row],[Country]],Table1_3[Product],Table1_3[[#This Row],[Product]],Table1_3[Sales Person],Table1_3[[#This Row],[Sales Person]],Table1_3[Amount],"&lt;=100")&gt;=2,"Contract","Deal")</f>
        <v>Deal</v>
      </c>
    </row>
    <row r="1527" spans="1:7" x14ac:dyDescent="0.3">
      <c r="A1527" t="s">
        <v>53</v>
      </c>
      <c r="B1527" t="s">
        <v>7</v>
      </c>
      <c r="C1527" t="s">
        <v>23</v>
      </c>
      <c r="D1527">
        <v>3563.87</v>
      </c>
      <c r="E1527">
        <v>372</v>
      </c>
      <c r="F1527" s="1">
        <v>45112</v>
      </c>
      <c r="G1527" t="str">
        <f>IF(COUNTIFS(Table1_3[Country],Table1_3[[#This Row],[Country]],Table1_3[Product],Table1_3[[#This Row],[Product]],Table1_3[Sales Person],Table1_3[[#This Row],[Sales Person]],Table1_3[Amount],"&lt;=100")&gt;=2,"Contract","Deal")</f>
        <v>Deal</v>
      </c>
    </row>
    <row r="1528" spans="1:7" x14ac:dyDescent="0.3">
      <c r="A1528" t="s">
        <v>53</v>
      </c>
      <c r="B1528" t="s">
        <v>7</v>
      </c>
      <c r="C1528" t="s">
        <v>23</v>
      </c>
      <c r="D1528">
        <v>3707.27</v>
      </c>
      <c r="E1528">
        <v>392</v>
      </c>
      <c r="F1528" s="1">
        <v>45478</v>
      </c>
      <c r="G1528" t="str">
        <f>IF(COUNTIFS(Table1_3[Country],Table1_3[[#This Row],[Country]],Table1_3[Product],Table1_3[[#This Row],[Product]],Table1_3[Sales Person],Table1_3[[#This Row],[Sales Person]],Table1_3[Amount],"&lt;=100")&gt;=2,"Contract","Deal")</f>
        <v>Deal</v>
      </c>
    </row>
    <row r="1529" spans="1:7" x14ac:dyDescent="0.3">
      <c r="A1529" t="s">
        <v>53</v>
      </c>
      <c r="B1529" t="s">
        <v>7</v>
      </c>
      <c r="C1529" t="s">
        <v>65</v>
      </c>
      <c r="D1529">
        <v>8309</v>
      </c>
      <c r="E1529">
        <v>166</v>
      </c>
      <c r="F1529" s="1">
        <v>44698</v>
      </c>
      <c r="G1529" t="str">
        <f>IF(COUNTIFS(Table1_3[Country],Table1_3[[#This Row],[Country]],Table1_3[Product],Table1_3[[#This Row],[Product]],Table1_3[Sales Person],Table1_3[[#This Row],[Sales Person]],Table1_3[Amount],"&lt;=100")&gt;=2,"Contract","Deal")</f>
        <v>Deal</v>
      </c>
    </row>
    <row r="1530" spans="1:7" x14ac:dyDescent="0.3">
      <c r="A1530" t="s">
        <v>53</v>
      </c>
      <c r="B1530" t="s">
        <v>7</v>
      </c>
      <c r="C1530" t="s">
        <v>65</v>
      </c>
      <c r="D1530">
        <v>8832.33</v>
      </c>
      <c r="E1530">
        <v>175</v>
      </c>
      <c r="F1530" s="1">
        <v>45063</v>
      </c>
      <c r="G1530" t="str">
        <f>IF(COUNTIFS(Table1_3[Country],Table1_3[[#This Row],[Country]],Table1_3[Product],Table1_3[[#This Row],[Product]],Table1_3[Sales Person],Table1_3[[#This Row],[Sales Person]],Table1_3[Amount],"&lt;=100")&gt;=2,"Contract","Deal")</f>
        <v>Deal</v>
      </c>
    </row>
    <row r="1531" spans="1:7" x14ac:dyDescent="0.3">
      <c r="A1531" t="s">
        <v>53</v>
      </c>
      <c r="B1531" t="s">
        <v>7</v>
      </c>
      <c r="C1531" t="s">
        <v>65</v>
      </c>
      <c r="D1531">
        <v>9863.6200000000008</v>
      </c>
      <c r="E1531">
        <v>167</v>
      </c>
      <c r="F1531" s="1">
        <v>45429</v>
      </c>
      <c r="G1531" t="str">
        <f>IF(COUNTIFS(Table1_3[Country],Table1_3[[#This Row],[Country]],Table1_3[Product],Table1_3[[#This Row],[Product]],Table1_3[Sales Person],Table1_3[[#This Row],[Sales Person]],Table1_3[Amount],"&lt;=100")&gt;=2,"Contract","Deal")</f>
        <v>Deal</v>
      </c>
    </row>
    <row r="1532" spans="1:7" x14ac:dyDescent="0.3">
      <c r="A1532" t="s">
        <v>53</v>
      </c>
      <c r="B1532" t="s">
        <v>7</v>
      </c>
      <c r="C1532" t="s">
        <v>87</v>
      </c>
      <c r="D1532">
        <v>3038</v>
      </c>
      <c r="E1532">
        <v>135</v>
      </c>
      <c r="F1532" s="1">
        <v>44680</v>
      </c>
      <c r="G1532" t="str">
        <f>IF(COUNTIFS(Table1_3[Country],Table1_3[[#This Row],[Country]],Table1_3[Product],Table1_3[[#This Row],[Product]],Table1_3[Sales Person],Table1_3[[#This Row],[Sales Person]],Table1_3[Amount],"&lt;=100")&gt;=2,"Contract","Deal")</f>
        <v>Deal</v>
      </c>
    </row>
    <row r="1533" spans="1:7" x14ac:dyDescent="0.3">
      <c r="A1533" t="s">
        <v>53</v>
      </c>
      <c r="B1533" t="s">
        <v>7</v>
      </c>
      <c r="C1533" t="s">
        <v>87</v>
      </c>
      <c r="D1533">
        <v>3070.43</v>
      </c>
      <c r="E1533">
        <v>143</v>
      </c>
      <c r="F1533" s="1">
        <v>45045</v>
      </c>
      <c r="G1533" t="str">
        <f>IF(COUNTIFS(Table1_3[Country],Table1_3[[#This Row],[Country]],Table1_3[Product],Table1_3[[#This Row],[Product]],Table1_3[Sales Person],Table1_3[[#This Row],[Sales Person]],Table1_3[Amount],"&lt;=100")&gt;=2,"Contract","Deal")</f>
        <v>Deal</v>
      </c>
    </row>
    <row r="1534" spans="1:7" x14ac:dyDescent="0.3">
      <c r="A1534" t="s">
        <v>53</v>
      </c>
      <c r="B1534" t="s">
        <v>7</v>
      </c>
      <c r="C1534" t="s">
        <v>87</v>
      </c>
      <c r="D1534">
        <v>3465.68</v>
      </c>
      <c r="E1534">
        <v>133</v>
      </c>
      <c r="F1534" s="1">
        <v>45411</v>
      </c>
      <c r="G1534" t="str">
        <f>IF(COUNTIFS(Table1_3[Country],Table1_3[[#This Row],[Country]],Table1_3[Product],Table1_3[[#This Row],[Product]],Table1_3[Sales Person],Table1_3[[#This Row],[Sales Person]],Table1_3[Amount],"&lt;=100")&gt;=2,"Contract","Deal")</f>
        <v>Deal</v>
      </c>
    </row>
    <row r="1535" spans="1:7" x14ac:dyDescent="0.3">
      <c r="A1535" t="s">
        <v>53</v>
      </c>
      <c r="B1535" t="s">
        <v>7</v>
      </c>
      <c r="C1535" t="s">
        <v>90</v>
      </c>
      <c r="D1535">
        <v>14938</v>
      </c>
      <c r="E1535">
        <v>433</v>
      </c>
      <c r="F1535" s="1">
        <v>44666</v>
      </c>
      <c r="G1535" t="str">
        <f>IF(COUNTIFS(Table1_3[Country],Table1_3[[#This Row],[Country]],Table1_3[Product],Table1_3[[#This Row],[Product]],Table1_3[Sales Person],Table1_3[[#This Row],[Sales Person]],Table1_3[Amount],"&lt;=100")&gt;=2,"Contract","Deal")</f>
        <v>Deal</v>
      </c>
    </row>
    <row r="1536" spans="1:7" x14ac:dyDescent="0.3">
      <c r="A1536" t="s">
        <v>53</v>
      </c>
      <c r="B1536" t="s">
        <v>7</v>
      </c>
      <c r="C1536" t="s">
        <v>90</v>
      </c>
      <c r="D1536">
        <v>17059.689999999999</v>
      </c>
      <c r="E1536">
        <v>456</v>
      </c>
      <c r="F1536" s="1">
        <v>45031</v>
      </c>
      <c r="G1536" t="str">
        <f>IF(COUNTIFS(Table1_3[Country],Table1_3[[#This Row],[Country]],Table1_3[Product],Table1_3[[#This Row],[Product]],Table1_3[Sales Person],Table1_3[[#This Row],[Sales Person]],Table1_3[Amount],"&lt;=100")&gt;=2,"Contract","Deal")</f>
        <v>Deal</v>
      </c>
    </row>
    <row r="1537" spans="1:7" x14ac:dyDescent="0.3">
      <c r="A1537" t="s">
        <v>53</v>
      </c>
      <c r="B1537" t="s">
        <v>7</v>
      </c>
      <c r="C1537" t="s">
        <v>90</v>
      </c>
      <c r="D1537">
        <v>16457.28</v>
      </c>
      <c r="E1537">
        <v>442</v>
      </c>
      <c r="F1537" s="1">
        <v>45397</v>
      </c>
      <c r="G1537" t="str">
        <f>IF(COUNTIFS(Table1_3[Country],Table1_3[[#This Row],[Country]],Table1_3[Product],Table1_3[[#This Row],[Product]],Table1_3[Sales Person],Table1_3[[#This Row],[Sales Person]],Table1_3[Amount],"&lt;=100")&gt;=2,"Contract","Deal")</f>
        <v>Deal</v>
      </c>
    </row>
    <row r="1538" spans="1:7" x14ac:dyDescent="0.3">
      <c r="A1538" t="s">
        <v>53</v>
      </c>
      <c r="B1538" t="s">
        <v>7</v>
      </c>
      <c r="C1538" t="s">
        <v>75</v>
      </c>
      <c r="D1538">
        <v>4333</v>
      </c>
      <c r="E1538">
        <v>43</v>
      </c>
      <c r="F1538" s="1">
        <v>44622</v>
      </c>
      <c r="G1538" t="str">
        <f>IF(COUNTIFS(Table1_3[Country],Table1_3[[#This Row],[Country]],Table1_3[Product],Table1_3[[#This Row],[Product]],Table1_3[Sales Person],Table1_3[[#This Row],[Sales Person]],Table1_3[Amount],"&lt;=100")&gt;=2,"Contract","Deal")</f>
        <v>Deal</v>
      </c>
    </row>
    <row r="1539" spans="1:7" x14ac:dyDescent="0.3">
      <c r="A1539" t="s">
        <v>53</v>
      </c>
      <c r="B1539" t="s">
        <v>7</v>
      </c>
      <c r="C1539" t="s">
        <v>75</v>
      </c>
      <c r="D1539">
        <v>4679.0600000000004</v>
      </c>
      <c r="E1539">
        <v>43</v>
      </c>
      <c r="F1539" s="1">
        <v>44987</v>
      </c>
      <c r="G1539" t="str">
        <f>IF(COUNTIFS(Table1_3[Country],Table1_3[[#This Row],[Country]],Table1_3[Product],Table1_3[[#This Row],[Product]],Table1_3[Sales Person],Table1_3[[#This Row],[Sales Person]],Table1_3[Amount],"&lt;=100")&gt;=2,"Contract","Deal")</f>
        <v>Deal</v>
      </c>
    </row>
    <row r="1540" spans="1:7" x14ac:dyDescent="0.3">
      <c r="A1540" t="s">
        <v>53</v>
      </c>
      <c r="B1540" t="s">
        <v>7</v>
      </c>
      <c r="C1540" t="s">
        <v>75</v>
      </c>
      <c r="D1540">
        <v>5057.1000000000004</v>
      </c>
      <c r="E1540">
        <v>41</v>
      </c>
      <c r="F1540" s="1">
        <v>45353</v>
      </c>
      <c r="G1540" t="str">
        <f>IF(COUNTIFS(Table1_3[Country],Table1_3[[#This Row],[Country]],Table1_3[Product],Table1_3[[#This Row],[Product]],Table1_3[Sales Person],Table1_3[[#This Row],[Sales Person]],Table1_3[Amount],"&lt;=100")&gt;=2,"Contract","Deal")</f>
        <v>Deal</v>
      </c>
    </row>
    <row r="1541" spans="1:7" x14ac:dyDescent="0.3">
      <c r="A1541" t="s">
        <v>53</v>
      </c>
      <c r="B1541" t="s">
        <v>7</v>
      </c>
      <c r="C1541" t="s">
        <v>38</v>
      </c>
      <c r="D1541">
        <v>3003</v>
      </c>
      <c r="E1541">
        <v>113</v>
      </c>
      <c r="F1541" s="1">
        <v>44634</v>
      </c>
      <c r="G1541" t="str">
        <f>IF(COUNTIFS(Table1_3[Country],Table1_3[[#This Row],[Country]],Table1_3[Product],Table1_3[[#This Row],[Product]],Table1_3[Sales Person],Table1_3[[#This Row],[Sales Person]],Table1_3[Amount],"&lt;=100")&gt;=2,"Contract","Deal")</f>
        <v>Deal</v>
      </c>
    </row>
    <row r="1542" spans="1:7" x14ac:dyDescent="0.3">
      <c r="A1542" t="s">
        <v>53</v>
      </c>
      <c r="B1542" t="s">
        <v>7</v>
      </c>
      <c r="C1542" t="s">
        <v>38</v>
      </c>
      <c r="D1542">
        <v>3275.4</v>
      </c>
      <c r="E1542">
        <v>120</v>
      </c>
      <c r="F1542" s="1">
        <v>44999</v>
      </c>
      <c r="G1542" t="str">
        <f>IF(COUNTIFS(Table1_3[Country],Table1_3[[#This Row],[Country]],Table1_3[Product],Table1_3[[#This Row],[Product]],Table1_3[Sales Person],Table1_3[[#This Row],[Sales Person]],Table1_3[Amount],"&lt;=100")&gt;=2,"Contract","Deal")</f>
        <v>Deal</v>
      </c>
    </row>
    <row r="1543" spans="1:7" x14ac:dyDescent="0.3">
      <c r="A1543" t="s">
        <v>53</v>
      </c>
      <c r="B1543" t="s">
        <v>7</v>
      </c>
      <c r="C1543" t="s">
        <v>38</v>
      </c>
      <c r="D1543">
        <v>3562.44</v>
      </c>
      <c r="E1543">
        <v>111</v>
      </c>
      <c r="F1543" s="1">
        <v>45365</v>
      </c>
      <c r="G1543" t="str">
        <f>IF(COUNTIFS(Table1_3[Country],Table1_3[[#This Row],[Country]],Table1_3[Product],Table1_3[[#This Row],[Product]],Table1_3[Sales Person],Table1_3[[#This Row],[Sales Person]],Table1_3[Amount],"&lt;=100")&gt;=2,"Contract","Deal")</f>
        <v>Deal</v>
      </c>
    </row>
    <row r="1544" spans="1:7" x14ac:dyDescent="0.3">
      <c r="A1544" t="s">
        <v>53</v>
      </c>
      <c r="B1544" t="s">
        <v>7</v>
      </c>
      <c r="C1544" t="s">
        <v>36</v>
      </c>
      <c r="D1544">
        <v>1750</v>
      </c>
      <c r="E1544">
        <v>252</v>
      </c>
      <c r="F1544" s="1">
        <v>44803</v>
      </c>
      <c r="G1544" t="str">
        <f>IF(COUNTIFS(Table1_3[Country],Table1_3[[#This Row],[Country]],Table1_3[Product],Table1_3[[#This Row],[Product]],Table1_3[Sales Person],Table1_3[[#This Row],[Sales Person]],Table1_3[Amount],"&lt;=100")&gt;=2,"Contract","Deal")</f>
        <v>Deal</v>
      </c>
    </row>
    <row r="1545" spans="1:7" x14ac:dyDescent="0.3">
      <c r="A1545" t="s">
        <v>53</v>
      </c>
      <c r="B1545" t="s">
        <v>7</v>
      </c>
      <c r="C1545" t="s">
        <v>36</v>
      </c>
      <c r="D1545">
        <v>1912.66</v>
      </c>
      <c r="E1545">
        <v>253</v>
      </c>
      <c r="F1545" s="1">
        <v>45168</v>
      </c>
      <c r="G1545" t="str">
        <f>IF(COUNTIFS(Table1_3[Country],Table1_3[[#This Row],[Country]],Table1_3[Product],Table1_3[[#This Row],[Product]],Table1_3[Sales Person],Table1_3[[#This Row],[Sales Person]],Table1_3[Amount],"&lt;=100")&gt;=2,"Contract","Deal")</f>
        <v>Deal</v>
      </c>
    </row>
    <row r="1546" spans="1:7" x14ac:dyDescent="0.3">
      <c r="A1546" t="s">
        <v>53</v>
      </c>
      <c r="B1546" t="s">
        <v>7</v>
      </c>
      <c r="C1546" t="s">
        <v>36</v>
      </c>
      <c r="D1546">
        <v>1955.2</v>
      </c>
      <c r="E1546">
        <v>250</v>
      </c>
      <c r="F1546" s="1">
        <v>45534</v>
      </c>
      <c r="G1546" t="str">
        <f>IF(COUNTIFS(Table1_3[Country],Table1_3[[#This Row],[Country]],Table1_3[Product],Table1_3[[#This Row],[Product]],Table1_3[Sales Person],Table1_3[[#This Row],[Sales Person]],Table1_3[Amount],"&lt;=100")&gt;=2,"Contract","Deal")</f>
        <v>Deal</v>
      </c>
    </row>
    <row r="1547" spans="1:7" x14ac:dyDescent="0.3">
      <c r="A1547" t="s">
        <v>53</v>
      </c>
      <c r="B1547" t="s">
        <v>7</v>
      </c>
      <c r="C1547" t="s">
        <v>50</v>
      </c>
      <c r="D1547">
        <v>4697</v>
      </c>
      <c r="E1547">
        <v>42</v>
      </c>
      <c r="F1547" s="1">
        <v>44798</v>
      </c>
      <c r="G1547" t="str">
        <f>IF(COUNTIFS(Table1_3[Country],Table1_3[[#This Row],[Country]],Table1_3[Product],Table1_3[[#This Row],[Product]],Table1_3[Sales Person],Table1_3[[#This Row],[Sales Person]],Table1_3[Amount],"&lt;=100")&gt;=2,"Contract","Deal")</f>
        <v>Deal</v>
      </c>
    </row>
    <row r="1548" spans="1:7" x14ac:dyDescent="0.3">
      <c r="A1548" t="s">
        <v>53</v>
      </c>
      <c r="B1548" t="s">
        <v>7</v>
      </c>
      <c r="C1548" t="s">
        <v>50</v>
      </c>
      <c r="D1548">
        <v>5068.99</v>
      </c>
      <c r="E1548">
        <v>45</v>
      </c>
      <c r="F1548" s="1">
        <v>45163</v>
      </c>
      <c r="G1548" t="str">
        <f>IF(COUNTIFS(Table1_3[Country],Table1_3[[#This Row],[Country]],Table1_3[Product],Table1_3[[#This Row],[Product]],Table1_3[Sales Person],Table1_3[[#This Row],[Sales Person]],Table1_3[Amount],"&lt;=100")&gt;=2,"Contract","Deal")</f>
        <v>Deal</v>
      </c>
    </row>
    <row r="1549" spans="1:7" x14ac:dyDescent="0.3">
      <c r="A1549" t="s">
        <v>53</v>
      </c>
      <c r="B1549" t="s">
        <v>7</v>
      </c>
      <c r="C1549" t="s">
        <v>50</v>
      </c>
      <c r="D1549">
        <v>5593.68</v>
      </c>
      <c r="E1549">
        <v>41</v>
      </c>
      <c r="F1549" s="1">
        <v>45529</v>
      </c>
      <c r="G1549" t="str">
        <f>IF(COUNTIFS(Table1_3[Country],Table1_3[[#This Row],[Country]],Table1_3[Product],Table1_3[[#This Row],[Product]],Table1_3[Sales Person],Table1_3[[#This Row],[Sales Person]],Table1_3[Amount],"&lt;=100")&gt;=2,"Contract","Deal")</f>
        <v>Deal</v>
      </c>
    </row>
    <row r="1550" spans="1:7" x14ac:dyDescent="0.3">
      <c r="A1550" t="s">
        <v>53</v>
      </c>
      <c r="B1550" t="s">
        <v>7</v>
      </c>
      <c r="C1550" t="s">
        <v>59</v>
      </c>
      <c r="D1550">
        <v>10815</v>
      </c>
      <c r="E1550">
        <v>145</v>
      </c>
      <c r="F1550" s="1">
        <v>44574</v>
      </c>
      <c r="G1550" t="str">
        <f>IF(COUNTIFS(Table1_3[Country],Table1_3[[#This Row],[Country]],Table1_3[Product],Table1_3[[#This Row],[Product]],Table1_3[Sales Person],Table1_3[[#This Row],[Sales Person]],Table1_3[Amount],"&lt;=100")&gt;=2,"Contract","Deal")</f>
        <v>Deal</v>
      </c>
    </row>
    <row r="1551" spans="1:7" x14ac:dyDescent="0.3">
      <c r="A1551" t="s">
        <v>53</v>
      </c>
      <c r="B1551" t="s">
        <v>7</v>
      </c>
      <c r="C1551" t="s">
        <v>59</v>
      </c>
      <c r="D1551">
        <v>10843.46</v>
      </c>
      <c r="E1551">
        <v>142</v>
      </c>
      <c r="F1551" s="1">
        <v>44939</v>
      </c>
      <c r="G1551" t="str">
        <f>IF(COUNTIFS(Table1_3[Country],Table1_3[[#This Row],[Country]],Table1_3[Product],Table1_3[[#This Row],[Product]],Table1_3[Sales Person],Table1_3[[#This Row],[Sales Person]],Table1_3[Amount],"&lt;=100")&gt;=2,"Contract","Deal")</f>
        <v>Deal</v>
      </c>
    </row>
    <row r="1552" spans="1:7" x14ac:dyDescent="0.3">
      <c r="A1552" t="s">
        <v>53</v>
      </c>
      <c r="B1552" t="s">
        <v>7</v>
      </c>
      <c r="C1552" t="s">
        <v>59</v>
      </c>
      <c r="D1552">
        <v>12782.63</v>
      </c>
      <c r="E1552">
        <v>158</v>
      </c>
      <c r="F1552" s="1">
        <v>45304</v>
      </c>
      <c r="G1552" t="str">
        <f>IF(COUNTIFS(Table1_3[Country],Table1_3[[#This Row],[Country]],Table1_3[Product],Table1_3[[#This Row],[Product]],Table1_3[Sales Person],Table1_3[[#This Row],[Sales Person]],Table1_3[Amount],"&lt;=100")&gt;=2,"Contract","Deal")</f>
        <v>Deal</v>
      </c>
    </row>
    <row r="1553" spans="1:7" x14ac:dyDescent="0.3">
      <c r="A1553" t="s">
        <v>53</v>
      </c>
      <c r="B1553" t="s">
        <v>32</v>
      </c>
      <c r="C1553" t="s">
        <v>11</v>
      </c>
      <c r="D1553">
        <v>378</v>
      </c>
      <c r="E1553">
        <v>54</v>
      </c>
      <c r="F1553" s="1">
        <v>44781</v>
      </c>
      <c r="G1553" t="str">
        <f>IF(COUNTIFS(Table1_3[Country],Table1_3[[#This Row],[Country]],Table1_3[Product],Table1_3[[#This Row],[Product]],Table1_3[Sales Person],Table1_3[[#This Row],[Sales Person]],Table1_3[Amount],"&lt;=100")&gt;=2,"Contract","Deal")</f>
        <v>Deal</v>
      </c>
    </row>
    <row r="1554" spans="1:7" x14ac:dyDescent="0.3">
      <c r="A1554" t="s">
        <v>53</v>
      </c>
      <c r="B1554" t="s">
        <v>32</v>
      </c>
      <c r="C1554" t="s">
        <v>11</v>
      </c>
      <c r="D1554">
        <v>398.28</v>
      </c>
      <c r="E1554">
        <v>52</v>
      </c>
      <c r="F1554" s="1">
        <v>45146</v>
      </c>
      <c r="G1554" t="str">
        <f>IF(COUNTIFS(Table1_3[Country],Table1_3[[#This Row],[Country]],Table1_3[Product],Table1_3[[#This Row],[Product]],Table1_3[Sales Person],Table1_3[[#This Row],[Sales Person]],Table1_3[Amount],"&lt;=100")&gt;=2,"Contract","Deal")</f>
        <v>Deal</v>
      </c>
    </row>
    <row r="1555" spans="1:7" x14ac:dyDescent="0.3">
      <c r="A1555" t="s">
        <v>53</v>
      </c>
      <c r="B1555" t="s">
        <v>32</v>
      </c>
      <c r="C1555" t="s">
        <v>11</v>
      </c>
      <c r="D1555">
        <v>415.67</v>
      </c>
      <c r="E1555">
        <v>59</v>
      </c>
      <c r="F1555" s="1">
        <v>45512</v>
      </c>
      <c r="G1555" t="str">
        <f>IF(COUNTIFS(Table1_3[Country],Table1_3[[#This Row],[Country]],Table1_3[Product],Table1_3[[#This Row],[Product]],Table1_3[Sales Person],Table1_3[[#This Row],[Sales Person]],Table1_3[Amount],"&lt;=100")&gt;=2,"Contract","Deal")</f>
        <v>Deal</v>
      </c>
    </row>
    <row r="1556" spans="1:7" x14ac:dyDescent="0.3">
      <c r="A1556" t="s">
        <v>53</v>
      </c>
      <c r="B1556" t="s">
        <v>32</v>
      </c>
      <c r="C1556" t="s">
        <v>20</v>
      </c>
      <c r="D1556">
        <v>9534</v>
      </c>
      <c r="E1556">
        <v>111</v>
      </c>
      <c r="F1556" s="1">
        <v>44613</v>
      </c>
      <c r="G1556" t="str">
        <f>IF(COUNTIFS(Table1_3[Country],Table1_3[[#This Row],[Country]],Table1_3[Product],Table1_3[[#This Row],[Product]],Table1_3[Sales Person],Table1_3[[#This Row],[Sales Person]],Table1_3[Amount],"&lt;=100")&gt;=2,"Contract","Deal")</f>
        <v>Deal</v>
      </c>
    </row>
    <row r="1557" spans="1:7" x14ac:dyDescent="0.3">
      <c r="A1557" t="s">
        <v>53</v>
      </c>
      <c r="B1557" t="s">
        <v>32</v>
      </c>
      <c r="C1557" t="s">
        <v>20</v>
      </c>
      <c r="D1557">
        <v>9878.5</v>
      </c>
      <c r="E1557">
        <v>111</v>
      </c>
      <c r="F1557" s="1">
        <v>44978</v>
      </c>
      <c r="G1557" t="str">
        <f>IF(COUNTIFS(Table1_3[Country],Table1_3[[#This Row],[Country]],Table1_3[Product],Table1_3[[#This Row],[Product]],Table1_3[Sales Person],Table1_3[[#This Row],[Sales Person]],Table1_3[Amount],"&lt;=100")&gt;=2,"Contract","Deal")</f>
        <v>Deal</v>
      </c>
    </row>
    <row r="1558" spans="1:7" x14ac:dyDescent="0.3">
      <c r="A1558" t="s">
        <v>53</v>
      </c>
      <c r="B1558" t="s">
        <v>32</v>
      </c>
      <c r="C1558" t="s">
        <v>20</v>
      </c>
      <c r="D1558">
        <v>10020.18</v>
      </c>
      <c r="E1558">
        <v>113</v>
      </c>
      <c r="F1558" s="1">
        <v>45343</v>
      </c>
      <c r="G1558" t="str">
        <f>IF(COUNTIFS(Table1_3[Country],Table1_3[[#This Row],[Country]],Table1_3[Product],Table1_3[[#This Row],[Product]],Table1_3[Sales Person],Table1_3[[#This Row],[Sales Person]],Table1_3[Amount],"&lt;=100")&gt;=2,"Contract","Deal")</f>
        <v>Deal</v>
      </c>
    </row>
    <row r="1559" spans="1:7" x14ac:dyDescent="0.3">
      <c r="A1559" t="s">
        <v>53</v>
      </c>
      <c r="B1559" t="s">
        <v>32</v>
      </c>
      <c r="C1559" t="s">
        <v>23</v>
      </c>
      <c r="D1559">
        <v>11571</v>
      </c>
      <c r="E1559">
        <v>180</v>
      </c>
      <c r="F1559" s="1">
        <v>44659</v>
      </c>
      <c r="G1559" t="str">
        <f>IF(COUNTIFS(Table1_3[Country],Table1_3[[#This Row],[Country]],Table1_3[Product],Table1_3[[#This Row],[Product]],Table1_3[Sales Person],Table1_3[[#This Row],[Sales Person]],Table1_3[Amount],"&lt;=100")&gt;=2,"Contract","Deal")</f>
        <v>Deal</v>
      </c>
    </row>
    <row r="1560" spans="1:7" x14ac:dyDescent="0.3">
      <c r="A1560" t="s">
        <v>53</v>
      </c>
      <c r="B1560" t="s">
        <v>32</v>
      </c>
      <c r="C1560" t="s">
        <v>23</v>
      </c>
      <c r="D1560">
        <v>13051.75</v>
      </c>
      <c r="E1560">
        <v>193</v>
      </c>
      <c r="F1560" s="1">
        <v>45024</v>
      </c>
      <c r="G1560" t="str">
        <f>IF(COUNTIFS(Table1_3[Country],Table1_3[[#This Row],[Country]],Table1_3[Product],Table1_3[[#This Row],[Product]],Table1_3[Sales Person],Table1_3[[#This Row],[Sales Person]],Table1_3[Amount],"&lt;=100")&gt;=2,"Contract","Deal")</f>
        <v>Deal</v>
      </c>
    </row>
    <row r="1561" spans="1:7" x14ac:dyDescent="0.3">
      <c r="A1561" t="s">
        <v>53</v>
      </c>
      <c r="B1561" t="s">
        <v>32</v>
      </c>
      <c r="C1561" t="s">
        <v>23</v>
      </c>
      <c r="D1561">
        <v>13999.05</v>
      </c>
      <c r="E1561">
        <v>179</v>
      </c>
      <c r="F1561" s="1">
        <v>45390</v>
      </c>
      <c r="G1561" t="str">
        <f>IF(COUNTIFS(Table1_3[Country],Table1_3[[#This Row],[Country]],Table1_3[Product],Table1_3[[#This Row],[Product]],Table1_3[Sales Person],Table1_3[[#This Row],[Sales Person]],Table1_3[Amount],"&lt;=100")&gt;=2,"Contract","Deal")</f>
        <v>Deal</v>
      </c>
    </row>
    <row r="1562" spans="1:7" x14ac:dyDescent="0.3">
      <c r="A1562" t="s">
        <v>53</v>
      </c>
      <c r="B1562" t="s">
        <v>32</v>
      </c>
      <c r="C1562" t="s">
        <v>36</v>
      </c>
      <c r="D1562">
        <v>4025</v>
      </c>
      <c r="E1562">
        <v>112</v>
      </c>
      <c r="F1562" s="1">
        <v>44749</v>
      </c>
      <c r="G1562" t="str">
        <f>IF(COUNTIFS(Table1_3[Country],Table1_3[[#This Row],[Country]],Table1_3[Product],Table1_3[[#This Row],[Product]],Table1_3[Sales Person],Table1_3[[#This Row],[Sales Person]],Table1_3[Amount],"&lt;=100")&gt;=2,"Contract","Deal")</f>
        <v>Deal</v>
      </c>
    </row>
    <row r="1563" spans="1:7" x14ac:dyDescent="0.3">
      <c r="A1563" t="s">
        <v>53</v>
      </c>
      <c r="B1563" t="s">
        <v>32</v>
      </c>
      <c r="C1563" t="s">
        <v>36</v>
      </c>
      <c r="D1563">
        <v>4168.93</v>
      </c>
      <c r="E1563">
        <v>122</v>
      </c>
      <c r="F1563" s="1">
        <v>45114</v>
      </c>
      <c r="G1563" t="str">
        <f>IF(COUNTIFS(Table1_3[Country],Table1_3[[#This Row],[Country]],Table1_3[Product],Table1_3[[#This Row],[Product]],Table1_3[Sales Person],Table1_3[[#This Row],[Sales Person]],Table1_3[Amount],"&lt;=100")&gt;=2,"Contract","Deal")</f>
        <v>Deal</v>
      </c>
    </row>
    <row r="1564" spans="1:7" x14ac:dyDescent="0.3">
      <c r="A1564" t="s">
        <v>53</v>
      </c>
      <c r="B1564" t="s">
        <v>32</v>
      </c>
      <c r="C1564" t="s">
        <v>36</v>
      </c>
      <c r="D1564">
        <v>4449.37</v>
      </c>
      <c r="E1564">
        <v>113</v>
      </c>
      <c r="F1564" s="1">
        <v>45480</v>
      </c>
      <c r="G1564" t="str">
        <f>IF(COUNTIFS(Table1_3[Country],Table1_3[[#This Row],[Country]],Table1_3[Product],Table1_3[[#This Row],[Product]],Table1_3[Sales Person],Table1_3[[#This Row],[Sales Person]],Table1_3[Amount],"&lt;=100")&gt;=2,"Contract","Deal")</f>
        <v>Deal</v>
      </c>
    </row>
    <row r="1565" spans="1:7" x14ac:dyDescent="0.3">
      <c r="A1565" t="s">
        <v>53</v>
      </c>
      <c r="B1565" t="s">
        <v>32</v>
      </c>
      <c r="C1565" t="s">
        <v>57</v>
      </c>
      <c r="D1565">
        <v>1288</v>
      </c>
      <c r="E1565">
        <v>27</v>
      </c>
      <c r="F1565" s="1">
        <v>44679</v>
      </c>
      <c r="G1565" t="str">
        <f>IF(COUNTIFS(Table1_3[Country],Table1_3[[#This Row],[Country]],Table1_3[Product],Table1_3[[#This Row],[Product]],Table1_3[Sales Person],Table1_3[[#This Row],[Sales Person]],Table1_3[Amount],"&lt;=100")&gt;=2,"Contract","Deal")</f>
        <v>Deal</v>
      </c>
    </row>
    <row r="1566" spans="1:7" x14ac:dyDescent="0.3">
      <c r="A1566" t="s">
        <v>53</v>
      </c>
      <c r="B1566" t="s">
        <v>32</v>
      </c>
      <c r="C1566" t="s">
        <v>57</v>
      </c>
      <c r="D1566">
        <v>1387.72</v>
      </c>
      <c r="E1566">
        <v>27</v>
      </c>
      <c r="F1566" s="1">
        <v>45044</v>
      </c>
      <c r="G1566" t="str">
        <f>IF(COUNTIFS(Table1_3[Country],Table1_3[[#This Row],[Country]],Table1_3[Product],Table1_3[[#This Row],[Product]],Table1_3[Sales Person],Table1_3[[#This Row],[Sales Person]],Table1_3[Amount],"&lt;=100")&gt;=2,"Contract","Deal")</f>
        <v>Deal</v>
      </c>
    </row>
    <row r="1567" spans="1:7" x14ac:dyDescent="0.3">
      <c r="A1567" t="s">
        <v>53</v>
      </c>
      <c r="B1567" t="s">
        <v>32</v>
      </c>
      <c r="C1567" t="s">
        <v>57</v>
      </c>
      <c r="D1567">
        <v>1508.57</v>
      </c>
      <c r="E1567">
        <v>28</v>
      </c>
      <c r="F1567" s="1">
        <v>45410</v>
      </c>
      <c r="G1567" t="str">
        <f>IF(COUNTIFS(Table1_3[Country],Table1_3[[#This Row],[Country]],Table1_3[Product],Table1_3[[#This Row],[Product]],Table1_3[Sales Person],Table1_3[[#This Row],[Sales Person]],Table1_3[Amount],"&lt;=100")&gt;=2,"Contract","Deal")</f>
        <v>Deal</v>
      </c>
    </row>
    <row r="1568" spans="1:7" x14ac:dyDescent="0.3">
      <c r="A1568" t="s">
        <v>53</v>
      </c>
      <c r="B1568" t="s">
        <v>32</v>
      </c>
      <c r="C1568" t="s">
        <v>46</v>
      </c>
      <c r="D1568">
        <v>854</v>
      </c>
      <c r="E1568">
        <v>56</v>
      </c>
      <c r="F1568" s="1">
        <v>44622</v>
      </c>
      <c r="G1568" t="str">
        <f>IF(COUNTIFS(Table1_3[Country],Table1_3[[#This Row],[Country]],Table1_3[Product],Table1_3[[#This Row],[Product]],Table1_3[Sales Person],Table1_3[[#This Row],[Sales Person]],Table1_3[Amount],"&lt;=100")&gt;=2,"Contract","Deal")</f>
        <v>Deal</v>
      </c>
    </row>
    <row r="1569" spans="1:7" x14ac:dyDescent="0.3">
      <c r="A1569" t="s">
        <v>53</v>
      </c>
      <c r="B1569" t="s">
        <v>32</v>
      </c>
      <c r="C1569" t="s">
        <v>46</v>
      </c>
      <c r="D1569">
        <v>934.49</v>
      </c>
      <c r="E1569">
        <v>54</v>
      </c>
      <c r="F1569" s="1">
        <v>44987</v>
      </c>
      <c r="G1569" t="str">
        <f>IF(COUNTIFS(Table1_3[Country],Table1_3[[#This Row],[Country]],Table1_3[Product],Table1_3[[#This Row],[Product]],Table1_3[Sales Person],Table1_3[[#This Row],[Sales Person]],Table1_3[Amount],"&lt;=100")&gt;=2,"Contract","Deal")</f>
        <v>Deal</v>
      </c>
    </row>
    <row r="1570" spans="1:7" x14ac:dyDescent="0.3">
      <c r="A1570" t="s">
        <v>53</v>
      </c>
      <c r="B1570" t="s">
        <v>32</v>
      </c>
      <c r="C1570" t="s">
        <v>46</v>
      </c>
      <c r="D1570">
        <v>1031.25</v>
      </c>
      <c r="E1570">
        <v>55</v>
      </c>
      <c r="F1570" s="1">
        <v>45353</v>
      </c>
      <c r="G1570" t="str">
        <f>IF(COUNTIFS(Table1_3[Country],Table1_3[[#This Row],[Country]],Table1_3[Product],Table1_3[[#This Row],[Product]],Table1_3[Sales Person],Table1_3[[#This Row],[Sales Person]],Table1_3[Amount],"&lt;=100")&gt;=2,"Contract","Deal")</f>
        <v>Deal</v>
      </c>
    </row>
    <row r="1571" spans="1:7" x14ac:dyDescent="0.3">
      <c r="A1571" t="s">
        <v>53</v>
      </c>
      <c r="B1571" t="s">
        <v>32</v>
      </c>
      <c r="C1571" t="s">
        <v>59</v>
      </c>
      <c r="D1571">
        <v>2030</v>
      </c>
      <c r="E1571">
        <v>60</v>
      </c>
      <c r="F1571" s="1">
        <v>44755</v>
      </c>
      <c r="G1571" t="str">
        <f>IF(COUNTIFS(Table1_3[Country],Table1_3[[#This Row],[Country]],Table1_3[Product],Table1_3[[#This Row],[Product]],Table1_3[Sales Person],Table1_3[[#This Row],[Sales Person]],Table1_3[Amount],"&lt;=100")&gt;=2,"Contract","Deal")</f>
        <v>Deal</v>
      </c>
    </row>
    <row r="1572" spans="1:7" x14ac:dyDescent="0.3">
      <c r="A1572" t="s">
        <v>53</v>
      </c>
      <c r="B1572" t="s">
        <v>32</v>
      </c>
      <c r="C1572" t="s">
        <v>59</v>
      </c>
      <c r="D1572">
        <v>2066.48</v>
      </c>
      <c r="E1572">
        <v>59</v>
      </c>
      <c r="F1572" s="1">
        <v>45120</v>
      </c>
      <c r="G1572" t="str">
        <f>IF(COUNTIFS(Table1_3[Country],Table1_3[[#This Row],[Country]],Table1_3[Product],Table1_3[[#This Row],[Product]],Table1_3[Sales Person],Table1_3[[#This Row],[Sales Person]],Table1_3[Amount],"&lt;=100")&gt;=2,"Contract","Deal")</f>
        <v>Deal</v>
      </c>
    </row>
    <row r="1573" spans="1:7" x14ac:dyDescent="0.3">
      <c r="A1573" t="s">
        <v>53</v>
      </c>
      <c r="B1573" t="s">
        <v>32</v>
      </c>
      <c r="C1573" t="s">
        <v>59</v>
      </c>
      <c r="D1573">
        <v>2438.56</v>
      </c>
      <c r="E1573">
        <v>61</v>
      </c>
      <c r="F1573" s="1">
        <v>45486</v>
      </c>
      <c r="G1573" t="str">
        <f>IF(COUNTIFS(Table1_3[Country],Table1_3[[#This Row],[Country]],Table1_3[Product],Table1_3[[#This Row],[Product]],Table1_3[Sales Person],Table1_3[[#This Row],[Sales Person]],Table1_3[Amount],"&lt;=100")&gt;=2,"Contract","Deal")</f>
        <v>Deal</v>
      </c>
    </row>
    <row r="1574" spans="1:7" x14ac:dyDescent="0.3">
      <c r="A1574" t="s">
        <v>14</v>
      </c>
      <c r="B1574" t="s">
        <v>15</v>
      </c>
      <c r="C1574" t="s">
        <v>26</v>
      </c>
      <c r="D1574">
        <v>3402</v>
      </c>
      <c r="E1574">
        <v>182</v>
      </c>
      <c r="F1574" s="1">
        <v>44726</v>
      </c>
      <c r="G1574" t="str">
        <f>IF(COUNTIFS(Table1_3[Country],Table1_3[[#This Row],[Country]],Table1_3[Product],Table1_3[[#This Row],[Product]],Table1_3[Sales Person],Table1_3[[#This Row],[Sales Person]],Table1_3[Amount],"&lt;=100")&gt;=2,"Contract","Deal")</f>
        <v>Deal</v>
      </c>
    </row>
    <row r="1575" spans="1:7" x14ac:dyDescent="0.3">
      <c r="A1575" t="s">
        <v>14</v>
      </c>
      <c r="B1575" t="s">
        <v>15</v>
      </c>
      <c r="C1575" t="s">
        <v>26</v>
      </c>
      <c r="D1575">
        <v>3925.06</v>
      </c>
      <c r="E1575">
        <v>186</v>
      </c>
      <c r="F1575" s="1">
        <v>45091</v>
      </c>
      <c r="G1575" t="str">
        <f>IF(COUNTIFS(Table1_3[Country],Table1_3[[#This Row],[Country]],Table1_3[Product],Table1_3[[#This Row],[Product]],Table1_3[Sales Person],Table1_3[[#This Row],[Sales Person]],Table1_3[Amount],"&lt;=100")&gt;=2,"Contract","Deal")</f>
        <v>Deal</v>
      </c>
    </row>
    <row r="1576" spans="1:7" x14ac:dyDescent="0.3">
      <c r="A1576" t="s">
        <v>14</v>
      </c>
      <c r="B1576" t="s">
        <v>15</v>
      </c>
      <c r="C1576" t="s">
        <v>26</v>
      </c>
      <c r="D1576">
        <v>3894.16</v>
      </c>
      <c r="E1576">
        <v>173</v>
      </c>
      <c r="F1576" s="1">
        <v>45457</v>
      </c>
      <c r="G1576" t="str">
        <f>IF(COUNTIFS(Table1_3[Country],Table1_3[[#This Row],[Country]],Table1_3[Product],Table1_3[[#This Row],[Product]],Table1_3[Sales Person],Table1_3[[#This Row],[Sales Person]],Table1_3[Amount],"&lt;=100")&gt;=2,"Contract","Deal")</f>
        <v>Deal</v>
      </c>
    </row>
    <row r="1577" spans="1:7" x14ac:dyDescent="0.3">
      <c r="A1577" t="s">
        <v>14</v>
      </c>
      <c r="B1577" t="s">
        <v>15</v>
      </c>
      <c r="C1577" t="s">
        <v>100</v>
      </c>
      <c r="D1577">
        <v>5222</v>
      </c>
      <c r="E1577">
        <v>384</v>
      </c>
      <c r="F1577" s="1">
        <v>44624</v>
      </c>
      <c r="G1577" t="str">
        <f>IF(COUNTIFS(Table1_3[Country],Table1_3[[#This Row],[Country]],Table1_3[Product],Table1_3[[#This Row],[Product]],Table1_3[Sales Person],Table1_3[[#This Row],[Sales Person]],Table1_3[Amount],"&lt;=100")&gt;=2,"Contract","Deal")</f>
        <v>Deal</v>
      </c>
    </row>
    <row r="1578" spans="1:7" x14ac:dyDescent="0.3">
      <c r="A1578" t="s">
        <v>14</v>
      </c>
      <c r="B1578" t="s">
        <v>15</v>
      </c>
      <c r="C1578" t="s">
        <v>100</v>
      </c>
      <c r="D1578">
        <v>5924.44</v>
      </c>
      <c r="E1578">
        <v>396</v>
      </c>
      <c r="F1578" s="1">
        <v>44989</v>
      </c>
      <c r="G1578" t="str">
        <f>IF(COUNTIFS(Table1_3[Country],Table1_3[[#This Row],[Country]],Table1_3[Product],Table1_3[[#This Row],[Product]],Table1_3[Sales Person],Table1_3[[#This Row],[Sales Person]],Table1_3[Amount],"&lt;=100")&gt;=2,"Contract","Deal")</f>
        <v>Deal</v>
      </c>
    </row>
    <row r="1579" spans="1:7" x14ac:dyDescent="0.3">
      <c r="A1579" t="s">
        <v>14</v>
      </c>
      <c r="B1579" t="s">
        <v>15</v>
      </c>
      <c r="C1579" t="s">
        <v>100</v>
      </c>
      <c r="D1579">
        <v>6310.98</v>
      </c>
      <c r="E1579">
        <v>366</v>
      </c>
      <c r="F1579" s="1">
        <v>45355</v>
      </c>
      <c r="G1579" t="str">
        <f>IF(COUNTIFS(Table1_3[Country],Table1_3[[#This Row],[Country]],Table1_3[Product],Table1_3[[#This Row],[Product]],Table1_3[Sales Person],Table1_3[[#This Row],[Sales Person]],Table1_3[Amount],"&lt;=100")&gt;=2,"Contract","Deal")</f>
        <v>Deal</v>
      </c>
    </row>
    <row r="1580" spans="1:7" x14ac:dyDescent="0.3">
      <c r="A1580" t="s">
        <v>14</v>
      </c>
      <c r="B1580" t="s">
        <v>15</v>
      </c>
      <c r="C1580" t="s">
        <v>38</v>
      </c>
      <c r="D1580">
        <v>2821</v>
      </c>
      <c r="E1580">
        <v>24</v>
      </c>
      <c r="F1580" s="1">
        <v>44610</v>
      </c>
      <c r="G1580" t="str">
        <f>IF(COUNTIFS(Table1_3[Country],Table1_3[[#This Row],[Country]],Table1_3[Product],Table1_3[[#This Row],[Product]],Table1_3[Sales Person],Table1_3[[#This Row],[Sales Person]],Table1_3[Amount],"&lt;=100")&gt;=2,"Contract","Deal")</f>
        <v>Deal</v>
      </c>
    </row>
    <row r="1581" spans="1:7" x14ac:dyDescent="0.3">
      <c r="A1581" t="s">
        <v>14</v>
      </c>
      <c r="B1581" t="s">
        <v>15</v>
      </c>
      <c r="C1581" t="s">
        <v>38</v>
      </c>
      <c r="D1581">
        <v>2824.71</v>
      </c>
      <c r="E1581">
        <v>25</v>
      </c>
      <c r="F1581" s="1">
        <v>44975</v>
      </c>
      <c r="G1581" t="str">
        <f>IF(COUNTIFS(Table1_3[Country],Table1_3[[#This Row],[Country]],Table1_3[Product],Table1_3[[#This Row],[Product]],Table1_3[Sales Person],Table1_3[[#This Row],[Sales Person]],Table1_3[Amount],"&lt;=100")&gt;=2,"Contract","Deal")</f>
        <v>Deal</v>
      </c>
    </row>
    <row r="1582" spans="1:7" x14ac:dyDescent="0.3">
      <c r="A1582" t="s">
        <v>14</v>
      </c>
      <c r="B1582" t="s">
        <v>15</v>
      </c>
      <c r="C1582" t="s">
        <v>38</v>
      </c>
      <c r="D1582">
        <v>3160.97</v>
      </c>
      <c r="E1582">
        <v>25</v>
      </c>
      <c r="F1582" s="1">
        <v>45340</v>
      </c>
      <c r="G1582" t="str">
        <f>IF(COUNTIFS(Table1_3[Country],Table1_3[[#This Row],[Country]],Table1_3[Product],Table1_3[[#This Row],[Product]],Table1_3[Sales Person],Table1_3[[#This Row],[Sales Person]],Table1_3[Amount],"&lt;=100")&gt;=2,"Contract","Deal")</f>
        <v>Deal</v>
      </c>
    </row>
    <row r="1583" spans="1:7" x14ac:dyDescent="0.3">
      <c r="A1583" t="s">
        <v>14</v>
      </c>
      <c r="B1583" t="s">
        <v>15</v>
      </c>
      <c r="C1583" t="s">
        <v>8</v>
      </c>
      <c r="D1583">
        <v>17626</v>
      </c>
      <c r="E1583">
        <v>103</v>
      </c>
      <c r="F1583" s="1">
        <v>44614</v>
      </c>
      <c r="G1583" t="str">
        <f>IF(COUNTIFS(Table1_3[Country],Table1_3[[#This Row],[Country]],Table1_3[Product],Table1_3[[#This Row],[Product]],Table1_3[Sales Person],Table1_3[[#This Row],[Sales Person]],Table1_3[Amount],"&lt;=100")&gt;=2,"Contract","Deal")</f>
        <v>Deal</v>
      </c>
    </row>
    <row r="1584" spans="1:7" x14ac:dyDescent="0.3">
      <c r="A1584" t="s">
        <v>14</v>
      </c>
      <c r="B1584" t="s">
        <v>15</v>
      </c>
      <c r="C1584" t="s">
        <v>8</v>
      </c>
      <c r="D1584">
        <v>19999.55</v>
      </c>
      <c r="E1584">
        <v>106</v>
      </c>
      <c r="F1584" s="1">
        <v>44979</v>
      </c>
      <c r="G1584" t="str">
        <f>IF(COUNTIFS(Table1_3[Country],Table1_3[[#This Row],[Country]],Table1_3[Product],Table1_3[[#This Row],[Product]],Table1_3[Sales Person],Table1_3[[#This Row],[Sales Person]],Table1_3[Amount],"&lt;=100")&gt;=2,"Contract","Deal")</f>
        <v>Deal</v>
      </c>
    </row>
    <row r="1585" spans="1:7" x14ac:dyDescent="0.3">
      <c r="A1585" t="s">
        <v>14</v>
      </c>
      <c r="B1585" t="s">
        <v>15</v>
      </c>
      <c r="C1585" t="s">
        <v>8</v>
      </c>
      <c r="D1585">
        <v>19258.41</v>
      </c>
      <c r="E1585">
        <v>99</v>
      </c>
      <c r="F1585" s="1">
        <v>45344</v>
      </c>
      <c r="G1585" t="str">
        <f>IF(COUNTIFS(Table1_3[Country],Table1_3[[#This Row],[Country]],Table1_3[Product],Table1_3[[#This Row],[Product]],Table1_3[Sales Person],Table1_3[[#This Row],[Sales Person]],Table1_3[Amount],"&lt;=100")&gt;=2,"Contract","Deal")</f>
        <v>Deal</v>
      </c>
    </row>
    <row r="1586" spans="1:7" x14ac:dyDescent="0.3">
      <c r="A1586" t="s">
        <v>14</v>
      </c>
      <c r="B1586" t="s">
        <v>15</v>
      </c>
      <c r="C1586" t="s">
        <v>33</v>
      </c>
      <c r="D1586">
        <v>3199</v>
      </c>
      <c r="E1586">
        <v>122</v>
      </c>
      <c r="F1586" s="1">
        <v>44746</v>
      </c>
      <c r="G1586" t="str">
        <f>IF(COUNTIFS(Table1_3[Country],Table1_3[[#This Row],[Country]],Table1_3[Product],Table1_3[[#This Row],[Product]],Table1_3[Sales Person],Table1_3[[#This Row],[Sales Person]],Table1_3[Amount],"&lt;=100")&gt;=2,"Contract","Deal")</f>
        <v>Deal</v>
      </c>
    </row>
    <row r="1587" spans="1:7" x14ac:dyDescent="0.3">
      <c r="A1587" t="s">
        <v>14</v>
      </c>
      <c r="B1587" t="s">
        <v>15</v>
      </c>
      <c r="C1587" t="s">
        <v>33</v>
      </c>
      <c r="D1587">
        <v>3364.44</v>
      </c>
      <c r="E1587">
        <v>126</v>
      </c>
      <c r="F1587" s="1">
        <v>45111</v>
      </c>
      <c r="G1587" t="str">
        <f>IF(COUNTIFS(Table1_3[Country],Table1_3[[#This Row],[Country]],Table1_3[Product],Table1_3[[#This Row],[Product]],Table1_3[Sales Person],Table1_3[[#This Row],[Sales Person]],Table1_3[Amount],"&lt;=100")&gt;=2,"Contract","Deal")</f>
        <v>Deal</v>
      </c>
    </row>
    <row r="1588" spans="1:7" x14ac:dyDescent="0.3">
      <c r="A1588" t="s">
        <v>14</v>
      </c>
      <c r="B1588" t="s">
        <v>15</v>
      </c>
      <c r="C1588" t="s">
        <v>33</v>
      </c>
      <c r="D1588">
        <v>3418.05</v>
      </c>
      <c r="E1588">
        <v>117</v>
      </c>
      <c r="F1588" s="1">
        <v>45477</v>
      </c>
      <c r="G1588" t="str">
        <f>IF(COUNTIFS(Table1_3[Country],Table1_3[[#This Row],[Country]],Table1_3[Product],Table1_3[[#This Row],[Product]],Table1_3[Sales Person],Table1_3[[#This Row],[Sales Person]],Table1_3[Amount],"&lt;=100")&gt;=2,"Contract","Deal")</f>
        <v>Deal</v>
      </c>
    </row>
    <row r="1589" spans="1:7" x14ac:dyDescent="0.3">
      <c r="A1589" t="s">
        <v>14</v>
      </c>
      <c r="B1589" t="s">
        <v>15</v>
      </c>
      <c r="C1589" t="s">
        <v>13</v>
      </c>
      <c r="D1589">
        <v>12726</v>
      </c>
      <c r="E1589">
        <v>342</v>
      </c>
      <c r="F1589" s="1">
        <v>44678</v>
      </c>
      <c r="G1589" t="str">
        <f>IF(COUNTIFS(Table1_3[Country],Table1_3[[#This Row],[Country]],Table1_3[Product],Table1_3[[#This Row],[Product]],Table1_3[Sales Person],Table1_3[[#This Row],[Sales Person]],Table1_3[Amount],"&lt;=100")&gt;=2,"Contract","Deal")</f>
        <v>Deal</v>
      </c>
    </row>
    <row r="1590" spans="1:7" x14ac:dyDescent="0.3">
      <c r="A1590" t="s">
        <v>14</v>
      </c>
      <c r="B1590" t="s">
        <v>15</v>
      </c>
      <c r="C1590" t="s">
        <v>13</v>
      </c>
      <c r="D1590">
        <v>14103.4</v>
      </c>
      <c r="E1590">
        <v>350</v>
      </c>
      <c r="F1590" s="1">
        <v>45043</v>
      </c>
      <c r="G1590" t="str">
        <f>IF(COUNTIFS(Table1_3[Country],Table1_3[[#This Row],[Country]],Table1_3[Product],Table1_3[[#This Row],[Product]],Table1_3[Sales Person],Table1_3[[#This Row],[Sales Person]],Table1_3[Amount],"&lt;=100")&gt;=2,"Contract","Deal")</f>
        <v>Deal</v>
      </c>
    </row>
    <row r="1591" spans="1:7" x14ac:dyDescent="0.3">
      <c r="A1591" t="s">
        <v>14</v>
      </c>
      <c r="B1591" t="s">
        <v>15</v>
      </c>
      <c r="C1591" t="s">
        <v>13</v>
      </c>
      <c r="D1591">
        <v>13370.97</v>
      </c>
      <c r="E1591">
        <v>349</v>
      </c>
      <c r="F1591" s="1">
        <v>45409</v>
      </c>
      <c r="G1591" t="str">
        <f>IF(COUNTIFS(Table1_3[Country],Table1_3[[#This Row],[Country]],Table1_3[Product],Table1_3[[#This Row],[Product]],Table1_3[Sales Person],Table1_3[[#This Row],[Sales Person]],Table1_3[Amount],"&lt;=100")&gt;=2,"Contract","Deal")</f>
        <v>Deal</v>
      </c>
    </row>
    <row r="1592" spans="1:7" x14ac:dyDescent="0.3">
      <c r="A1592" t="s">
        <v>14</v>
      </c>
      <c r="B1592" t="s">
        <v>15</v>
      </c>
      <c r="C1592" t="s">
        <v>59</v>
      </c>
      <c r="D1592">
        <v>3472</v>
      </c>
      <c r="E1592">
        <v>32</v>
      </c>
      <c r="F1592" s="1">
        <v>44769</v>
      </c>
      <c r="G1592" t="str">
        <f>IF(COUNTIFS(Table1_3[Country],Table1_3[[#This Row],[Country]],Table1_3[Product],Table1_3[[#This Row],[Product]],Table1_3[Sales Person],Table1_3[[#This Row],[Sales Person]],Table1_3[Amount],"&lt;=100")&gt;=2,"Contract","Deal")</f>
        <v>Deal</v>
      </c>
    </row>
    <row r="1593" spans="1:7" x14ac:dyDescent="0.3">
      <c r="A1593" t="s">
        <v>14</v>
      </c>
      <c r="B1593" t="s">
        <v>15</v>
      </c>
      <c r="C1593" t="s">
        <v>59</v>
      </c>
      <c r="D1593">
        <v>3958.57</v>
      </c>
      <c r="E1593">
        <v>33</v>
      </c>
      <c r="F1593" s="1">
        <v>45134</v>
      </c>
      <c r="G1593" t="str">
        <f>IF(COUNTIFS(Table1_3[Country],Table1_3[[#This Row],[Country]],Table1_3[Product],Table1_3[[#This Row],[Product]],Table1_3[Sales Person],Table1_3[[#This Row],[Sales Person]],Table1_3[Amount],"&lt;=100")&gt;=2,"Contract","Deal")</f>
        <v>Deal</v>
      </c>
    </row>
    <row r="1594" spans="1:7" x14ac:dyDescent="0.3">
      <c r="A1594" t="s">
        <v>14</v>
      </c>
      <c r="B1594" t="s">
        <v>15</v>
      </c>
      <c r="C1594" t="s">
        <v>59</v>
      </c>
      <c r="D1594">
        <v>3766.49</v>
      </c>
      <c r="E1594">
        <v>33</v>
      </c>
      <c r="F1594" s="1">
        <v>45500</v>
      </c>
      <c r="G1594" t="str">
        <f>IF(COUNTIFS(Table1_3[Country],Table1_3[[#This Row],[Country]],Table1_3[Product],Table1_3[[#This Row],[Product]],Table1_3[Sales Person],Table1_3[[#This Row],[Sales Person]],Table1_3[Amount],"&lt;=100")&gt;=2,"Contract","Deal")</f>
        <v>Deal</v>
      </c>
    </row>
    <row r="1595" spans="1:7" x14ac:dyDescent="0.3">
      <c r="A1595" t="s">
        <v>14</v>
      </c>
      <c r="B1595" t="s">
        <v>35</v>
      </c>
      <c r="C1595" t="s">
        <v>100</v>
      </c>
      <c r="D1595">
        <v>5894</v>
      </c>
      <c r="E1595">
        <v>305</v>
      </c>
      <c r="F1595" s="1">
        <v>44606</v>
      </c>
      <c r="G1595" t="str">
        <f>IF(COUNTIFS(Table1_3[Country],Table1_3[[#This Row],[Country]],Table1_3[Product],Table1_3[[#This Row],[Product]],Table1_3[Sales Person],Table1_3[[#This Row],[Sales Person]],Table1_3[Amount],"&lt;=100")&gt;=2,"Contract","Deal")</f>
        <v>Deal</v>
      </c>
    </row>
    <row r="1596" spans="1:7" x14ac:dyDescent="0.3">
      <c r="A1596" t="s">
        <v>14</v>
      </c>
      <c r="B1596" t="s">
        <v>35</v>
      </c>
      <c r="C1596" t="s">
        <v>100</v>
      </c>
      <c r="D1596">
        <v>6096.52</v>
      </c>
      <c r="E1596">
        <v>300</v>
      </c>
      <c r="F1596" s="1">
        <v>44971</v>
      </c>
      <c r="G1596" t="str">
        <f>IF(COUNTIFS(Table1_3[Country],Table1_3[[#This Row],[Country]],Table1_3[Product],Table1_3[[#This Row],[Product]],Table1_3[Sales Person],Table1_3[[#This Row],[Sales Person]],Table1_3[Amount],"&lt;=100")&gt;=2,"Contract","Deal")</f>
        <v>Deal</v>
      </c>
    </row>
    <row r="1597" spans="1:7" x14ac:dyDescent="0.3">
      <c r="A1597" t="s">
        <v>14</v>
      </c>
      <c r="B1597" t="s">
        <v>35</v>
      </c>
      <c r="C1597" t="s">
        <v>100</v>
      </c>
      <c r="D1597">
        <v>6578.55</v>
      </c>
      <c r="E1597">
        <v>312</v>
      </c>
      <c r="F1597" s="1">
        <v>45336</v>
      </c>
      <c r="G1597" t="str">
        <f>IF(COUNTIFS(Table1_3[Country],Table1_3[[#This Row],[Country]],Table1_3[Product],Table1_3[[#This Row],[Product]],Table1_3[Sales Person],Table1_3[[#This Row],[Sales Person]],Table1_3[Amount],"&lt;=100")&gt;=2,"Contract","Deal")</f>
        <v>Deal</v>
      </c>
    </row>
    <row r="1598" spans="1:7" x14ac:dyDescent="0.3">
      <c r="A1598" t="s">
        <v>14</v>
      </c>
      <c r="B1598" t="s">
        <v>35</v>
      </c>
      <c r="C1598" t="s">
        <v>23</v>
      </c>
      <c r="D1598">
        <v>4515</v>
      </c>
      <c r="E1598">
        <v>172</v>
      </c>
      <c r="F1598" s="1">
        <v>44755</v>
      </c>
      <c r="G1598" t="str">
        <f>IF(COUNTIFS(Table1_3[Country],Table1_3[[#This Row],[Country]],Table1_3[Product],Table1_3[[#This Row],[Product]],Table1_3[Sales Person],Table1_3[[#This Row],[Sales Person]],Table1_3[Amount],"&lt;=100")&gt;=2,"Contract","Deal")</f>
        <v>Deal</v>
      </c>
    </row>
    <row r="1599" spans="1:7" x14ac:dyDescent="0.3">
      <c r="A1599" t="s">
        <v>14</v>
      </c>
      <c r="B1599" t="s">
        <v>35</v>
      </c>
      <c r="C1599" t="s">
        <v>23</v>
      </c>
      <c r="D1599">
        <v>4881.32</v>
      </c>
      <c r="E1599">
        <v>183</v>
      </c>
      <c r="F1599" s="1">
        <v>45120</v>
      </c>
      <c r="G1599" t="str">
        <f>IF(COUNTIFS(Table1_3[Country],Table1_3[[#This Row],[Country]],Table1_3[Product],Table1_3[[#This Row],[Product]],Table1_3[Sales Person],Table1_3[[#This Row],[Sales Person]],Table1_3[Amount],"&lt;=100")&gt;=2,"Contract","Deal")</f>
        <v>Deal</v>
      </c>
    </row>
    <row r="1600" spans="1:7" x14ac:dyDescent="0.3">
      <c r="A1600" t="s">
        <v>14</v>
      </c>
      <c r="B1600" t="s">
        <v>35</v>
      </c>
      <c r="C1600" t="s">
        <v>23</v>
      </c>
      <c r="D1600">
        <v>5384.52</v>
      </c>
      <c r="E1600">
        <v>180</v>
      </c>
      <c r="F1600" s="1">
        <v>45486</v>
      </c>
      <c r="G1600" t="str">
        <f>IF(COUNTIFS(Table1_3[Country],Table1_3[[#This Row],[Country]],Table1_3[Product],Table1_3[[#This Row],[Product]],Table1_3[Sales Person],Table1_3[[#This Row],[Sales Person]],Table1_3[Amount],"&lt;=100")&gt;=2,"Contract","Deal")</f>
        <v>Deal</v>
      </c>
    </row>
    <row r="1601" spans="1:7" x14ac:dyDescent="0.3">
      <c r="A1601" t="s">
        <v>14</v>
      </c>
      <c r="B1601" t="s">
        <v>35</v>
      </c>
      <c r="C1601" t="s">
        <v>90</v>
      </c>
      <c r="D1601">
        <v>9541</v>
      </c>
      <c r="E1601">
        <v>114</v>
      </c>
      <c r="F1601" s="1">
        <v>44775</v>
      </c>
      <c r="G1601" t="str">
        <f>IF(COUNTIFS(Table1_3[Country],Table1_3[[#This Row],[Country]],Table1_3[Product],Table1_3[[#This Row],[Product]],Table1_3[Sales Person],Table1_3[[#This Row],[Sales Person]],Table1_3[Amount],"&lt;=100")&gt;=2,"Contract","Deal")</f>
        <v>Deal</v>
      </c>
    </row>
    <row r="1602" spans="1:7" x14ac:dyDescent="0.3">
      <c r="A1602" t="s">
        <v>14</v>
      </c>
      <c r="B1602" t="s">
        <v>35</v>
      </c>
      <c r="C1602" t="s">
        <v>90</v>
      </c>
      <c r="D1602">
        <v>10802.13</v>
      </c>
      <c r="E1602">
        <v>124</v>
      </c>
      <c r="F1602" s="1">
        <v>45140</v>
      </c>
      <c r="G1602" t="str">
        <f>IF(COUNTIFS(Table1_3[Country],Table1_3[[#This Row],[Country]],Table1_3[Product],Table1_3[[#This Row],[Product]],Table1_3[Sales Person],Table1_3[[#This Row],[Sales Person]],Table1_3[Amount],"&lt;=100")&gt;=2,"Contract","Deal")</f>
        <v>Deal</v>
      </c>
    </row>
    <row r="1603" spans="1:7" x14ac:dyDescent="0.3">
      <c r="A1603" t="s">
        <v>14</v>
      </c>
      <c r="B1603" t="s">
        <v>35</v>
      </c>
      <c r="C1603" t="s">
        <v>90</v>
      </c>
      <c r="D1603">
        <v>10049.719999999999</v>
      </c>
      <c r="E1603">
        <v>118</v>
      </c>
      <c r="F1603" s="1">
        <v>45506</v>
      </c>
      <c r="G1603" t="str">
        <f>IF(COUNTIFS(Table1_3[Country],Table1_3[[#This Row],[Country]],Table1_3[Product],Table1_3[[#This Row],[Product]],Table1_3[Sales Person],Table1_3[[#This Row],[Sales Person]],Table1_3[Amount],"&lt;=100")&gt;=2,"Contract","Deal")</f>
        <v>Deal</v>
      </c>
    </row>
    <row r="1604" spans="1:7" x14ac:dyDescent="0.3">
      <c r="A1604" t="s">
        <v>14</v>
      </c>
      <c r="B1604" t="s">
        <v>35</v>
      </c>
      <c r="C1604" t="s">
        <v>57</v>
      </c>
      <c r="D1604">
        <v>8904</v>
      </c>
      <c r="E1604">
        <v>199</v>
      </c>
      <c r="F1604" s="1">
        <v>44767</v>
      </c>
      <c r="G1604" t="str">
        <f>IF(COUNTIFS(Table1_3[Country],Table1_3[[#This Row],[Country]],Table1_3[Product],Table1_3[[#This Row],[Product]],Table1_3[Sales Person],Table1_3[[#This Row],[Sales Person]],Table1_3[Amount],"&lt;=100")&gt;=2,"Contract","Deal")</f>
        <v>Deal</v>
      </c>
    </row>
    <row r="1605" spans="1:7" x14ac:dyDescent="0.3">
      <c r="A1605" t="s">
        <v>14</v>
      </c>
      <c r="B1605" t="s">
        <v>35</v>
      </c>
      <c r="C1605" t="s">
        <v>57</v>
      </c>
      <c r="D1605">
        <v>9984.16</v>
      </c>
      <c r="E1605">
        <v>207</v>
      </c>
      <c r="F1605" s="1">
        <v>45132</v>
      </c>
      <c r="G1605" t="str">
        <f>IF(COUNTIFS(Table1_3[Country],Table1_3[[#This Row],[Country]],Table1_3[Product],Table1_3[[#This Row],[Product]],Table1_3[Sales Person],Table1_3[[#This Row],[Sales Person]],Table1_3[Amount],"&lt;=100")&gt;=2,"Contract","Deal")</f>
        <v>Deal</v>
      </c>
    </row>
    <row r="1606" spans="1:7" x14ac:dyDescent="0.3">
      <c r="A1606" t="s">
        <v>14</v>
      </c>
      <c r="B1606" t="s">
        <v>35</v>
      </c>
      <c r="C1606" t="s">
        <v>57</v>
      </c>
      <c r="D1606">
        <v>9885.5300000000007</v>
      </c>
      <c r="E1606">
        <v>217</v>
      </c>
      <c r="F1606" s="1">
        <v>45498</v>
      </c>
      <c r="G1606" t="str">
        <f>IF(COUNTIFS(Table1_3[Country],Table1_3[[#This Row],[Country]],Table1_3[Product],Table1_3[[#This Row],[Product]],Table1_3[Sales Person],Table1_3[[#This Row],[Sales Person]],Table1_3[Amount],"&lt;=100")&gt;=2,"Contract","Deal")</f>
        <v>Deal</v>
      </c>
    </row>
    <row r="1607" spans="1:7" x14ac:dyDescent="0.3">
      <c r="A1607" t="s">
        <v>14</v>
      </c>
      <c r="B1607" t="s">
        <v>35</v>
      </c>
      <c r="C1607" t="s">
        <v>8</v>
      </c>
      <c r="D1607">
        <v>1064</v>
      </c>
      <c r="E1607">
        <v>211</v>
      </c>
      <c r="F1607" s="1">
        <v>44652</v>
      </c>
      <c r="G1607" t="str">
        <f>IF(COUNTIFS(Table1_3[Country],Table1_3[[#This Row],[Country]],Table1_3[Product],Table1_3[[#This Row],[Product]],Table1_3[Sales Person],Table1_3[[#This Row],[Sales Person]],Table1_3[Amount],"&lt;=100")&gt;=2,"Contract","Deal")</f>
        <v>Deal</v>
      </c>
    </row>
    <row r="1608" spans="1:7" x14ac:dyDescent="0.3">
      <c r="A1608" t="s">
        <v>14</v>
      </c>
      <c r="B1608" t="s">
        <v>35</v>
      </c>
      <c r="C1608" t="s">
        <v>8</v>
      </c>
      <c r="D1608">
        <v>1062.6099999999999</v>
      </c>
      <c r="E1608">
        <v>217</v>
      </c>
      <c r="F1608" s="1">
        <v>45017</v>
      </c>
      <c r="G1608" t="str">
        <f>IF(COUNTIFS(Table1_3[Country],Table1_3[[#This Row],[Country]],Table1_3[Product],Table1_3[[#This Row],[Product]],Table1_3[Sales Person],Table1_3[[#This Row],[Sales Person]],Table1_3[Amount],"&lt;=100")&gt;=2,"Contract","Deal")</f>
        <v>Deal</v>
      </c>
    </row>
    <row r="1609" spans="1:7" x14ac:dyDescent="0.3">
      <c r="A1609" t="s">
        <v>14</v>
      </c>
      <c r="B1609" t="s">
        <v>35</v>
      </c>
      <c r="C1609" t="s">
        <v>8</v>
      </c>
      <c r="D1609">
        <v>1200.19</v>
      </c>
      <c r="E1609">
        <v>224</v>
      </c>
      <c r="F1609" s="1">
        <v>45383</v>
      </c>
      <c r="G1609" t="str">
        <f>IF(COUNTIFS(Table1_3[Country],Table1_3[[#This Row],[Country]],Table1_3[Product],Table1_3[[#This Row],[Product]],Table1_3[Sales Person],Table1_3[[#This Row],[Sales Person]],Table1_3[Amount],"&lt;=100")&gt;=2,"Contract","Deal")</f>
        <v>Deal</v>
      </c>
    </row>
    <row r="1610" spans="1:7" x14ac:dyDescent="0.3">
      <c r="A1610" t="s">
        <v>14</v>
      </c>
      <c r="B1610" t="s">
        <v>10</v>
      </c>
      <c r="C1610" t="s">
        <v>11</v>
      </c>
      <c r="D1610">
        <v>4760</v>
      </c>
      <c r="E1610">
        <v>418</v>
      </c>
      <c r="F1610" s="1">
        <v>44706</v>
      </c>
      <c r="G1610" t="str">
        <f>IF(COUNTIFS(Table1_3[Country],Table1_3[[#This Row],[Country]],Table1_3[Product],Table1_3[[#This Row],[Product]],Table1_3[Sales Person],Table1_3[[#This Row],[Sales Person]],Table1_3[Amount],"&lt;=100")&gt;=2,"Contract","Deal")</f>
        <v>Deal</v>
      </c>
    </row>
    <row r="1611" spans="1:7" x14ac:dyDescent="0.3">
      <c r="A1611" t="s">
        <v>14</v>
      </c>
      <c r="B1611" t="s">
        <v>10</v>
      </c>
      <c r="C1611" t="s">
        <v>11</v>
      </c>
      <c r="D1611">
        <v>4999.5200000000004</v>
      </c>
      <c r="E1611">
        <v>446</v>
      </c>
      <c r="F1611" s="1">
        <v>45071</v>
      </c>
      <c r="G1611" t="str">
        <f>IF(COUNTIFS(Table1_3[Country],Table1_3[[#This Row],[Country]],Table1_3[Product],Table1_3[[#This Row],[Product]],Table1_3[Sales Person],Table1_3[[#This Row],[Sales Person]],Table1_3[Amount],"&lt;=100")&gt;=2,"Contract","Deal")</f>
        <v>Deal</v>
      </c>
    </row>
    <row r="1612" spans="1:7" x14ac:dyDescent="0.3">
      <c r="A1612" t="s">
        <v>14</v>
      </c>
      <c r="B1612" t="s">
        <v>10</v>
      </c>
      <c r="C1612" t="s">
        <v>11</v>
      </c>
      <c r="D1612">
        <v>5252.8</v>
      </c>
      <c r="E1612">
        <v>415</v>
      </c>
      <c r="F1612" s="1">
        <v>45437</v>
      </c>
      <c r="G1612" t="str">
        <f>IF(COUNTIFS(Table1_3[Country],Table1_3[[#This Row],[Country]],Table1_3[Product],Table1_3[[#This Row],[Product]],Table1_3[Sales Person],Table1_3[[#This Row],[Sales Person]],Table1_3[Amount],"&lt;=100")&gt;=2,"Contract","Deal")</f>
        <v>Deal</v>
      </c>
    </row>
    <row r="1613" spans="1:7" x14ac:dyDescent="0.3">
      <c r="A1613" t="s">
        <v>14</v>
      </c>
      <c r="B1613" t="s">
        <v>10</v>
      </c>
      <c r="C1613" t="s">
        <v>20</v>
      </c>
      <c r="D1613">
        <v>9100</v>
      </c>
      <c r="E1613">
        <v>187</v>
      </c>
      <c r="F1613" s="1">
        <v>44704</v>
      </c>
      <c r="G1613" t="str">
        <f>IF(COUNTIFS(Table1_3[Country],Table1_3[[#This Row],[Country]],Table1_3[Product],Table1_3[[#This Row],[Product]],Table1_3[Sales Person],Table1_3[[#This Row],[Sales Person]],Table1_3[Amount],"&lt;=100")&gt;=2,"Contract","Deal")</f>
        <v>Deal</v>
      </c>
    </row>
    <row r="1614" spans="1:7" x14ac:dyDescent="0.3">
      <c r="A1614" t="s">
        <v>14</v>
      </c>
      <c r="B1614" t="s">
        <v>10</v>
      </c>
      <c r="C1614" t="s">
        <v>20</v>
      </c>
      <c r="D1614">
        <v>10283.9</v>
      </c>
      <c r="E1614">
        <v>178</v>
      </c>
      <c r="F1614" s="1">
        <v>45069</v>
      </c>
      <c r="G1614" t="str">
        <f>IF(COUNTIFS(Table1_3[Country],Table1_3[[#This Row],[Country]],Table1_3[Product],Table1_3[[#This Row],[Product]],Table1_3[Sales Person],Table1_3[[#This Row],[Sales Person]],Table1_3[Amount],"&lt;=100")&gt;=2,"Contract","Deal")</f>
        <v>Deal</v>
      </c>
    </row>
    <row r="1615" spans="1:7" x14ac:dyDescent="0.3">
      <c r="A1615" t="s">
        <v>14</v>
      </c>
      <c r="B1615" t="s">
        <v>10</v>
      </c>
      <c r="C1615" t="s">
        <v>20</v>
      </c>
      <c r="D1615">
        <v>10607.29</v>
      </c>
      <c r="E1615">
        <v>182</v>
      </c>
      <c r="F1615" s="1">
        <v>45435</v>
      </c>
      <c r="G1615" t="str">
        <f>IF(COUNTIFS(Table1_3[Country],Table1_3[[#This Row],[Country]],Table1_3[Product],Table1_3[[#This Row],[Product]],Table1_3[Sales Person],Table1_3[[#This Row],[Sales Person]],Table1_3[Amount],"&lt;=100")&gt;=2,"Contract","Deal")</f>
        <v>Deal</v>
      </c>
    </row>
    <row r="1616" spans="1:7" x14ac:dyDescent="0.3">
      <c r="A1616" t="s">
        <v>14</v>
      </c>
      <c r="B1616" t="s">
        <v>10</v>
      </c>
      <c r="C1616" t="s">
        <v>23</v>
      </c>
      <c r="D1616">
        <v>6496</v>
      </c>
      <c r="E1616">
        <v>168</v>
      </c>
      <c r="F1616" s="1">
        <v>44634</v>
      </c>
      <c r="G1616" t="str">
        <f>IF(COUNTIFS(Table1_3[Country],Table1_3[[#This Row],[Country]],Table1_3[Product],Table1_3[[#This Row],[Product]],Table1_3[Sales Person],Table1_3[[#This Row],[Sales Person]],Table1_3[Amount],"&lt;=100")&gt;=2,"Contract","Deal")</f>
        <v>Deal</v>
      </c>
    </row>
    <row r="1617" spans="1:7" x14ac:dyDescent="0.3">
      <c r="A1617" t="s">
        <v>14</v>
      </c>
      <c r="B1617" t="s">
        <v>10</v>
      </c>
      <c r="C1617" t="s">
        <v>23</v>
      </c>
      <c r="D1617">
        <v>6994.35</v>
      </c>
      <c r="E1617">
        <v>179</v>
      </c>
      <c r="F1617" s="1">
        <v>44999</v>
      </c>
      <c r="G1617" t="str">
        <f>IF(COUNTIFS(Table1_3[Country],Table1_3[[#This Row],[Country]],Table1_3[Product],Table1_3[[#This Row],[Product]],Table1_3[Sales Person],Table1_3[[#This Row],[Sales Person]],Table1_3[Amount],"&lt;=100")&gt;=2,"Contract","Deal")</f>
        <v>Deal</v>
      </c>
    </row>
    <row r="1618" spans="1:7" x14ac:dyDescent="0.3">
      <c r="A1618" t="s">
        <v>14</v>
      </c>
      <c r="B1618" t="s">
        <v>10</v>
      </c>
      <c r="C1618" t="s">
        <v>23</v>
      </c>
      <c r="D1618">
        <v>6795.06</v>
      </c>
      <c r="E1618">
        <v>177</v>
      </c>
      <c r="F1618" s="1">
        <v>45365</v>
      </c>
      <c r="G1618" t="str">
        <f>IF(COUNTIFS(Table1_3[Country],Table1_3[[#This Row],[Country]],Table1_3[Product],Table1_3[[#This Row],[Product]],Table1_3[Sales Person],Table1_3[[#This Row],[Sales Person]],Table1_3[Amount],"&lt;=100")&gt;=2,"Contract","Deal")</f>
        <v>Deal</v>
      </c>
    </row>
    <row r="1619" spans="1:7" x14ac:dyDescent="0.3">
      <c r="A1619" t="s">
        <v>14</v>
      </c>
      <c r="B1619" t="s">
        <v>10</v>
      </c>
      <c r="C1619" t="s">
        <v>65</v>
      </c>
      <c r="D1619">
        <v>4466</v>
      </c>
      <c r="E1619">
        <v>22</v>
      </c>
      <c r="F1619" s="1">
        <v>44631</v>
      </c>
      <c r="G1619" t="str">
        <f>IF(COUNTIFS(Table1_3[Country],Table1_3[[#This Row],[Country]],Table1_3[Product],Table1_3[[#This Row],[Product]],Table1_3[Sales Person],Table1_3[[#This Row],[Sales Person]],Table1_3[Amount],"&lt;=100")&gt;=2,"Contract","Deal")</f>
        <v>Deal</v>
      </c>
    </row>
    <row r="1620" spans="1:7" x14ac:dyDescent="0.3">
      <c r="A1620" t="s">
        <v>14</v>
      </c>
      <c r="B1620" t="s">
        <v>10</v>
      </c>
      <c r="C1620" t="s">
        <v>65</v>
      </c>
      <c r="D1620">
        <v>5143.49</v>
      </c>
      <c r="E1620">
        <v>21</v>
      </c>
      <c r="F1620" s="1">
        <v>44996</v>
      </c>
      <c r="G1620" t="str">
        <f>IF(COUNTIFS(Table1_3[Country],Table1_3[[#This Row],[Country]],Table1_3[Product],Table1_3[[#This Row],[Product]],Table1_3[Sales Person],Table1_3[[#This Row],[Sales Person]],Table1_3[Amount],"&lt;=100")&gt;=2,"Contract","Deal")</f>
        <v>Deal</v>
      </c>
    </row>
    <row r="1621" spans="1:7" x14ac:dyDescent="0.3">
      <c r="A1621" t="s">
        <v>14</v>
      </c>
      <c r="B1621" t="s">
        <v>10</v>
      </c>
      <c r="C1621" t="s">
        <v>65</v>
      </c>
      <c r="D1621">
        <v>5230.5</v>
      </c>
      <c r="E1621">
        <v>23</v>
      </c>
      <c r="F1621" s="1">
        <v>45362</v>
      </c>
      <c r="G1621" t="str">
        <f>IF(COUNTIFS(Table1_3[Country],Table1_3[[#This Row],[Country]],Table1_3[Product],Table1_3[[#This Row],[Product]],Table1_3[Sales Person],Table1_3[[#This Row],[Sales Person]],Table1_3[Amount],"&lt;=100")&gt;=2,"Contract","Deal")</f>
        <v>Deal</v>
      </c>
    </row>
    <row r="1622" spans="1:7" x14ac:dyDescent="0.3">
      <c r="A1622" t="s">
        <v>14</v>
      </c>
      <c r="B1622" t="s">
        <v>10</v>
      </c>
      <c r="C1622" t="s">
        <v>87</v>
      </c>
      <c r="D1622">
        <v>13727</v>
      </c>
      <c r="E1622">
        <v>79</v>
      </c>
      <c r="F1622" s="1">
        <v>44774</v>
      </c>
      <c r="G1622" t="str">
        <f>IF(COUNTIFS(Table1_3[Country],Table1_3[[#This Row],[Country]],Table1_3[Product],Table1_3[[#This Row],[Product]],Table1_3[Sales Person],Table1_3[[#This Row],[Sales Person]],Table1_3[Amount],"&lt;=100")&gt;=2,"Contract","Deal")</f>
        <v>Deal</v>
      </c>
    </row>
    <row r="1623" spans="1:7" x14ac:dyDescent="0.3">
      <c r="A1623" t="s">
        <v>14</v>
      </c>
      <c r="B1623" t="s">
        <v>10</v>
      </c>
      <c r="C1623" t="s">
        <v>87</v>
      </c>
      <c r="D1623">
        <v>14613.52</v>
      </c>
      <c r="E1623">
        <v>85</v>
      </c>
      <c r="F1623" s="1">
        <v>45139</v>
      </c>
      <c r="G1623" t="str">
        <f>IF(COUNTIFS(Table1_3[Country],Table1_3[[#This Row],[Country]],Table1_3[Product],Table1_3[[#This Row],[Product]],Table1_3[Sales Person],Table1_3[[#This Row],[Sales Person]],Table1_3[Amount],"&lt;=100")&gt;=2,"Contract","Deal")</f>
        <v>Deal</v>
      </c>
    </row>
    <row r="1624" spans="1:7" x14ac:dyDescent="0.3">
      <c r="A1624" t="s">
        <v>14</v>
      </c>
      <c r="B1624" t="s">
        <v>10</v>
      </c>
      <c r="C1624" t="s">
        <v>87</v>
      </c>
      <c r="D1624">
        <v>15497.27</v>
      </c>
      <c r="E1624">
        <v>85</v>
      </c>
      <c r="F1624" s="1">
        <v>45505</v>
      </c>
      <c r="G1624" t="str">
        <f>IF(COUNTIFS(Table1_3[Country],Table1_3[[#This Row],[Country]],Table1_3[Product],Table1_3[[#This Row],[Product]],Table1_3[Sales Person],Table1_3[[#This Row],[Sales Person]],Table1_3[Amount],"&lt;=100")&gt;=2,"Contract","Deal")</f>
        <v>Deal</v>
      </c>
    </row>
    <row r="1625" spans="1:7" x14ac:dyDescent="0.3">
      <c r="A1625" t="s">
        <v>14</v>
      </c>
      <c r="B1625" t="s">
        <v>10</v>
      </c>
      <c r="C1625" t="s">
        <v>90</v>
      </c>
      <c r="D1625">
        <v>84</v>
      </c>
      <c r="E1625">
        <v>153</v>
      </c>
      <c r="F1625" s="1">
        <v>44746</v>
      </c>
      <c r="G1625" t="str">
        <f>IF(COUNTIFS(Table1_3[Country],Table1_3[[#This Row],[Country]],Table1_3[Product],Table1_3[[#This Row],[Product]],Table1_3[Sales Person],Table1_3[[#This Row],[Sales Person]],Table1_3[Amount],"&lt;=100")&gt;=2,"Contract","Deal")</f>
        <v>Contract</v>
      </c>
    </row>
    <row r="1626" spans="1:7" x14ac:dyDescent="0.3">
      <c r="A1626" t="s">
        <v>14</v>
      </c>
      <c r="B1626" t="s">
        <v>10</v>
      </c>
      <c r="C1626" t="s">
        <v>90</v>
      </c>
      <c r="D1626">
        <v>88.72</v>
      </c>
      <c r="E1626">
        <v>165</v>
      </c>
      <c r="F1626" s="1">
        <v>45111</v>
      </c>
      <c r="G1626" t="str">
        <f>IF(COUNTIFS(Table1_3[Country],Table1_3[[#This Row],[Country]],Table1_3[Product],Table1_3[[#This Row],[Product]],Table1_3[Sales Person],Table1_3[[#This Row],[Sales Person]],Table1_3[Amount],"&lt;=100")&gt;=2,"Contract","Deal")</f>
        <v>Contract</v>
      </c>
    </row>
    <row r="1627" spans="1:7" x14ac:dyDescent="0.3">
      <c r="A1627" t="s">
        <v>14</v>
      </c>
      <c r="B1627" t="s">
        <v>10</v>
      </c>
      <c r="C1627" t="s">
        <v>90</v>
      </c>
      <c r="D1627">
        <v>99.5</v>
      </c>
      <c r="E1627">
        <v>161</v>
      </c>
      <c r="F1627" s="1">
        <v>45477</v>
      </c>
      <c r="G1627" t="str">
        <f>IF(COUNTIFS(Table1_3[Country],Table1_3[[#This Row],[Country]],Table1_3[Product],Table1_3[[#This Row],[Product]],Table1_3[Sales Person],Table1_3[[#This Row],[Sales Person]],Table1_3[Amount],"&lt;=100")&gt;=2,"Contract","Deal")</f>
        <v>Contract</v>
      </c>
    </row>
    <row r="1628" spans="1:7" x14ac:dyDescent="0.3">
      <c r="A1628" t="s">
        <v>14</v>
      </c>
      <c r="B1628" t="s">
        <v>10</v>
      </c>
      <c r="C1628" t="s">
        <v>75</v>
      </c>
      <c r="D1628">
        <v>2541</v>
      </c>
      <c r="E1628">
        <v>134</v>
      </c>
      <c r="F1628" s="1">
        <v>44785</v>
      </c>
      <c r="G1628" t="str">
        <f>IF(COUNTIFS(Table1_3[Country],Table1_3[[#This Row],[Country]],Table1_3[Product],Table1_3[[#This Row],[Product]],Table1_3[Sales Person],Table1_3[[#This Row],[Sales Person]],Table1_3[Amount],"&lt;=100")&gt;=2,"Contract","Deal")</f>
        <v>Deal</v>
      </c>
    </row>
    <row r="1629" spans="1:7" x14ac:dyDescent="0.3">
      <c r="A1629" t="s">
        <v>14</v>
      </c>
      <c r="B1629" t="s">
        <v>10</v>
      </c>
      <c r="C1629" t="s">
        <v>75</v>
      </c>
      <c r="D1629">
        <v>2669.61</v>
      </c>
      <c r="E1629">
        <v>143</v>
      </c>
      <c r="F1629" s="1">
        <v>45150</v>
      </c>
      <c r="G1629" t="str">
        <f>IF(COUNTIFS(Table1_3[Country],Table1_3[[#This Row],[Country]],Table1_3[Product],Table1_3[[#This Row],[Product]],Table1_3[Sales Person],Table1_3[[#This Row],[Sales Person]],Table1_3[Amount],"&lt;=100")&gt;=2,"Contract","Deal")</f>
        <v>Deal</v>
      </c>
    </row>
    <row r="1630" spans="1:7" x14ac:dyDescent="0.3">
      <c r="A1630" t="s">
        <v>14</v>
      </c>
      <c r="B1630" t="s">
        <v>10</v>
      </c>
      <c r="C1630" t="s">
        <v>75</v>
      </c>
      <c r="D1630">
        <v>2987.81</v>
      </c>
      <c r="E1630">
        <v>136</v>
      </c>
      <c r="F1630" s="1">
        <v>45516</v>
      </c>
      <c r="G1630" t="str">
        <f>IF(COUNTIFS(Table1_3[Country],Table1_3[[#This Row],[Country]],Table1_3[Product],Table1_3[[#This Row],[Product]],Table1_3[Sales Person],Table1_3[[#This Row],[Sales Person]],Table1_3[Amount],"&lt;=100")&gt;=2,"Contract","Deal")</f>
        <v>Deal</v>
      </c>
    </row>
    <row r="1631" spans="1:7" x14ac:dyDescent="0.3">
      <c r="A1631" t="s">
        <v>14</v>
      </c>
      <c r="B1631" t="s">
        <v>10</v>
      </c>
      <c r="C1631" t="s">
        <v>36</v>
      </c>
      <c r="D1631">
        <v>2541</v>
      </c>
      <c r="E1631">
        <v>27</v>
      </c>
      <c r="F1631" s="1">
        <v>44566</v>
      </c>
      <c r="G1631" t="str">
        <f>IF(COUNTIFS(Table1_3[Country],Table1_3[[#This Row],[Country]],Table1_3[Product],Table1_3[[#This Row],[Product]],Table1_3[Sales Person],Table1_3[[#This Row],[Sales Person]],Table1_3[Amount],"&lt;=100")&gt;=2,"Contract","Deal")</f>
        <v>Deal</v>
      </c>
    </row>
    <row r="1632" spans="1:7" x14ac:dyDescent="0.3">
      <c r="A1632" t="s">
        <v>14</v>
      </c>
      <c r="B1632" t="s">
        <v>10</v>
      </c>
      <c r="C1632" t="s">
        <v>36</v>
      </c>
      <c r="D1632">
        <v>2835.9</v>
      </c>
      <c r="E1632">
        <v>26</v>
      </c>
      <c r="F1632" s="1">
        <v>44931</v>
      </c>
      <c r="G1632" t="str">
        <f>IF(COUNTIFS(Table1_3[Country],Table1_3[[#This Row],[Country]],Table1_3[Product],Table1_3[[#This Row],[Product]],Table1_3[Sales Person],Table1_3[[#This Row],[Sales Person]],Table1_3[Amount],"&lt;=100")&gt;=2,"Contract","Deal")</f>
        <v>Deal</v>
      </c>
    </row>
    <row r="1633" spans="1:7" x14ac:dyDescent="0.3">
      <c r="A1633" t="s">
        <v>14</v>
      </c>
      <c r="B1633" t="s">
        <v>10</v>
      </c>
      <c r="C1633" t="s">
        <v>36</v>
      </c>
      <c r="D1633">
        <v>2788.6</v>
      </c>
      <c r="E1633">
        <v>27</v>
      </c>
      <c r="F1633" s="1">
        <v>45296</v>
      </c>
      <c r="G1633" t="str">
        <f>IF(COUNTIFS(Table1_3[Country],Table1_3[[#This Row],[Country]],Table1_3[Product],Table1_3[[#This Row],[Product]],Table1_3[Sales Person],Table1_3[[#This Row],[Sales Person]],Table1_3[Amount],"&lt;=100")&gt;=2,"Contract","Deal")</f>
        <v>Deal</v>
      </c>
    </row>
    <row r="1634" spans="1:7" x14ac:dyDescent="0.3">
      <c r="A1634" t="s">
        <v>14</v>
      </c>
      <c r="B1634" t="s">
        <v>10</v>
      </c>
      <c r="C1634" t="s">
        <v>57</v>
      </c>
      <c r="D1634">
        <v>2912</v>
      </c>
      <c r="E1634">
        <v>55</v>
      </c>
      <c r="F1634" s="1">
        <v>44685</v>
      </c>
      <c r="G1634" t="str">
        <f>IF(COUNTIFS(Table1_3[Country],Table1_3[[#This Row],[Country]],Table1_3[Product],Table1_3[[#This Row],[Product]],Table1_3[Sales Person],Table1_3[[#This Row],[Sales Person]],Table1_3[Amount],"&lt;=100")&gt;=2,"Contract","Deal")</f>
        <v>Deal</v>
      </c>
    </row>
    <row r="1635" spans="1:7" x14ac:dyDescent="0.3">
      <c r="A1635" t="s">
        <v>14</v>
      </c>
      <c r="B1635" t="s">
        <v>10</v>
      </c>
      <c r="C1635" t="s">
        <v>57</v>
      </c>
      <c r="D1635">
        <v>3219.13</v>
      </c>
      <c r="E1635">
        <v>54</v>
      </c>
      <c r="F1635" s="1">
        <v>45050</v>
      </c>
      <c r="G1635" t="str">
        <f>IF(COUNTIFS(Table1_3[Country],Table1_3[[#This Row],[Country]],Table1_3[Product],Table1_3[[#This Row],[Product]],Table1_3[Sales Person],Table1_3[[#This Row],[Sales Person]],Table1_3[Amount],"&lt;=100")&gt;=2,"Contract","Deal")</f>
        <v>Deal</v>
      </c>
    </row>
    <row r="1636" spans="1:7" x14ac:dyDescent="0.3">
      <c r="A1636" t="s">
        <v>14</v>
      </c>
      <c r="B1636" t="s">
        <v>10</v>
      </c>
      <c r="C1636" t="s">
        <v>57</v>
      </c>
      <c r="D1636">
        <v>3387.76</v>
      </c>
      <c r="E1636">
        <v>60</v>
      </c>
      <c r="F1636" s="1">
        <v>45416</v>
      </c>
      <c r="G1636" t="str">
        <f>IF(COUNTIFS(Table1_3[Country],Table1_3[[#This Row],[Country]],Table1_3[Product],Table1_3[[#This Row],[Product]],Table1_3[Sales Person],Table1_3[[#This Row],[Sales Person]],Table1_3[Amount],"&lt;=100")&gt;=2,"Contract","Deal")</f>
        <v>Deal</v>
      </c>
    </row>
    <row r="1637" spans="1:7" x14ac:dyDescent="0.3">
      <c r="A1637" t="s">
        <v>14</v>
      </c>
      <c r="B1637" t="s">
        <v>10</v>
      </c>
      <c r="C1637" t="s">
        <v>13</v>
      </c>
      <c r="D1637">
        <v>8092</v>
      </c>
      <c r="E1637">
        <v>178</v>
      </c>
      <c r="F1637" s="1">
        <v>44565</v>
      </c>
      <c r="G1637" t="str">
        <f>IF(COUNTIFS(Table1_3[Country],Table1_3[[#This Row],[Country]],Table1_3[Product],Table1_3[[#This Row],[Product]],Table1_3[Sales Person],Table1_3[[#This Row],[Sales Person]],Table1_3[Amount],"&lt;=100")&gt;=2,"Contract","Deal")</f>
        <v>Deal</v>
      </c>
    </row>
    <row r="1638" spans="1:7" x14ac:dyDescent="0.3">
      <c r="A1638" t="s">
        <v>14</v>
      </c>
      <c r="B1638" t="s">
        <v>10</v>
      </c>
      <c r="C1638" t="s">
        <v>13</v>
      </c>
      <c r="D1638">
        <v>8859.6299999999992</v>
      </c>
      <c r="E1638">
        <v>184</v>
      </c>
      <c r="F1638" s="1">
        <v>44930</v>
      </c>
      <c r="G1638" t="str">
        <f>IF(COUNTIFS(Table1_3[Country],Table1_3[[#This Row],[Country]],Table1_3[Product],Table1_3[[#This Row],[Product]],Table1_3[Sales Person],Table1_3[[#This Row],[Sales Person]],Table1_3[Amount],"&lt;=100")&gt;=2,"Contract","Deal")</f>
        <v>Deal</v>
      </c>
    </row>
    <row r="1639" spans="1:7" x14ac:dyDescent="0.3">
      <c r="A1639" t="s">
        <v>14</v>
      </c>
      <c r="B1639" t="s">
        <v>10</v>
      </c>
      <c r="C1639" t="s">
        <v>13</v>
      </c>
      <c r="D1639">
        <v>8813.58</v>
      </c>
      <c r="E1639">
        <v>182</v>
      </c>
      <c r="F1639" s="1">
        <v>45295</v>
      </c>
      <c r="G1639" t="str">
        <f>IF(COUNTIFS(Table1_3[Country],Table1_3[[#This Row],[Country]],Table1_3[Product],Table1_3[[#This Row],[Product]],Table1_3[Sales Person],Table1_3[[#This Row],[Sales Person]],Table1_3[Amount],"&lt;=100")&gt;=2,"Contract","Deal")</f>
        <v>Deal</v>
      </c>
    </row>
    <row r="1640" spans="1:7" x14ac:dyDescent="0.3">
      <c r="A1640" t="s">
        <v>14</v>
      </c>
      <c r="B1640" t="s">
        <v>10</v>
      </c>
      <c r="C1640" t="s">
        <v>18</v>
      </c>
      <c r="D1640">
        <v>11298</v>
      </c>
      <c r="E1640">
        <v>89</v>
      </c>
      <c r="F1640" s="1">
        <v>44776</v>
      </c>
      <c r="G1640" t="str">
        <f>IF(COUNTIFS(Table1_3[Country],Table1_3[[#This Row],[Country]],Table1_3[Product],Table1_3[[#This Row],[Product]],Table1_3[Sales Person],Table1_3[[#This Row],[Sales Person]],Table1_3[Amount],"&lt;=100")&gt;=2,"Contract","Deal")</f>
        <v>Deal</v>
      </c>
    </row>
    <row r="1641" spans="1:7" x14ac:dyDescent="0.3">
      <c r="A1641" t="s">
        <v>14</v>
      </c>
      <c r="B1641" t="s">
        <v>10</v>
      </c>
      <c r="C1641" t="s">
        <v>18</v>
      </c>
      <c r="D1641">
        <v>11867.83</v>
      </c>
      <c r="E1641">
        <v>95</v>
      </c>
      <c r="F1641" s="1">
        <v>45141</v>
      </c>
      <c r="G1641" t="str">
        <f>IF(COUNTIFS(Table1_3[Country],Table1_3[[#This Row],[Country]],Table1_3[Product],Table1_3[[#This Row],[Product]],Table1_3[Sales Person],Table1_3[[#This Row],[Sales Person]],Table1_3[Amount],"&lt;=100")&gt;=2,"Contract","Deal")</f>
        <v>Deal</v>
      </c>
    </row>
    <row r="1642" spans="1:7" x14ac:dyDescent="0.3">
      <c r="A1642" t="s">
        <v>14</v>
      </c>
      <c r="B1642" t="s">
        <v>10</v>
      </c>
      <c r="C1642" t="s">
        <v>18</v>
      </c>
      <c r="D1642">
        <v>12864.47</v>
      </c>
      <c r="E1642">
        <v>93</v>
      </c>
      <c r="F1642" s="1">
        <v>45507</v>
      </c>
      <c r="G1642" t="str">
        <f>IF(COUNTIFS(Table1_3[Country],Table1_3[[#This Row],[Country]],Table1_3[Product],Table1_3[[#This Row],[Product]],Table1_3[Sales Person],Table1_3[[#This Row],[Sales Person]],Table1_3[Amount],"&lt;=100")&gt;=2,"Contract","Deal")</f>
        <v>Deal</v>
      </c>
    </row>
    <row r="1643" spans="1:7" x14ac:dyDescent="0.3">
      <c r="A1643" t="s">
        <v>14</v>
      </c>
      <c r="B1643" t="s">
        <v>10</v>
      </c>
      <c r="C1643" t="s">
        <v>50</v>
      </c>
      <c r="D1643">
        <v>1939</v>
      </c>
      <c r="E1643">
        <v>520</v>
      </c>
      <c r="F1643" s="1">
        <v>44663</v>
      </c>
      <c r="G1643" t="str">
        <f>IF(COUNTIFS(Table1_3[Country],Table1_3[[#This Row],[Country]],Table1_3[Product],Table1_3[[#This Row],[Product]],Table1_3[Sales Person],Table1_3[[#This Row],[Sales Person]],Table1_3[Amount],"&lt;=100")&gt;=2,"Contract","Deal")</f>
        <v>Deal</v>
      </c>
    </row>
    <row r="1644" spans="1:7" x14ac:dyDescent="0.3">
      <c r="A1644" t="s">
        <v>14</v>
      </c>
      <c r="B1644" t="s">
        <v>10</v>
      </c>
      <c r="C1644" t="s">
        <v>50</v>
      </c>
      <c r="D1644">
        <v>2155.62</v>
      </c>
      <c r="E1644">
        <v>495</v>
      </c>
      <c r="F1644" s="1">
        <v>45028</v>
      </c>
      <c r="G1644" t="str">
        <f>IF(COUNTIFS(Table1_3[Country],Table1_3[[#This Row],[Country]],Table1_3[Product],Table1_3[[#This Row],[Product]],Table1_3[Sales Person],Table1_3[[#This Row],[Sales Person]],Table1_3[Amount],"&lt;=100")&gt;=2,"Contract","Deal")</f>
        <v>Deal</v>
      </c>
    </row>
    <row r="1645" spans="1:7" x14ac:dyDescent="0.3">
      <c r="A1645" t="s">
        <v>14</v>
      </c>
      <c r="B1645" t="s">
        <v>10</v>
      </c>
      <c r="C1645" t="s">
        <v>50</v>
      </c>
      <c r="D1645">
        <v>2048.34</v>
      </c>
      <c r="E1645">
        <v>506</v>
      </c>
      <c r="F1645" s="1">
        <v>45394</v>
      </c>
      <c r="G1645" t="str">
        <f>IF(COUNTIFS(Table1_3[Country],Table1_3[[#This Row],[Country]],Table1_3[Product],Table1_3[[#This Row],[Product]],Table1_3[Sales Person],Table1_3[[#This Row],[Sales Person]],Table1_3[Amount],"&lt;=100")&gt;=2,"Contract","Deal")</f>
        <v>Deal</v>
      </c>
    </row>
    <row r="1646" spans="1:7" x14ac:dyDescent="0.3">
      <c r="A1646" t="s">
        <v>14</v>
      </c>
      <c r="B1646" t="s">
        <v>25</v>
      </c>
      <c r="C1646" t="s">
        <v>60</v>
      </c>
      <c r="D1646">
        <v>1589</v>
      </c>
      <c r="E1646">
        <v>271</v>
      </c>
      <c r="F1646" s="1">
        <v>44770</v>
      </c>
      <c r="G1646" t="str">
        <f>IF(COUNTIFS(Table1_3[Country],Table1_3[[#This Row],[Country]],Table1_3[Product],Table1_3[[#This Row],[Product]],Table1_3[Sales Person],Table1_3[[#This Row],[Sales Person]],Table1_3[Amount],"&lt;=100")&gt;=2,"Contract","Deal")</f>
        <v>Deal</v>
      </c>
    </row>
    <row r="1647" spans="1:7" x14ac:dyDescent="0.3">
      <c r="A1647" t="s">
        <v>14</v>
      </c>
      <c r="B1647" t="s">
        <v>25</v>
      </c>
      <c r="C1647" t="s">
        <v>60</v>
      </c>
      <c r="D1647">
        <v>1815.56</v>
      </c>
      <c r="E1647">
        <v>266</v>
      </c>
      <c r="F1647" s="1">
        <v>45135</v>
      </c>
      <c r="G1647" t="str">
        <f>IF(COUNTIFS(Table1_3[Country],Table1_3[[#This Row],[Country]],Table1_3[Product],Table1_3[[#This Row],[Product]],Table1_3[Sales Person],Table1_3[[#This Row],[Sales Person]],Table1_3[Amount],"&lt;=100")&gt;=2,"Contract","Deal")</f>
        <v>Deal</v>
      </c>
    </row>
    <row r="1648" spans="1:7" x14ac:dyDescent="0.3">
      <c r="A1648" t="s">
        <v>14</v>
      </c>
      <c r="B1648" t="s">
        <v>25</v>
      </c>
      <c r="C1648" t="s">
        <v>60</v>
      </c>
      <c r="D1648">
        <v>1743.87</v>
      </c>
      <c r="E1648">
        <v>259</v>
      </c>
      <c r="F1648" s="1">
        <v>45501</v>
      </c>
      <c r="G1648" t="str">
        <f>IF(COUNTIFS(Table1_3[Country],Table1_3[[#This Row],[Country]],Table1_3[Product],Table1_3[[#This Row],[Product]],Table1_3[Sales Person],Table1_3[[#This Row],[Sales Person]],Table1_3[Amount],"&lt;=100")&gt;=2,"Contract","Deal")</f>
        <v>Deal</v>
      </c>
    </row>
    <row r="1649" spans="1:7" x14ac:dyDescent="0.3">
      <c r="A1649" t="s">
        <v>14</v>
      </c>
      <c r="B1649" t="s">
        <v>25</v>
      </c>
      <c r="C1649" t="s">
        <v>8</v>
      </c>
      <c r="D1649">
        <v>18340</v>
      </c>
      <c r="E1649">
        <v>285</v>
      </c>
      <c r="F1649" s="1">
        <v>44742</v>
      </c>
      <c r="G1649" t="str">
        <f>IF(COUNTIFS(Table1_3[Country],Table1_3[[#This Row],[Country]],Table1_3[Product],Table1_3[[#This Row],[Product]],Table1_3[Sales Person],Table1_3[[#This Row],[Sales Person]],Table1_3[Amount],"&lt;=100")&gt;=2,"Contract","Deal")</f>
        <v>Deal</v>
      </c>
    </row>
    <row r="1650" spans="1:7" x14ac:dyDescent="0.3">
      <c r="A1650" t="s">
        <v>14</v>
      </c>
      <c r="B1650" t="s">
        <v>25</v>
      </c>
      <c r="C1650" t="s">
        <v>8</v>
      </c>
      <c r="D1650">
        <v>20402.169999999998</v>
      </c>
      <c r="E1650">
        <v>297</v>
      </c>
      <c r="F1650" s="1">
        <v>45107</v>
      </c>
      <c r="G1650" t="str">
        <f>IF(COUNTIFS(Table1_3[Country],Table1_3[[#This Row],[Country]],Table1_3[Product],Table1_3[[#This Row],[Product]],Table1_3[Sales Person],Table1_3[[#This Row],[Sales Person]],Table1_3[Amount],"&lt;=100")&gt;=2,"Contract","Deal")</f>
        <v>Deal</v>
      </c>
    </row>
    <row r="1651" spans="1:7" x14ac:dyDescent="0.3">
      <c r="A1651" t="s">
        <v>14</v>
      </c>
      <c r="B1651" t="s">
        <v>25</v>
      </c>
      <c r="C1651" t="s">
        <v>8</v>
      </c>
      <c r="D1651">
        <v>21381.14</v>
      </c>
      <c r="E1651">
        <v>311</v>
      </c>
      <c r="F1651" s="1">
        <v>45473</v>
      </c>
      <c r="G1651" t="str">
        <f>IF(COUNTIFS(Table1_3[Country],Table1_3[[#This Row],[Country]],Table1_3[Product],Table1_3[[#This Row],[Product]],Table1_3[Sales Person],Table1_3[[#This Row],[Sales Person]],Table1_3[Amount],"&lt;=100")&gt;=2,"Contract","Deal")</f>
        <v>Deal</v>
      </c>
    </row>
    <row r="1652" spans="1:7" x14ac:dyDescent="0.3">
      <c r="A1652" t="s">
        <v>14</v>
      </c>
      <c r="B1652" t="s">
        <v>25</v>
      </c>
      <c r="C1652" t="s">
        <v>33</v>
      </c>
      <c r="D1652">
        <v>1225</v>
      </c>
      <c r="E1652">
        <v>84</v>
      </c>
      <c r="F1652" s="1">
        <v>44603</v>
      </c>
      <c r="G1652" t="str">
        <f>IF(COUNTIFS(Table1_3[Country],Table1_3[[#This Row],[Country]],Table1_3[Product],Table1_3[[#This Row],[Product]],Table1_3[Sales Person],Table1_3[[#This Row],[Sales Person]],Table1_3[Amount],"&lt;=100")&gt;=2,"Contract","Deal")</f>
        <v>Deal</v>
      </c>
    </row>
    <row r="1653" spans="1:7" x14ac:dyDescent="0.3">
      <c r="A1653" t="s">
        <v>14</v>
      </c>
      <c r="B1653" t="s">
        <v>25</v>
      </c>
      <c r="C1653" t="s">
        <v>33</v>
      </c>
      <c r="D1653">
        <v>1350.26</v>
      </c>
      <c r="E1653">
        <v>89</v>
      </c>
      <c r="F1653" s="1">
        <v>44968</v>
      </c>
      <c r="G1653" t="str">
        <f>IF(COUNTIFS(Table1_3[Country],Table1_3[[#This Row],[Country]],Table1_3[Product],Table1_3[[#This Row],[Product]],Table1_3[Sales Person],Table1_3[[#This Row],[Sales Person]],Table1_3[Amount],"&lt;=100")&gt;=2,"Contract","Deal")</f>
        <v>Deal</v>
      </c>
    </row>
    <row r="1654" spans="1:7" x14ac:dyDescent="0.3">
      <c r="A1654" t="s">
        <v>14</v>
      </c>
      <c r="B1654" t="s">
        <v>25</v>
      </c>
      <c r="C1654" t="s">
        <v>33</v>
      </c>
      <c r="D1654">
        <v>1382.49</v>
      </c>
      <c r="E1654">
        <v>86</v>
      </c>
      <c r="F1654" s="1">
        <v>45333</v>
      </c>
      <c r="G1654" t="str">
        <f>IF(COUNTIFS(Table1_3[Country],Table1_3[[#This Row],[Country]],Table1_3[Product],Table1_3[[#This Row],[Product]],Table1_3[Sales Person],Table1_3[[#This Row],[Sales Person]],Table1_3[Amount],"&lt;=100")&gt;=2,"Contract","Deal")</f>
        <v>Deal</v>
      </c>
    </row>
    <row r="1655" spans="1:7" x14ac:dyDescent="0.3">
      <c r="A1655" t="s">
        <v>14</v>
      </c>
      <c r="B1655" t="s">
        <v>25</v>
      </c>
      <c r="C1655" t="s">
        <v>42</v>
      </c>
      <c r="D1655">
        <v>1799</v>
      </c>
      <c r="E1655">
        <v>207</v>
      </c>
      <c r="F1655" s="1">
        <v>44622</v>
      </c>
      <c r="G1655" t="str">
        <f>IF(COUNTIFS(Table1_3[Country],Table1_3[[#This Row],[Country]],Table1_3[Product],Table1_3[[#This Row],[Product]],Table1_3[Sales Person],Table1_3[[#This Row],[Sales Person]],Table1_3[Amount],"&lt;=100")&gt;=2,"Contract","Deal")</f>
        <v>Deal</v>
      </c>
    </row>
    <row r="1656" spans="1:7" x14ac:dyDescent="0.3">
      <c r="A1656" t="s">
        <v>14</v>
      </c>
      <c r="B1656" t="s">
        <v>25</v>
      </c>
      <c r="C1656" t="s">
        <v>42</v>
      </c>
      <c r="D1656">
        <v>1921.57</v>
      </c>
      <c r="E1656">
        <v>226</v>
      </c>
      <c r="F1656" s="1">
        <v>44987</v>
      </c>
      <c r="G1656" t="str">
        <f>IF(COUNTIFS(Table1_3[Country],Table1_3[[#This Row],[Country]],Table1_3[Product],Table1_3[[#This Row],[Product]],Table1_3[Sales Person],Table1_3[[#This Row],[Sales Person]],Table1_3[Amount],"&lt;=100")&gt;=2,"Contract","Deal")</f>
        <v>Deal</v>
      </c>
    </row>
    <row r="1657" spans="1:7" x14ac:dyDescent="0.3">
      <c r="A1657" t="s">
        <v>14</v>
      </c>
      <c r="B1657" t="s">
        <v>25</v>
      </c>
      <c r="C1657" t="s">
        <v>42</v>
      </c>
      <c r="D1657">
        <v>1928.33</v>
      </c>
      <c r="E1657">
        <v>217</v>
      </c>
      <c r="F1657" s="1">
        <v>45353</v>
      </c>
      <c r="G1657" t="str">
        <f>IF(COUNTIFS(Table1_3[Country],Table1_3[[#This Row],[Country]],Table1_3[Product],Table1_3[[#This Row],[Product]],Table1_3[Sales Person],Table1_3[[#This Row],[Sales Person]],Table1_3[Amount],"&lt;=100")&gt;=2,"Contract","Deal")</f>
        <v>Deal</v>
      </c>
    </row>
    <row r="1658" spans="1:7" x14ac:dyDescent="0.3">
      <c r="A1658" t="s">
        <v>14</v>
      </c>
      <c r="B1658" t="s">
        <v>7</v>
      </c>
      <c r="C1658" t="s">
        <v>26</v>
      </c>
      <c r="D1658">
        <v>5250</v>
      </c>
      <c r="E1658">
        <v>293</v>
      </c>
      <c r="F1658" s="1">
        <v>44573</v>
      </c>
      <c r="G1658" t="str">
        <f>IF(COUNTIFS(Table1_3[Country],Table1_3[[#This Row],[Country]],Table1_3[Product],Table1_3[[#This Row],[Product]],Table1_3[Sales Person],Table1_3[[#This Row],[Sales Person]],Table1_3[Amount],"&lt;=100")&gt;=2,"Contract","Deal")</f>
        <v>Deal</v>
      </c>
    </row>
    <row r="1659" spans="1:7" x14ac:dyDescent="0.3">
      <c r="A1659" t="s">
        <v>14</v>
      </c>
      <c r="B1659" t="s">
        <v>7</v>
      </c>
      <c r="C1659" t="s">
        <v>26</v>
      </c>
      <c r="D1659">
        <v>5501.67</v>
      </c>
      <c r="E1659">
        <v>298</v>
      </c>
      <c r="F1659" s="1">
        <v>44938</v>
      </c>
      <c r="G1659" t="str">
        <f>IF(COUNTIFS(Table1_3[Country],Table1_3[[#This Row],[Country]],Table1_3[Product],Table1_3[[#This Row],[Product]],Table1_3[Sales Person],Table1_3[[#This Row],[Sales Person]],Table1_3[Amount],"&lt;=100")&gt;=2,"Contract","Deal")</f>
        <v>Deal</v>
      </c>
    </row>
    <row r="1660" spans="1:7" x14ac:dyDescent="0.3">
      <c r="A1660" t="s">
        <v>14</v>
      </c>
      <c r="B1660" t="s">
        <v>7</v>
      </c>
      <c r="C1660" t="s">
        <v>26</v>
      </c>
      <c r="D1660">
        <v>6301.56</v>
      </c>
      <c r="E1660">
        <v>287</v>
      </c>
      <c r="F1660" s="1">
        <v>45303</v>
      </c>
      <c r="G1660" t="str">
        <f>IF(COUNTIFS(Table1_3[Country],Table1_3[[#This Row],[Country]],Table1_3[Product],Table1_3[[#This Row],[Product]],Table1_3[Sales Person],Table1_3[[#This Row],[Sales Person]],Table1_3[Amount],"&lt;=100")&gt;=2,"Contract","Deal")</f>
        <v>Deal</v>
      </c>
    </row>
    <row r="1661" spans="1:7" x14ac:dyDescent="0.3">
      <c r="A1661" t="s">
        <v>14</v>
      </c>
      <c r="B1661" t="s">
        <v>7</v>
      </c>
      <c r="C1661" t="s">
        <v>65</v>
      </c>
      <c r="D1661">
        <v>9744</v>
      </c>
      <c r="E1661">
        <v>157</v>
      </c>
      <c r="F1661" s="1">
        <v>44748</v>
      </c>
      <c r="G1661" t="str">
        <f>IF(COUNTIFS(Table1_3[Country],Table1_3[[#This Row],[Country]],Table1_3[Product],Table1_3[[#This Row],[Product]],Table1_3[Sales Person],Table1_3[[#This Row],[Sales Person]],Table1_3[Amount],"&lt;=100")&gt;=2,"Contract","Deal")</f>
        <v>Deal</v>
      </c>
    </row>
    <row r="1662" spans="1:7" x14ac:dyDescent="0.3">
      <c r="A1662" t="s">
        <v>14</v>
      </c>
      <c r="B1662" t="s">
        <v>7</v>
      </c>
      <c r="C1662" t="s">
        <v>65</v>
      </c>
      <c r="D1662">
        <v>10668.69</v>
      </c>
      <c r="E1662">
        <v>150</v>
      </c>
      <c r="F1662" s="1">
        <v>45113</v>
      </c>
      <c r="G1662" t="str">
        <f>IF(COUNTIFS(Table1_3[Country],Table1_3[[#This Row],[Country]],Table1_3[Product],Table1_3[[#This Row],[Product]],Table1_3[Sales Person],Table1_3[[#This Row],[Sales Person]],Table1_3[Amount],"&lt;=100")&gt;=2,"Contract","Deal")</f>
        <v>Deal</v>
      </c>
    </row>
    <row r="1663" spans="1:7" x14ac:dyDescent="0.3">
      <c r="A1663" t="s">
        <v>14</v>
      </c>
      <c r="B1663" t="s">
        <v>7</v>
      </c>
      <c r="C1663" t="s">
        <v>65</v>
      </c>
      <c r="D1663">
        <v>10817.45</v>
      </c>
      <c r="E1663">
        <v>151</v>
      </c>
      <c r="F1663" s="1">
        <v>45479</v>
      </c>
      <c r="G1663" t="str">
        <f>IF(COUNTIFS(Table1_3[Country],Table1_3[[#This Row],[Country]],Table1_3[Product],Table1_3[[#This Row],[Product]],Table1_3[Sales Person],Table1_3[[#This Row],[Sales Person]],Table1_3[Amount],"&lt;=100")&gt;=2,"Contract","Deal")</f>
        <v>Deal</v>
      </c>
    </row>
    <row r="1664" spans="1:7" x14ac:dyDescent="0.3">
      <c r="A1664" t="s">
        <v>14</v>
      </c>
      <c r="B1664" t="s">
        <v>7</v>
      </c>
      <c r="C1664" t="s">
        <v>87</v>
      </c>
      <c r="D1664">
        <v>721</v>
      </c>
      <c r="E1664">
        <v>251</v>
      </c>
      <c r="F1664" s="1">
        <v>44631</v>
      </c>
      <c r="G1664" t="str">
        <f>IF(COUNTIFS(Table1_3[Country],Table1_3[[#This Row],[Country]],Table1_3[Product],Table1_3[[#This Row],[Product]],Table1_3[Sales Person],Table1_3[[#This Row],[Sales Person]],Table1_3[Amount],"&lt;=100")&gt;=2,"Contract","Deal")</f>
        <v>Deal</v>
      </c>
    </row>
    <row r="1665" spans="1:7" x14ac:dyDescent="0.3">
      <c r="A1665" t="s">
        <v>14</v>
      </c>
      <c r="B1665" t="s">
        <v>7</v>
      </c>
      <c r="C1665" t="s">
        <v>87</v>
      </c>
      <c r="D1665">
        <v>805.23</v>
      </c>
      <c r="E1665">
        <v>259</v>
      </c>
      <c r="F1665" s="1">
        <v>44996</v>
      </c>
      <c r="G1665" t="str">
        <f>IF(COUNTIFS(Table1_3[Country],Table1_3[[#This Row],[Country]],Table1_3[Product],Table1_3[[#This Row],[Product]],Table1_3[Sales Person],Table1_3[[#This Row],[Sales Person]],Table1_3[Amount],"&lt;=100")&gt;=2,"Contract","Deal")</f>
        <v>Deal</v>
      </c>
    </row>
    <row r="1666" spans="1:7" x14ac:dyDescent="0.3">
      <c r="A1666" t="s">
        <v>14</v>
      </c>
      <c r="B1666" t="s">
        <v>7</v>
      </c>
      <c r="C1666" t="s">
        <v>87</v>
      </c>
      <c r="D1666">
        <v>783.35</v>
      </c>
      <c r="E1666">
        <v>273</v>
      </c>
      <c r="F1666" s="1">
        <v>45362</v>
      </c>
      <c r="G1666" t="str">
        <f>IF(COUNTIFS(Table1_3[Country],Table1_3[[#This Row],[Country]],Table1_3[Product],Table1_3[[#This Row],[Product]],Table1_3[Sales Person],Table1_3[[#This Row],[Sales Person]],Table1_3[Amount],"&lt;=100")&gt;=2,"Contract","Deal")</f>
        <v>Deal</v>
      </c>
    </row>
    <row r="1667" spans="1:7" x14ac:dyDescent="0.3">
      <c r="A1667" t="s">
        <v>14</v>
      </c>
      <c r="B1667" t="s">
        <v>7</v>
      </c>
      <c r="C1667" t="s">
        <v>90</v>
      </c>
      <c r="D1667">
        <v>3094</v>
      </c>
      <c r="E1667">
        <v>468</v>
      </c>
      <c r="F1667" s="1">
        <v>44775</v>
      </c>
      <c r="G1667" t="str">
        <f>IF(COUNTIFS(Table1_3[Country],Table1_3[[#This Row],[Country]],Table1_3[Product],Table1_3[[#This Row],[Product]],Table1_3[Sales Person],Table1_3[[#This Row],[Sales Person]],Table1_3[Amount],"&lt;=100")&gt;=2,"Contract","Deal")</f>
        <v>Deal</v>
      </c>
    </row>
    <row r="1668" spans="1:7" x14ac:dyDescent="0.3">
      <c r="A1668" t="s">
        <v>14</v>
      </c>
      <c r="B1668" t="s">
        <v>7</v>
      </c>
      <c r="C1668" t="s">
        <v>90</v>
      </c>
      <c r="D1668">
        <v>3175.62</v>
      </c>
      <c r="E1668">
        <v>507</v>
      </c>
      <c r="F1668" s="1">
        <v>45140</v>
      </c>
      <c r="G1668" t="str">
        <f>IF(COUNTIFS(Table1_3[Country],Table1_3[[#This Row],[Country]],Table1_3[Product],Table1_3[[#This Row],[Product]],Table1_3[Sales Person],Table1_3[[#This Row],[Sales Person]],Table1_3[Amount],"&lt;=100")&gt;=2,"Contract","Deal")</f>
        <v>Deal</v>
      </c>
    </row>
    <row r="1669" spans="1:7" x14ac:dyDescent="0.3">
      <c r="A1669" t="s">
        <v>14</v>
      </c>
      <c r="B1669" t="s">
        <v>7</v>
      </c>
      <c r="C1669" t="s">
        <v>90</v>
      </c>
      <c r="D1669">
        <v>3541.73</v>
      </c>
      <c r="E1669">
        <v>494</v>
      </c>
      <c r="F1669" s="1">
        <v>45506</v>
      </c>
      <c r="G1669" t="str">
        <f>IF(COUNTIFS(Table1_3[Country],Table1_3[[#This Row],[Country]],Table1_3[Product],Table1_3[[#This Row],[Product]],Table1_3[Sales Person],Table1_3[[#This Row],[Sales Person]],Table1_3[Amount],"&lt;=100")&gt;=2,"Contract","Deal")</f>
        <v>Deal</v>
      </c>
    </row>
    <row r="1670" spans="1:7" x14ac:dyDescent="0.3">
      <c r="A1670" t="s">
        <v>14</v>
      </c>
      <c r="B1670" t="s">
        <v>7</v>
      </c>
      <c r="C1670" t="s">
        <v>60</v>
      </c>
      <c r="D1670">
        <v>3388</v>
      </c>
      <c r="E1670">
        <v>212</v>
      </c>
      <c r="F1670" s="1">
        <v>44791</v>
      </c>
      <c r="G1670" t="str">
        <f>IF(COUNTIFS(Table1_3[Country],Table1_3[[#This Row],[Country]],Table1_3[Product],Table1_3[[#This Row],[Product]],Table1_3[Sales Person],Table1_3[[#This Row],[Sales Person]],Table1_3[Amount],"&lt;=100")&gt;=2,"Contract","Deal")</f>
        <v>Deal</v>
      </c>
    </row>
    <row r="1671" spans="1:7" x14ac:dyDescent="0.3">
      <c r="A1671" t="s">
        <v>14</v>
      </c>
      <c r="B1671" t="s">
        <v>7</v>
      </c>
      <c r="C1671" t="s">
        <v>60</v>
      </c>
      <c r="D1671">
        <v>3558.89</v>
      </c>
      <c r="E1671">
        <v>231</v>
      </c>
      <c r="F1671" s="1">
        <v>45156</v>
      </c>
      <c r="G1671" t="str">
        <f>IF(COUNTIFS(Table1_3[Country],Table1_3[[#This Row],[Country]],Table1_3[Product],Table1_3[[#This Row],[Product]],Table1_3[Sales Person],Table1_3[[#This Row],[Sales Person]],Table1_3[Amount],"&lt;=100")&gt;=2,"Contract","Deal")</f>
        <v>Deal</v>
      </c>
    </row>
    <row r="1672" spans="1:7" x14ac:dyDescent="0.3">
      <c r="A1672" t="s">
        <v>14</v>
      </c>
      <c r="B1672" t="s">
        <v>7</v>
      </c>
      <c r="C1672" t="s">
        <v>60</v>
      </c>
      <c r="D1672">
        <v>3768.3</v>
      </c>
      <c r="E1672">
        <v>212</v>
      </c>
      <c r="F1672" s="1">
        <v>45522</v>
      </c>
      <c r="G1672" t="str">
        <f>IF(COUNTIFS(Table1_3[Country],Table1_3[[#This Row],[Country]],Table1_3[Product],Table1_3[[#This Row],[Product]],Table1_3[Sales Person],Table1_3[[#This Row],[Sales Person]],Table1_3[Amount],"&lt;=100")&gt;=2,"Contract","Deal")</f>
        <v>Deal</v>
      </c>
    </row>
    <row r="1673" spans="1:7" x14ac:dyDescent="0.3">
      <c r="A1673" t="s">
        <v>14</v>
      </c>
      <c r="B1673" t="s">
        <v>7</v>
      </c>
      <c r="C1673" t="s">
        <v>33</v>
      </c>
      <c r="D1673">
        <v>3780</v>
      </c>
      <c r="E1673">
        <v>201</v>
      </c>
      <c r="F1673" s="1">
        <v>44727</v>
      </c>
      <c r="G1673" t="str">
        <f>IF(COUNTIFS(Table1_3[Country],Table1_3[[#This Row],[Country]],Table1_3[Product],Table1_3[[#This Row],[Product]],Table1_3[Sales Person],Table1_3[[#This Row],[Sales Person]],Table1_3[Amount],"&lt;=100")&gt;=2,"Contract","Deal")</f>
        <v>Deal</v>
      </c>
    </row>
    <row r="1674" spans="1:7" x14ac:dyDescent="0.3">
      <c r="A1674" t="s">
        <v>14</v>
      </c>
      <c r="B1674" t="s">
        <v>7</v>
      </c>
      <c r="C1674" t="s">
        <v>33</v>
      </c>
      <c r="D1674">
        <v>4220.83</v>
      </c>
      <c r="E1674">
        <v>193</v>
      </c>
      <c r="F1674" s="1">
        <v>45092</v>
      </c>
      <c r="G1674" t="str">
        <f>IF(COUNTIFS(Table1_3[Country],Table1_3[[#This Row],[Country]],Table1_3[Product],Table1_3[[#This Row],[Product]],Table1_3[Sales Person],Table1_3[[#This Row],[Sales Person]],Table1_3[Amount],"&lt;=100")&gt;=2,"Contract","Deal")</f>
        <v>Deal</v>
      </c>
    </row>
    <row r="1675" spans="1:7" x14ac:dyDescent="0.3">
      <c r="A1675" t="s">
        <v>14</v>
      </c>
      <c r="B1675" t="s">
        <v>7</v>
      </c>
      <c r="C1675" t="s">
        <v>33</v>
      </c>
      <c r="D1675">
        <v>4116.96</v>
      </c>
      <c r="E1675">
        <v>203</v>
      </c>
      <c r="F1675" s="1">
        <v>45458</v>
      </c>
      <c r="G1675" t="str">
        <f>IF(COUNTIFS(Table1_3[Country],Table1_3[[#This Row],[Country]],Table1_3[Product],Table1_3[[#This Row],[Product]],Table1_3[Sales Person],Table1_3[[#This Row],[Sales Person]],Table1_3[Amount],"&lt;=100")&gt;=2,"Contract","Deal")</f>
        <v>Deal</v>
      </c>
    </row>
    <row r="1676" spans="1:7" x14ac:dyDescent="0.3">
      <c r="A1676" t="s">
        <v>14</v>
      </c>
      <c r="B1676" t="s">
        <v>7</v>
      </c>
      <c r="C1676" t="s">
        <v>42</v>
      </c>
      <c r="D1676">
        <v>1197</v>
      </c>
      <c r="E1676">
        <v>356</v>
      </c>
      <c r="F1676" s="1">
        <v>44663</v>
      </c>
      <c r="G1676" t="str">
        <f>IF(COUNTIFS(Table1_3[Country],Table1_3[[#This Row],[Country]],Table1_3[Product],Table1_3[[#This Row],[Product]],Table1_3[Sales Person],Table1_3[[#This Row],[Sales Person]],Table1_3[Amount],"&lt;=100")&gt;=2,"Contract","Deal")</f>
        <v>Deal</v>
      </c>
    </row>
    <row r="1677" spans="1:7" x14ac:dyDescent="0.3">
      <c r="A1677" t="s">
        <v>14</v>
      </c>
      <c r="B1677" t="s">
        <v>7</v>
      </c>
      <c r="C1677" t="s">
        <v>42</v>
      </c>
      <c r="D1677">
        <v>1281.32</v>
      </c>
      <c r="E1677">
        <v>354</v>
      </c>
      <c r="F1677" s="1">
        <v>45028</v>
      </c>
      <c r="G1677" t="str">
        <f>IF(COUNTIFS(Table1_3[Country],Table1_3[[#This Row],[Country]],Table1_3[Product],Table1_3[[#This Row],[Product]],Table1_3[Sales Person],Table1_3[[#This Row],[Sales Person]],Table1_3[Amount],"&lt;=100")&gt;=2,"Contract","Deal")</f>
        <v>Deal</v>
      </c>
    </row>
    <row r="1678" spans="1:7" x14ac:dyDescent="0.3">
      <c r="A1678" t="s">
        <v>14</v>
      </c>
      <c r="B1678" t="s">
        <v>7</v>
      </c>
      <c r="C1678" t="s">
        <v>42</v>
      </c>
      <c r="D1678">
        <v>1367.24</v>
      </c>
      <c r="E1678">
        <v>384</v>
      </c>
      <c r="F1678" s="1">
        <v>45394</v>
      </c>
      <c r="G1678" t="str">
        <f>IF(COUNTIFS(Table1_3[Country],Table1_3[[#This Row],[Country]],Table1_3[Product],Table1_3[[#This Row],[Product]],Table1_3[Sales Person],Table1_3[[#This Row],[Sales Person]],Table1_3[Amount],"&lt;=100")&gt;=2,"Contract","Deal")</f>
        <v>Deal</v>
      </c>
    </row>
    <row r="1679" spans="1:7" x14ac:dyDescent="0.3">
      <c r="A1679" t="s">
        <v>14</v>
      </c>
      <c r="B1679" t="s">
        <v>7</v>
      </c>
      <c r="C1679" t="s">
        <v>59</v>
      </c>
      <c r="D1679">
        <v>8799</v>
      </c>
      <c r="E1679">
        <v>47</v>
      </c>
      <c r="F1679" s="1">
        <v>44734</v>
      </c>
      <c r="G1679" t="str">
        <f>IF(COUNTIFS(Table1_3[Country],Table1_3[[#This Row],[Country]],Table1_3[Product],Table1_3[[#This Row],[Product]],Table1_3[Sales Person],Table1_3[[#This Row],[Sales Person]],Table1_3[Amount],"&lt;=100")&gt;=2,"Contract","Deal")</f>
        <v>Deal</v>
      </c>
    </row>
    <row r="1680" spans="1:7" x14ac:dyDescent="0.3">
      <c r="A1680" t="s">
        <v>14</v>
      </c>
      <c r="B1680" t="s">
        <v>7</v>
      </c>
      <c r="C1680" t="s">
        <v>59</v>
      </c>
      <c r="D1680">
        <v>10087.040000000001</v>
      </c>
      <c r="E1680">
        <v>46</v>
      </c>
      <c r="F1680" s="1">
        <v>45099</v>
      </c>
      <c r="G1680" t="str">
        <f>IF(COUNTIFS(Table1_3[Country],Table1_3[[#This Row],[Country]],Table1_3[Product],Table1_3[[#This Row],[Product]],Table1_3[Sales Person],Table1_3[[#This Row],[Sales Person]],Table1_3[Amount],"&lt;=100")&gt;=2,"Contract","Deal")</f>
        <v>Deal</v>
      </c>
    </row>
    <row r="1681" spans="1:7" x14ac:dyDescent="0.3">
      <c r="A1681" t="s">
        <v>14</v>
      </c>
      <c r="B1681" t="s">
        <v>7</v>
      </c>
      <c r="C1681" t="s">
        <v>59</v>
      </c>
      <c r="D1681">
        <v>9409.06</v>
      </c>
      <c r="E1681">
        <v>46</v>
      </c>
      <c r="F1681" s="1">
        <v>45465</v>
      </c>
      <c r="G1681" t="str">
        <f>IF(COUNTIFS(Table1_3[Country],Table1_3[[#This Row],[Country]],Table1_3[Product],Table1_3[[#This Row],[Product]],Table1_3[Sales Person],Table1_3[[#This Row],[Sales Person]],Table1_3[Amount],"&lt;=100")&gt;=2,"Contract","Deal")</f>
        <v>Deal</v>
      </c>
    </row>
    <row r="1682" spans="1:7" x14ac:dyDescent="0.3">
      <c r="A1682" t="s">
        <v>14</v>
      </c>
      <c r="B1682" t="s">
        <v>32</v>
      </c>
      <c r="C1682" t="s">
        <v>57</v>
      </c>
      <c r="D1682">
        <v>4382</v>
      </c>
      <c r="E1682">
        <v>361</v>
      </c>
      <c r="F1682" s="1">
        <v>44739</v>
      </c>
      <c r="G1682" t="str">
        <f>IF(COUNTIFS(Table1_3[Country],Table1_3[[#This Row],[Country]],Table1_3[Product],Table1_3[[#This Row],[Product]],Table1_3[Sales Person],Table1_3[[#This Row],[Sales Person]],Table1_3[Amount],"&lt;=100")&gt;=2,"Contract","Deal")</f>
        <v>Deal</v>
      </c>
    </row>
    <row r="1683" spans="1:7" x14ac:dyDescent="0.3">
      <c r="A1683" t="s">
        <v>14</v>
      </c>
      <c r="B1683" t="s">
        <v>32</v>
      </c>
      <c r="C1683" t="s">
        <v>57</v>
      </c>
      <c r="D1683">
        <v>4891.8599999999997</v>
      </c>
      <c r="E1683">
        <v>380</v>
      </c>
      <c r="F1683" s="1">
        <v>45104</v>
      </c>
      <c r="G1683" t="str">
        <f>IF(COUNTIFS(Table1_3[Country],Table1_3[[#This Row],[Country]],Table1_3[Product],Table1_3[[#This Row],[Product]],Table1_3[Sales Person],Table1_3[[#This Row],[Sales Person]],Table1_3[Amount],"&lt;=100")&gt;=2,"Contract","Deal")</f>
        <v>Deal</v>
      </c>
    </row>
    <row r="1684" spans="1:7" x14ac:dyDescent="0.3">
      <c r="A1684" t="s">
        <v>14</v>
      </c>
      <c r="B1684" t="s">
        <v>32</v>
      </c>
      <c r="C1684" t="s">
        <v>57</v>
      </c>
      <c r="D1684">
        <v>5187.72</v>
      </c>
      <c r="E1684">
        <v>382</v>
      </c>
      <c r="F1684" s="1">
        <v>45470</v>
      </c>
      <c r="G1684" t="str">
        <f>IF(COUNTIFS(Table1_3[Country],Table1_3[[#This Row],[Country]],Table1_3[Product],Table1_3[[#This Row],[Product]],Table1_3[Sales Person],Table1_3[[#This Row],[Sales Person]],Table1_3[Amount],"&lt;=100")&gt;=2,"Contract","Deal")</f>
        <v>Deal</v>
      </c>
    </row>
    <row r="1685" spans="1:7" x14ac:dyDescent="0.3">
      <c r="A1685" t="s">
        <v>14</v>
      </c>
      <c r="B1685" t="s">
        <v>32</v>
      </c>
      <c r="C1685" t="s">
        <v>33</v>
      </c>
      <c r="D1685">
        <v>980</v>
      </c>
      <c r="E1685">
        <v>146</v>
      </c>
      <c r="F1685" s="1">
        <v>44741</v>
      </c>
      <c r="G1685" t="str">
        <f>IF(COUNTIFS(Table1_3[Country],Table1_3[[#This Row],[Country]],Table1_3[Product],Table1_3[[#This Row],[Product]],Table1_3[Sales Person],Table1_3[[#This Row],[Sales Person]],Table1_3[Amount],"&lt;=100")&gt;=2,"Contract","Deal")</f>
        <v>Deal</v>
      </c>
    </row>
    <row r="1686" spans="1:7" x14ac:dyDescent="0.3">
      <c r="A1686" t="s">
        <v>14</v>
      </c>
      <c r="B1686" t="s">
        <v>32</v>
      </c>
      <c r="C1686" t="s">
        <v>33</v>
      </c>
      <c r="D1686">
        <v>1048.26</v>
      </c>
      <c r="E1686">
        <v>149</v>
      </c>
      <c r="F1686" s="1">
        <v>45106</v>
      </c>
      <c r="G1686" t="str">
        <f>IF(COUNTIFS(Table1_3[Country],Table1_3[[#This Row],[Country]],Table1_3[Product],Table1_3[[#This Row],[Product]],Table1_3[Sales Person],Table1_3[[#This Row],[Sales Person]],Table1_3[Amount],"&lt;=100")&gt;=2,"Contract","Deal")</f>
        <v>Deal</v>
      </c>
    </row>
    <row r="1687" spans="1:7" x14ac:dyDescent="0.3">
      <c r="A1687" t="s">
        <v>14</v>
      </c>
      <c r="B1687" t="s">
        <v>32</v>
      </c>
      <c r="C1687" t="s">
        <v>33</v>
      </c>
      <c r="D1687">
        <v>1082</v>
      </c>
      <c r="E1687">
        <v>158</v>
      </c>
      <c r="F1687" s="1">
        <v>45472</v>
      </c>
      <c r="G1687" t="str">
        <f>IF(COUNTIFS(Table1_3[Country],Table1_3[[#This Row],[Country]],Table1_3[Product],Table1_3[[#This Row],[Product]],Table1_3[Sales Person],Table1_3[[#This Row],[Sales Person]],Table1_3[Amount],"&lt;=100")&gt;=2,"Contract","Deal")</f>
        <v>Deal</v>
      </c>
    </row>
    <row r="1688" spans="1:7" x14ac:dyDescent="0.3">
      <c r="A1688" t="s">
        <v>14</v>
      </c>
      <c r="B1688" t="s">
        <v>32</v>
      </c>
      <c r="C1688" t="s">
        <v>13</v>
      </c>
      <c r="D1688">
        <v>9037</v>
      </c>
      <c r="E1688">
        <v>102</v>
      </c>
      <c r="F1688" s="1">
        <v>44764</v>
      </c>
      <c r="G1688" t="str">
        <f>IF(COUNTIFS(Table1_3[Country],Table1_3[[#This Row],[Country]],Table1_3[Product],Table1_3[[#This Row],[Product]],Table1_3[Sales Person],Table1_3[[#This Row],[Sales Person]],Table1_3[Amount],"&lt;=100")&gt;=2,"Contract","Deal")</f>
        <v>Deal</v>
      </c>
    </row>
    <row r="1689" spans="1:7" x14ac:dyDescent="0.3">
      <c r="A1689" t="s">
        <v>14</v>
      </c>
      <c r="B1689" t="s">
        <v>32</v>
      </c>
      <c r="C1689" t="s">
        <v>13</v>
      </c>
      <c r="D1689">
        <v>9605.11</v>
      </c>
      <c r="E1689">
        <v>98</v>
      </c>
      <c r="F1689" s="1">
        <v>45129</v>
      </c>
      <c r="G1689" t="str">
        <f>IF(COUNTIFS(Table1_3[Country],Table1_3[[#This Row],[Country]],Table1_3[Product],Table1_3[[#This Row],[Product]],Table1_3[Sales Person],Table1_3[[#This Row],[Sales Person]],Table1_3[Amount],"&lt;=100")&gt;=2,"Contract","Deal")</f>
        <v>Deal</v>
      </c>
    </row>
    <row r="1690" spans="1:7" x14ac:dyDescent="0.3">
      <c r="A1690" t="s">
        <v>14</v>
      </c>
      <c r="B1690" t="s">
        <v>32</v>
      </c>
      <c r="C1690" t="s">
        <v>13</v>
      </c>
      <c r="D1690">
        <v>10463.57</v>
      </c>
      <c r="E1690">
        <v>109</v>
      </c>
      <c r="F1690" s="1">
        <v>45495</v>
      </c>
      <c r="G1690" t="str">
        <f>IF(COUNTIFS(Table1_3[Country],Table1_3[[#This Row],[Country]],Table1_3[Product],Table1_3[[#This Row],[Product]],Table1_3[Sales Person],Table1_3[[#This Row],[Sales Person]],Table1_3[Amount],"&lt;=100")&gt;=2,"Contract","Deal")</f>
        <v>Deal</v>
      </c>
    </row>
    <row r="1691" spans="1:7" x14ac:dyDescent="0.3">
      <c r="A1691" t="s">
        <v>6</v>
      </c>
      <c r="B1691" t="s">
        <v>15</v>
      </c>
      <c r="C1691" t="s">
        <v>26</v>
      </c>
      <c r="D1691">
        <v>5194</v>
      </c>
      <c r="E1691">
        <v>418</v>
      </c>
      <c r="F1691" s="1">
        <v>44575</v>
      </c>
      <c r="G1691" t="str">
        <f>IF(COUNTIFS(Table1_3[Country],Table1_3[[#This Row],[Country]],Table1_3[Product],Table1_3[[#This Row],[Product]],Table1_3[Sales Person],Table1_3[[#This Row],[Sales Person]],Table1_3[Amount],"&lt;=100")&gt;=2,"Contract","Deal")</f>
        <v>Deal</v>
      </c>
    </row>
    <row r="1692" spans="1:7" x14ac:dyDescent="0.3">
      <c r="A1692" t="s">
        <v>6</v>
      </c>
      <c r="B1692" t="s">
        <v>15</v>
      </c>
      <c r="C1692" t="s">
        <v>26</v>
      </c>
      <c r="D1692">
        <v>5700.28</v>
      </c>
      <c r="E1692">
        <v>422</v>
      </c>
      <c r="F1692" s="1">
        <v>44940</v>
      </c>
      <c r="G1692" t="str">
        <f>IF(COUNTIFS(Table1_3[Country],Table1_3[[#This Row],[Country]],Table1_3[Product],Table1_3[[#This Row],[Product]],Table1_3[Sales Person],Table1_3[[#This Row],[Sales Person]],Table1_3[Amount],"&lt;=100")&gt;=2,"Contract","Deal")</f>
        <v>Deal</v>
      </c>
    </row>
    <row r="1693" spans="1:7" x14ac:dyDescent="0.3">
      <c r="A1693" t="s">
        <v>6</v>
      </c>
      <c r="B1693" t="s">
        <v>15</v>
      </c>
      <c r="C1693" t="s">
        <v>26</v>
      </c>
      <c r="D1693">
        <v>5461.43</v>
      </c>
      <c r="E1693">
        <v>456</v>
      </c>
      <c r="F1693" s="1">
        <v>45305</v>
      </c>
      <c r="G1693" t="str">
        <f>IF(COUNTIFS(Table1_3[Country],Table1_3[[#This Row],[Country]],Table1_3[Product],Table1_3[[#This Row],[Product]],Table1_3[Sales Person],Table1_3[[#This Row],[Sales Person]],Table1_3[Amount],"&lt;=100")&gt;=2,"Contract","Deal")</f>
        <v>Deal</v>
      </c>
    </row>
    <row r="1694" spans="1:7" x14ac:dyDescent="0.3">
      <c r="A1694" t="s">
        <v>6</v>
      </c>
      <c r="B1694" t="s">
        <v>15</v>
      </c>
      <c r="C1694" t="s">
        <v>20</v>
      </c>
      <c r="D1694">
        <v>10486</v>
      </c>
      <c r="E1694">
        <v>198</v>
      </c>
      <c r="F1694" s="1">
        <v>44617</v>
      </c>
      <c r="G1694" t="str">
        <f>IF(COUNTIFS(Table1_3[Country],Table1_3[[#This Row],[Country]],Table1_3[Product],Table1_3[[#This Row],[Product]],Table1_3[Sales Person],Table1_3[[#This Row],[Sales Person]],Table1_3[Amount],"&lt;=100")&gt;=2,"Contract","Deal")</f>
        <v>Deal</v>
      </c>
    </row>
    <row r="1695" spans="1:7" x14ac:dyDescent="0.3">
      <c r="A1695" t="s">
        <v>6</v>
      </c>
      <c r="B1695" t="s">
        <v>15</v>
      </c>
      <c r="C1695" t="s">
        <v>20</v>
      </c>
      <c r="D1695">
        <v>11720.99</v>
      </c>
      <c r="E1695">
        <v>204</v>
      </c>
      <c r="F1695" s="1">
        <v>44982</v>
      </c>
      <c r="G1695" t="str">
        <f>IF(COUNTIFS(Table1_3[Country],Table1_3[[#This Row],[Country]],Table1_3[Product],Table1_3[[#This Row],[Product]],Table1_3[Sales Person],Table1_3[[#This Row],[Sales Person]],Table1_3[Amount],"&lt;=100")&gt;=2,"Contract","Deal")</f>
        <v>Deal</v>
      </c>
    </row>
    <row r="1696" spans="1:7" x14ac:dyDescent="0.3">
      <c r="A1696" t="s">
        <v>6</v>
      </c>
      <c r="B1696" t="s">
        <v>15</v>
      </c>
      <c r="C1696" t="s">
        <v>20</v>
      </c>
      <c r="D1696">
        <v>11409.11</v>
      </c>
      <c r="E1696">
        <v>217</v>
      </c>
      <c r="F1696" s="1">
        <v>45347</v>
      </c>
      <c r="G1696" t="str">
        <f>IF(COUNTIFS(Table1_3[Country],Table1_3[[#This Row],[Country]],Table1_3[Product],Table1_3[[#This Row],[Product]],Table1_3[Sales Person],Table1_3[[#This Row],[Sales Person]],Table1_3[Amount],"&lt;=100")&gt;=2,"Contract","Deal")</f>
        <v>Deal</v>
      </c>
    </row>
    <row r="1697" spans="1:7" x14ac:dyDescent="0.3">
      <c r="A1697" t="s">
        <v>6</v>
      </c>
      <c r="B1697" t="s">
        <v>15</v>
      </c>
      <c r="C1697" t="s">
        <v>23</v>
      </c>
      <c r="D1697">
        <v>5250</v>
      </c>
      <c r="E1697">
        <v>47</v>
      </c>
      <c r="F1697" s="1">
        <v>44606</v>
      </c>
      <c r="G1697" t="str">
        <f>IF(COUNTIFS(Table1_3[Country],Table1_3[[#This Row],[Country]],Table1_3[Product],Table1_3[[#This Row],[Product]],Table1_3[Sales Person],Table1_3[[#This Row],[Sales Person]],Table1_3[Amount],"&lt;=100")&gt;=2,"Contract","Deal")</f>
        <v>Deal</v>
      </c>
    </row>
    <row r="1698" spans="1:7" x14ac:dyDescent="0.3">
      <c r="A1698" t="s">
        <v>6</v>
      </c>
      <c r="B1698" t="s">
        <v>15</v>
      </c>
      <c r="C1698" t="s">
        <v>23</v>
      </c>
      <c r="D1698">
        <v>5602.02</v>
      </c>
      <c r="E1698">
        <v>51</v>
      </c>
      <c r="F1698" s="1">
        <v>44971</v>
      </c>
      <c r="G1698" t="str">
        <f>IF(COUNTIFS(Table1_3[Country],Table1_3[[#This Row],[Country]],Table1_3[Product],Table1_3[[#This Row],[Product]],Table1_3[Sales Person],Table1_3[[#This Row],[Sales Person]],Table1_3[Amount],"&lt;=100")&gt;=2,"Contract","Deal")</f>
        <v>Deal</v>
      </c>
    </row>
    <row r="1699" spans="1:7" x14ac:dyDescent="0.3">
      <c r="A1699" t="s">
        <v>6</v>
      </c>
      <c r="B1699" t="s">
        <v>15</v>
      </c>
      <c r="C1699" t="s">
        <v>23</v>
      </c>
      <c r="D1699">
        <v>5512.57</v>
      </c>
      <c r="E1699">
        <v>46</v>
      </c>
      <c r="F1699" s="1">
        <v>45336</v>
      </c>
      <c r="G1699" t="str">
        <f>IF(COUNTIFS(Table1_3[Country],Table1_3[[#This Row],[Country]],Table1_3[Product],Table1_3[[#This Row],[Product]],Table1_3[Sales Person],Table1_3[[#This Row],[Sales Person]],Table1_3[Amount],"&lt;=100")&gt;=2,"Contract","Deal")</f>
        <v>Deal</v>
      </c>
    </row>
    <row r="1700" spans="1:7" x14ac:dyDescent="0.3">
      <c r="A1700" t="s">
        <v>6</v>
      </c>
      <c r="B1700" t="s">
        <v>15</v>
      </c>
      <c r="C1700" t="s">
        <v>38</v>
      </c>
      <c r="D1700">
        <v>2611</v>
      </c>
      <c r="E1700">
        <v>65</v>
      </c>
      <c r="F1700" s="1">
        <v>44575</v>
      </c>
      <c r="G1700" t="str">
        <f>IF(COUNTIFS(Table1_3[Country],Table1_3[[#This Row],[Country]],Table1_3[Product],Table1_3[[#This Row],[Product]],Table1_3[Sales Person],Table1_3[[#This Row],[Sales Person]],Table1_3[Amount],"&lt;=100")&gt;=2,"Contract","Deal")</f>
        <v>Deal</v>
      </c>
    </row>
    <row r="1701" spans="1:7" x14ac:dyDescent="0.3">
      <c r="A1701" t="s">
        <v>6</v>
      </c>
      <c r="B1701" t="s">
        <v>15</v>
      </c>
      <c r="C1701" t="s">
        <v>38</v>
      </c>
      <c r="D1701">
        <v>2900.61</v>
      </c>
      <c r="E1701">
        <v>68</v>
      </c>
      <c r="F1701" s="1">
        <v>44940</v>
      </c>
      <c r="G1701" t="str">
        <f>IF(COUNTIFS(Table1_3[Country],Table1_3[[#This Row],[Country]],Table1_3[Product],Table1_3[[#This Row],[Product]],Table1_3[Sales Person],Table1_3[[#This Row],[Sales Person]],Table1_3[Amount],"&lt;=100")&gt;=2,"Contract","Deal")</f>
        <v>Deal</v>
      </c>
    </row>
    <row r="1702" spans="1:7" x14ac:dyDescent="0.3">
      <c r="A1702" t="s">
        <v>6</v>
      </c>
      <c r="B1702" t="s">
        <v>15</v>
      </c>
      <c r="C1702" t="s">
        <v>38</v>
      </c>
      <c r="D1702">
        <v>3114.84</v>
      </c>
      <c r="E1702">
        <v>65</v>
      </c>
      <c r="F1702" s="1">
        <v>45305</v>
      </c>
      <c r="G1702" t="str">
        <f>IF(COUNTIFS(Table1_3[Country],Table1_3[[#This Row],[Country]],Table1_3[Product],Table1_3[[#This Row],[Product]],Table1_3[Sales Person],Table1_3[[#This Row],[Sales Person]],Table1_3[Amount],"&lt;=100")&gt;=2,"Contract","Deal")</f>
        <v>Deal</v>
      </c>
    </row>
    <row r="1703" spans="1:7" x14ac:dyDescent="0.3">
      <c r="A1703" t="s">
        <v>6</v>
      </c>
      <c r="B1703" t="s">
        <v>15</v>
      </c>
      <c r="C1703" t="s">
        <v>46</v>
      </c>
      <c r="D1703">
        <v>8659</v>
      </c>
      <c r="E1703">
        <v>29</v>
      </c>
      <c r="F1703" s="1">
        <v>44638</v>
      </c>
      <c r="G1703" t="str">
        <f>IF(COUNTIFS(Table1_3[Country],Table1_3[[#This Row],[Country]],Table1_3[Product],Table1_3[[#This Row],[Product]],Table1_3[Sales Person],Table1_3[[#This Row],[Sales Person]],Table1_3[Amount],"&lt;=100")&gt;=2,"Contract","Deal")</f>
        <v>Deal</v>
      </c>
    </row>
    <row r="1704" spans="1:7" x14ac:dyDescent="0.3">
      <c r="A1704" t="s">
        <v>6</v>
      </c>
      <c r="B1704" t="s">
        <v>15</v>
      </c>
      <c r="C1704" t="s">
        <v>46</v>
      </c>
      <c r="D1704">
        <v>9839.4599999999991</v>
      </c>
      <c r="E1704">
        <v>31</v>
      </c>
      <c r="F1704" s="1">
        <v>45003</v>
      </c>
      <c r="G1704" t="str">
        <f>IF(COUNTIFS(Table1_3[Country],Table1_3[[#This Row],[Country]],Table1_3[Product],Table1_3[[#This Row],[Product]],Table1_3[Sales Person],Table1_3[[#This Row],[Sales Person]],Table1_3[Amount],"&lt;=100")&gt;=2,"Contract","Deal")</f>
        <v>Deal</v>
      </c>
    </row>
    <row r="1705" spans="1:7" x14ac:dyDescent="0.3">
      <c r="A1705" t="s">
        <v>6</v>
      </c>
      <c r="B1705" t="s">
        <v>15</v>
      </c>
      <c r="C1705" t="s">
        <v>46</v>
      </c>
      <c r="D1705">
        <v>9172.1299999999992</v>
      </c>
      <c r="E1705">
        <v>30</v>
      </c>
      <c r="F1705" s="1">
        <v>45369</v>
      </c>
      <c r="G1705" t="str">
        <f>IF(COUNTIFS(Table1_3[Country],Table1_3[[#This Row],[Country]],Table1_3[Product],Table1_3[[#This Row],[Product]],Table1_3[Sales Person],Table1_3[[#This Row],[Sales Person]],Table1_3[Amount],"&lt;=100")&gt;=2,"Contract","Deal")</f>
        <v>Deal</v>
      </c>
    </row>
    <row r="1706" spans="1:7" x14ac:dyDescent="0.3">
      <c r="A1706" t="s">
        <v>6</v>
      </c>
      <c r="B1706" t="s">
        <v>15</v>
      </c>
      <c r="C1706" t="s">
        <v>33</v>
      </c>
      <c r="D1706">
        <v>13706</v>
      </c>
      <c r="E1706">
        <v>26</v>
      </c>
      <c r="F1706" s="1">
        <v>44643</v>
      </c>
      <c r="G1706" t="str">
        <f>IF(COUNTIFS(Table1_3[Country],Table1_3[[#This Row],[Country]],Table1_3[Product],Table1_3[[#This Row],[Product]],Table1_3[Sales Person],Table1_3[[#This Row],[Sales Person]],Table1_3[Amount],"&lt;=100")&gt;=2,"Contract","Deal")</f>
        <v>Deal</v>
      </c>
    </row>
    <row r="1707" spans="1:7" x14ac:dyDescent="0.3">
      <c r="A1707" t="s">
        <v>6</v>
      </c>
      <c r="B1707" t="s">
        <v>15</v>
      </c>
      <c r="C1707" t="s">
        <v>33</v>
      </c>
      <c r="D1707">
        <v>14529.2</v>
      </c>
      <c r="E1707">
        <v>26</v>
      </c>
      <c r="F1707" s="1">
        <v>45008</v>
      </c>
      <c r="G1707" t="str">
        <f>IF(COUNTIFS(Table1_3[Country],Table1_3[[#This Row],[Country]],Table1_3[Product],Table1_3[[#This Row],[Product]],Table1_3[Sales Person],Table1_3[[#This Row],[Sales Person]],Table1_3[Amount],"&lt;=100")&gt;=2,"Contract","Deal")</f>
        <v>Deal</v>
      </c>
    </row>
    <row r="1708" spans="1:7" x14ac:dyDescent="0.3">
      <c r="A1708" t="s">
        <v>6</v>
      </c>
      <c r="B1708" t="s">
        <v>15</v>
      </c>
      <c r="C1708" t="s">
        <v>33</v>
      </c>
      <c r="D1708">
        <v>16059.94</v>
      </c>
      <c r="E1708">
        <v>28</v>
      </c>
      <c r="F1708" s="1">
        <v>45374</v>
      </c>
      <c r="G1708" t="str">
        <f>IF(COUNTIFS(Table1_3[Country],Table1_3[[#This Row],[Country]],Table1_3[Product],Table1_3[[#This Row],[Product]],Table1_3[Sales Person],Table1_3[[#This Row],[Sales Person]],Table1_3[Amount],"&lt;=100")&gt;=2,"Contract","Deal")</f>
        <v>Deal</v>
      </c>
    </row>
    <row r="1709" spans="1:7" x14ac:dyDescent="0.3">
      <c r="A1709" t="s">
        <v>6</v>
      </c>
      <c r="B1709" t="s">
        <v>15</v>
      </c>
      <c r="C1709" t="s">
        <v>13</v>
      </c>
      <c r="D1709">
        <v>5691</v>
      </c>
      <c r="E1709">
        <v>38</v>
      </c>
      <c r="F1709" s="1">
        <v>44736</v>
      </c>
      <c r="G1709" t="str">
        <f>IF(COUNTIFS(Table1_3[Country],Table1_3[[#This Row],[Country]],Table1_3[Product],Table1_3[[#This Row],[Product]],Table1_3[Sales Person],Table1_3[[#This Row],[Sales Person]],Table1_3[Amount],"&lt;=100")&gt;=2,"Contract","Deal")</f>
        <v>Deal</v>
      </c>
    </row>
    <row r="1710" spans="1:7" x14ac:dyDescent="0.3">
      <c r="A1710" t="s">
        <v>6</v>
      </c>
      <c r="B1710" t="s">
        <v>15</v>
      </c>
      <c r="C1710" t="s">
        <v>13</v>
      </c>
      <c r="D1710">
        <v>6047.05</v>
      </c>
      <c r="E1710">
        <v>40</v>
      </c>
      <c r="F1710" s="1">
        <v>45101</v>
      </c>
      <c r="G1710" t="str">
        <f>IF(COUNTIFS(Table1_3[Country],Table1_3[[#This Row],[Country]],Table1_3[Product],Table1_3[[#This Row],[Product]],Table1_3[Sales Person],Table1_3[[#This Row],[Sales Person]],Table1_3[Amount],"&lt;=100")&gt;=2,"Contract","Deal")</f>
        <v>Deal</v>
      </c>
    </row>
    <row r="1711" spans="1:7" x14ac:dyDescent="0.3">
      <c r="A1711" t="s">
        <v>6</v>
      </c>
      <c r="B1711" t="s">
        <v>15</v>
      </c>
      <c r="C1711" t="s">
        <v>13</v>
      </c>
      <c r="D1711">
        <v>6623.03</v>
      </c>
      <c r="E1711">
        <v>39</v>
      </c>
      <c r="F1711" s="1">
        <v>45467</v>
      </c>
      <c r="G1711" t="str">
        <f>IF(COUNTIFS(Table1_3[Country],Table1_3[[#This Row],[Country]],Table1_3[Product],Table1_3[[#This Row],[Product]],Table1_3[Sales Person],Table1_3[[#This Row],[Sales Person]],Table1_3[Amount],"&lt;=100")&gt;=2,"Contract","Deal")</f>
        <v>Deal</v>
      </c>
    </row>
    <row r="1712" spans="1:7" x14ac:dyDescent="0.3">
      <c r="A1712" t="s">
        <v>6</v>
      </c>
      <c r="B1712" t="s">
        <v>15</v>
      </c>
      <c r="C1712" t="s">
        <v>50</v>
      </c>
      <c r="D1712">
        <v>5012</v>
      </c>
      <c r="E1712">
        <v>384</v>
      </c>
      <c r="F1712" s="1">
        <v>44574</v>
      </c>
      <c r="G1712" t="str">
        <f>IF(COUNTIFS(Table1_3[Country],Table1_3[[#This Row],[Country]],Table1_3[Product],Table1_3[[#This Row],[Product]],Table1_3[Sales Person],Table1_3[[#This Row],[Sales Person]],Table1_3[Amount],"&lt;=100")&gt;=2,"Contract","Deal")</f>
        <v>Deal</v>
      </c>
    </row>
    <row r="1713" spans="1:7" x14ac:dyDescent="0.3">
      <c r="A1713" t="s">
        <v>6</v>
      </c>
      <c r="B1713" t="s">
        <v>15</v>
      </c>
      <c r="C1713" t="s">
        <v>50</v>
      </c>
      <c r="D1713">
        <v>5147.7700000000004</v>
      </c>
      <c r="E1713">
        <v>402</v>
      </c>
      <c r="F1713" s="1">
        <v>44939</v>
      </c>
      <c r="G1713" t="str">
        <f>IF(COUNTIFS(Table1_3[Country],Table1_3[[#This Row],[Country]],Table1_3[Product],Table1_3[[#This Row],[Product]],Table1_3[Sales Person],Table1_3[[#This Row],[Sales Person]],Table1_3[Amount],"&lt;=100")&gt;=2,"Contract","Deal")</f>
        <v>Deal</v>
      </c>
    </row>
    <row r="1714" spans="1:7" x14ac:dyDescent="0.3">
      <c r="A1714" t="s">
        <v>6</v>
      </c>
      <c r="B1714" t="s">
        <v>15</v>
      </c>
      <c r="C1714" t="s">
        <v>50</v>
      </c>
      <c r="D1714">
        <v>5573.57</v>
      </c>
      <c r="E1714">
        <v>372</v>
      </c>
      <c r="F1714" s="1">
        <v>45304</v>
      </c>
      <c r="G1714" t="str">
        <f>IF(COUNTIFS(Table1_3[Country],Table1_3[[#This Row],[Country]],Table1_3[Product],Table1_3[[#This Row],[Product]],Table1_3[Sales Person],Table1_3[[#This Row],[Sales Person]],Table1_3[Amount],"&lt;=100")&gt;=2,"Contract","Deal")</f>
        <v>Deal</v>
      </c>
    </row>
    <row r="1715" spans="1:7" x14ac:dyDescent="0.3">
      <c r="A1715" t="s">
        <v>6</v>
      </c>
      <c r="B1715" t="s">
        <v>35</v>
      </c>
      <c r="C1715" t="s">
        <v>38</v>
      </c>
      <c r="D1715">
        <v>441</v>
      </c>
      <c r="E1715">
        <v>24</v>
      </c>
      <c r="F1715" s="1">
        <v>44757</v>
      </c>
      <c r="G1715" t="str">
        <f>IF(COUNTIFS(Table1_3[Country],Table1_3[[#This Row],[Country]],Table1_3[Product],Table1_3[[#This Row],[Product]],Table1_3[Sales Person],Table1_3[[#This Row],[Sales Person]],Table1_3[Amount],"&lt;=100")&gt;=2,"Contract","Deal")</f>
        <v>Deal</v>
      </c>
    </row>
    <row r="1716" spans="1:7" x14ac:dyDescent="0.3">
      <c r="A1716" t="s">
        <v>6</v>
      </c>
      <c r="B1716" t="s">
        <v>35</v>
      </c>
      <c r="C1716" t="s">
        <v>38</v>
      </c>
      <c r="D1716">
        <v>466.65</v>
      </c>
      <c r="E1716">
        <v>23</v>
      </c>
      <c r="F1716" s="1">
        <v>45122</v>
      </c>
      <c r="G1716" t="str">
        <f>IF(COUNTIFS(Table1_3[Country],Table1_3[[#This Row],[Country]],Table1_3[Product],Table1_3[[#This Row],[Product]],Table1_3[Sales Person],Table1_3[[#This Row],[Sales Person]],Table1_3[Amount],"&lt;=100")&gt;=2,"Contract","Deal")</f>
        <v>Deal</v>
      </c>
    </row>
    <row r="1717" spans="1:7" x14ac:dyDescent="0.3">
      <c r="A1717" t="s">
        <v>6</v>
      </c>
      <c r="B1717" t="s">
        <v>35</v>
      </c>
      <c r="C1717" t="s">
        <v>38</v>
      </c>
      <c r="D1717">
        <v>473.99</v>
      </c>
      <c r="E1717">
        <v>25</v>
      </c>
      <c r="F1717" s="1">
        <v>45488</v>
      </c>
      <c r="G1717" t="str">
        <f>IF(COUNTIFS(Table1_3[Country],Table1_3[[#This Row],[Country]],Table1_3[Product],Table1_3[[#This Row],[Product]],Table1_3[Sales Person],Table1_3[[#This Row],[Sales Person]],Table1_3[Amount],"&lt;=100")&gt;=2,"Contract","Deal")</f>
        <v>Deal</v>
      </c>
    </row>
    <row r="1718" spans="1:7" x14ac:dyDescent="0.3">
      <c r="A1718" t="s">
        <v>6</v>
      </c>
      <c r="B1718" t="s">
        <v>35</v>
      </c>
      <c r="C1718" t="s">
        <v>60</v>
      </c>
      <c r="D1718">
        <v>3584</v>
      </c>
      <c r="E1718">
        <v>200</v>
      </c>
      <c r="F1718" s="1">
        <v>44656</v>
      </c>
      <c r="G1718" t="str">
        <f>IF(COUNTIFS(Table1_3[Country],Table1_3[[#This Row],[Country]],Table1_3[Product],Table1_3[[#This Row],[Product]],Table1_3[Sales Person],Table1_3[[#This Row],[Sales Person]],Table1_3[Amount],"&lt;=100")&gt;=2,"Contract","Deal")</f>
        <v>Deal</v>
      </c>
    </row>
    <row r="1719" spans="1:7" x14ac:dyDescent="0.3">
      <c r="A1719" t="s">
        <v>6</v>
      </c>
      <c r="B1719" t="s">
        <v>35</v>
      </c>
      <c r="C1719" t="s">
        <v>60</v>
      </c>
      <c r="D1719">
        <v>3669.15</v>
      </c>
      <c r="E1719">
        <v>209</v>
      </c>
      <c r="F1719" s="1">
        <v>45021</v>
      </c>
      <c r="G1719" t="str">
        <f>IF(COUNTIFS(Table1_3[Country],Table1_3[[#This Row],[Country]],Table1_3[Product],Table1_3[[#This Row],[Product]],Table1_3[Sales Person],Table1_3[[#This Row],[Sales Person]],Table1_3[Amount],"&lt;=100")&gt;=2,"Contract","Deal")</f>
        <v>Deal</v>
      </c>
    </row>
    <row r="1720" spans="1:7" x14ac:dyDescent="0.3">
      <c r="A1720" t="s">
        <v>6</v>
      </c>
      <c r="B1720" t="s">
        <v>35</v>
      </c>
      <c r="C1720" t="s">
        <v>60</v>
      </c>
      <c r="D1720">
        <v>3867.62</v>
      </c>
      <c r="E1720">
        <v>214</v>
      </c>
      <c r="F1720" s="1">
        <v>45387</v>
      </c>
      <c r="G1720" t="str">
        <f>IF(COUNTIFS(Table1_3[Country],Table1_3[[#This Row],[Country]],Table1_3[Product],Table1_3[[#This Row],[Product]],Table1_3[Sales Person],Table1_3[[#This Row],[Sales Person]],Table1_3[Amount],"&lt;=100")&gt;=2,"Contract","Deal")</f>
        <v>Deal</v>
      </c>
    </row>
    <row r="1721" spans="1:7" x14ac:dyDescent="0.3">
      <c r="A1721" t="s">
        <v>6</v>
      </c>
      <c r="B1721" t="s">
        <v>35</v>
      </c>
      <c r="C1721" t="s">
        <v>46</v>
      </c>
      <c r="D1721">
        <v>7203</v>
      </c>
      <c r="E1721">
        <v>12</v>
      </c>
      <c r="F1721" s="1">
        <v>44613</v>
      </c>
      <c r="G1721" t="str">
        <f>IF(COUNTIFS(Table1_3[Country],Table1_3[[#This Row],[Country]],Table1_3[Product],Table1_3[[#This Row],[Product]],Table1_3[Sales Person],Table1_3[[#This Row],[Sales Person]],Table1_3[Amount],"&lt;=100")&gt;=2,"Contract","Deal")</f>
        <v>Deal</v>
      </c>
    </row>
    <row r="1722" spans="1:7" x14ac:dyDescent="0.3">
      <c r="A1722" t="s">
        <v>6</v>
      </c>
      <c r="B1722" t="s">
        <v>35</v>
      </c>
      <c r="C1722" t="s">
        <v>46</v>
      </c>
      <c r="D1722">
        <v>7726.25</v>
      </c>
      <c r="E1722">
        <v>12</v>
      </c>
      <c r="F1722" s="1">
        <v>44978</v>
      </c>
      <c r="G1722" t="str">
        <f>IF(COUNTIFS(Table1_3[Country],Table1_3[[#This Row],[Country]],Table1_3[Product],Table1_3[[#This Row],[Product]],Table1_3[Sales Person],Table1_3[[#This Row],[Sales Person]],Table1_3[Amount],"&lt;=100")&gt;=2,"Contract","Deal")</f>
        <v>Deal</v>
      </c>
    </row>
    <row r="1723" spans="1:7" x14ac:dyDescent="0.3">
      <c r="A1723" t="s">
        <v>6</v>
      </c>
      <c r="B1723" t="s">
        <v>35</v>
      </c>
      <c r="C1723" t="s">
        <v>46</v>
      </c>
      <c r="D1723">
        <v>7927.57</v>
      </c>
      <c r="E1723">
        <v>12</v>
      </c>
      <c r="F1723" s="1">
        <v>45343</v>
      </c>
      <c r="G1723" t="str">
        <f>IF(COUNTIFS(Table1_3[Country],Table1_3[[#This Row],[Country]],Table1_3[Product],Table1_3[[#This Row],[Product]],Table1_3[Sales Person],Table1_3[[#This Row],[Sales Person]],Table1_3[Amount],"&lt;=100")&gt;=2,"Contract","Deal")</f>
        <v>Deal</v>
      </c>
    </row>
    <row r="1724" spans="1:7" x14ac:dyDescent="0.3">
      <c r="A1724" t="s">
        <v>6</v>
      </c>
      <c r="B1724" t="s">
        <v>35</v>
      </c>
      <c r="C1724" t="s">
        <v>33</v>
      </c>
      <c r="D1724">
        <v>3857</v>
      </c>
      <c r="E1724">
        <v>512</v>
      </c>
      <c r="F1724" s="1">
        <v>44735</v>
      </c>
      <c r="G1724" t="str">
        <f>IF(COUNTIFS(Table1_3[Country],Table1_3[[#This Row],[Country]],Table1_3[Product],Table1_3[[#This Row],[Product]],Table1_3[Sales Person],Table1_3[[#This Row],[Sales Person]],Table1_3[Amount],"&lt;=100")&gt;=2,"Contract","Deal")</f>
        <v>Deal</v>
      </c>
    </row>
    <row r="1725" spans="1:7" x14ac:dyDescent="0.3">
      <c r="A1725" t="s">
        <v>6</v>
      </c>
      <c r="B1725" t="s">
        <v>35</v>
      </c>
      <c r="C1725" t="s">
        <v>33</v>
      </c>
      <c r="D1725">
        <v>4229.79</v>
      </c>
      <c r="E1725">
        <v>548</v>
      </c>
      <c r="F1725" s="1">
        <v>45100</v>
      </c>
      <c r="G1725" t="str">
        <f>IF(COUNTIFS(Table1_3[Country],Table1_3[[#This Row],[Country]],Table1_3[Product],Table1_3[[#This Row],[Product]],Table1_3[Sales Person],Table1_3[[#This Row],[Sales Person]],Table1_3[Amount],"&lt;=100")&gt;=2,"Contract","Deal")</f>
        <v>Deal</v>
      </c>
    </row>
    <row r="1726" spans="1:7" x14ac:dyDescent="0.3">
      <c r="A1726" t="s">
        <v>6</v>
      </c>
      <c r="B1726" t="s">
        <v>35</v>
      </c>
      <c r="C1726" t="s">
        <v>33</v>
      </c>
      <c r="D1726">
        <v>4334.75</v>
      </c>
      <c r="E1726">
        <v>529</v>
      </c>
      <c r="F1726" s="1">
        <v>45466</v>
      </c>
      <c r="G1726" t="str">
        <f>IF(COUNTIFS(Table1_3[Country],Table1_3[[#This Row],[Country]],Table1_3[Product],Table1_3[[#This Row],[Product]],Table1_3[Sales Person],Table1_3[[#This Row],[Sales Person]],Table1_3[Amount],"&lt;=100")&gt;=2,"Contract","Deal")</f>
        <v>Deal</v>
      </c>
    </row>
    <row r="1727" spans="1:7" x14ac:dyDescent="0.3">
      <c r="A1727" t="s">
        <v>6</v>
      </c>
      <c r="B1727" t="s">
        <v>35</v>
      </c>
      <c r="C1727" t="s">
        <v>18</v>
      </c>
      <c r="D1727">
        <v>5460</v>
      </c>
      <c r="E1727">
        <v>138</v>
      </c>
      <c r="F1727" s="1">
        <v>44753</v>
      </c>
      <c r="G1727" t="str">
        <f>IF(COUNTIFS(Table1_3[Country],Table1_3[[#This Row],[Country]],Table1_3[Product],Table1_3[[#This Row],[Product]],Table1_3[Sales Person],Table1_3[[#This Row],[Sales Person]],Table1_3[Amount],"&lt;=100")&gt;=2,"Contract","Deal")</f>
        <v>Deal</v>
      </c>
    </row>
    <row r="1728" spans="1:7" x14ac:dyDescent="0.3">
      <c r="A1728" t="s">
        <v>6</v>
      </c>
      <c r="B1728" t="s">
        <v>35</v>
      </c>
      <c r="C1728" t="s">
        <v>18</v>
      </c>
      <c r="D1728">
        <v>5631.26</v>
      </c>
      <c r="E1728">
        <v>142</v>
      </c>
      <c r="F1728" s="1">
        <v>45118</v>
      </c>
      <c r="G1728" t="str">
        <f>IF(COUNTIFS(Table1_3[Country],Table1_3[[#This Row],[Country]],Table1_3[Product],Table1_3[[#This Row],[Product]],Table1_3[Sales Person],Table1_3[[#This Row],[Sales Person]],Table1_3[Amount],"&lt;=100")&gt;=2,"Contract","Deal")</f>
        <v>Deal</v>
      </c>
    </row>
    <row r="1729" spans="1:7" x14ac:dyDescent="0.3">
      <c r="A1729" t="s">
        <v>6</v>
      </c>
      <c r="B1729" t="s">
        <v>35</v>
      </c>
      <c r="C1729" t="s">
        <v>18</v>
      </c>
      <c r="D1729">
        <v>6199.12</v>
      </c>
      <c r="E1729">
        <v>132</v>
      </c>
      <c r="F1729" s="1">
        <v>45484</v>
      </c>
      <c r="G1729" t="str">
        <f>IF(COUNTIFS(Table1_3[Country],Table1_3[[#This Row],[Country]],Table1_3[Product],Table1_3[[#This Row],[Product]],Table1_3[Sales Person],Table1_3[[#This Row],[Sales Person]],Table1_3[Amount],"&lt;=100")&gt;=2,"Contract","Deal")</f>
        <v>Deal</v>
      </c>
    </row>
    <row r="1730" spans="1:7" x14ac:dyDescent="0.3">
      <c r="A1730" t="s">
        <v>6</v>
      </c>
      <c r="B1730" t="s">
        <v>35</v>
      </c>
      <c r="C1730" t="s">
        <v>50</v>
      </c>
      <c r="D1730">
        <v>1848</v>
      </c>
      <c r="E1730">
        <v>27</v>
      </c>
      <c r="F1730" s="1">
        <v>44574</v>
      </c>
      <c r="G1730" t="str">
        <f>IF(COUNTIFS(Table1_3[Country],Table1_3[[#This Row],[Country]],Table1_3[Product],Table1_3[[#This Row],[Product]],Table1_3[Sales Person],Table1_3[[#This Row],[Sales Person]],Table1_3[Amount],"&lt;=100")&gt;=2,"Contract","Deal")</f>
        <v>Deal</v>
      </c>
    </row>
    <row r="1731" spans="1:7" x14ac:dyDescent="0.3">
      <c r="A1731" t="s">
        <v>6</v>
      </c>
      <c r="B1731" t="s">
        <v>35</v>
      </c>
      <c r="C1731" t="s">
        <v>50</v>
      </c>
      <c r="D1731">
        <v>2043.55</v>
      </c>
      <c r="E1731">
        <v>28</v>
      </c>
      <c r="F1731" s="1">
        <v>44939</v>
      </c>
      <c r="G1731" t="str">
        <f>IF(COUNTIFS(Table1_3[Country],Table1_3[[#This Row],[Country]],Table1_3[Product],Table1_3[[#This Row],[Product]],Table1_3[Sales Person],Table1_3[[#This Row],[Sales Person]],Table1_3[Amount],"&lt;=100")&gt;=2,"Contract","Deal")</f>
        <v>Deal</v>
      </c>
    </row>
    <row r="1732" spans="1:7" x14ac:dyDescent="0.3">
      <c r="A1732" t="s">
        <v>6</v>
      </c>
      <c r="B1732" t="s">
        <v>35</v>
      </c>
      <c r="C1732" t="s">
        <v>50</v>
      </c>
      <c r="D1732">
        <v>2189.6999999999998</v>
      </c>
      <c r="E1732">
        <v>29</v>
      </c>
      <c r="F1732" s="1">
        <v>45304</v>
      </c>
      <c r="G1732" t="str">
        <f>IF(COUNTIFS(Table1_3[Country],Table1_3[[#This Row],[Country]],Table1_3[Product],Table1_3[[#This Row],[Product]],Table1_3[Sales Person],Table1_3[[#This Row],[Sales Person]],Table1_3[Amount],"&lt;=100")&gt;=2,"Contract","Deal")</f>
        <v>Deal</v>
      </c>
    </row>
    <row r="1733" spans="1:7" x14ac:dyDescent="0.3">
      <c r="A1733" t="s">
        <v>6</v>
      </c>
      <c r="B1733" t="s">
        <v>35</v>
      </c>
      <c r="C1733" t="s">
        <v>59</v>
      </c>
      <c r="D1733">
        <v>4627</v>
      </c>
      <c r="E1733">
        <v>136</v>
      </c>
      <c r="F1733" s="1">
        <v>44586</v>
      </c>
      <c r="G1733" t="str">
        <f>IF(COUNTIFS(Table1_3[Country],Table1_3[[#This Row],[Country]],Table1_3[Product],Table1_3[[#This Row],[Product]],Table1_3[Sales Person],Table1_3[[#This Row],[Sales Person]],Table1_3[Amount],"&lt;=100")&gt;=2,"Contract","Deal")</f>
        <v>Deal</v>
      </c>
    </row>
    <row r="1734" spans="1:7" x14ac:dyDescent="0.3">
      <c r="A1734" t="s">
        <v>6</v>
      </c>
      <c r="B1734" t="s">
        <v>35</v>
      </c>
      <c r="C1734" t="s">
        <v>59</v>
      </c>
      <c r="D1734">
        <v>4719.38</v>
      </c>
      <c r="E1734">
        <v>132</v>
      </c>
      <c r="F1734" s="1">
        <v>44951</v>
      </c>
      <c r="G1734" t="str">
        <f>IF(COUNTIFS(Table1_3[Country],Table1_3[[#This Row],[Country]],Table1_3[Product],Table1_3[[#This Row],[Product]],Table1_3[Sales Person],Table1_3[[#This Row],[Sales Person]],Table1_3[Amount],"&lt;=100")&gt;=2,"Contract","Deal")</f>
        <v>Deal</v>
      </c>
    </row>
    <row r="1735" spans="1:7" x14ac:dyDescent="0.3">
      <c r="A1735" t="s">
        <v>6</v>
      </c>
      <c r="B1735" t="s">
        <v>35</v>
      </c>
      <c r="C1735" t="s">
        <v>59</v>
      </c>
      <c r="D1735">
        <v>5230.3599999999997</v>
      </c>
      <c r="E1735">
        <v>142</v>
      </c>
      <c r="F1735" s="1">
        <v>45316</v>
      </c>
      <c r="G1735" t="str">
        <f>IF(COUNTIFS(Table1_3[Country],Table1_3[[#This Row],[Country]],Table1_3[Product],Table1_3[[#This Row],[Product]],Table1_3[Sales Person],Table1_3[[#This Row],[Sales Person]],Table1_3[Amount],"&lt;=100")&gt;=2,"Contract","Deal")</f>
        <v>Deal</v>
      </c>
    </row>
    <row r="1736" spans="1:7" x14ac:dyDescent="0.3">
      <c r="A1736" t="s">
        <v>6</v>
      </c>
      <c r="B1736" t="s">
        <v>10</v>
      </c>
      <c r="C1736" t="s">
        <v>26</v>
      </c>
      <c r="D1736">
        <v>3472</v>
      </c>
      <c r="E1736">
        <v>135</v>
      </c>
      <c r="F1736" s="1">
        <v>44747</v>
      </c>
      <c r="G1736" t="str">
        <f>IF(COUNTIFS(Table1_3[Country],Table1_3[[#This Row],[Country]],Table1_3[Product],Table1_3[[#This Row],[Product]],Table1_3[Sales Person],Table1_3[[#This Row],[Sales Person]],Table1_3[Amount],"&lt;=100")&gt;=2,"Contract","Deal")</f>
        <v>Deal</v>
      </c>
    </row>
    <row r="1737" spans="1:7" x14ac:dyDescent="0.3">
      <c r="A1737" t="s">
        <v>6</v>
      </c>
      <c r="B1737" t="s">
        <v>10</v>
      </c>
      <c r="C1737" t="s">
        <v>26</v>
      </c>
      <c r="D1737">
        <v>3470.6</v>
      </c>
      <c r="E1737">
        <v>129</v>
      </c>
      <c r="F1737" s="1">
        <v>45112</v>
      </c>
      <c r="G1737" t="str">
        <f>IF(COUNTIFS(Table1_3[Country],Table1_3[[#This Row],[Country]],Table1_3[Product],Table1_3[[#This Row],[Product]],Table1_3[Sales Person],Table1_3[[#This Row],[Sales Person]],Table1_3[Amount],"&lt;=100")&gt;=2,"Contract","Deal")</f>
        <v>Deal</v>
      </c>
    </row>
    <row r="1738" spans="1:7" x14ac:dyDescent="0.3">
      <c r="A1738" t="s">
        <v>6</v>
      </c>
      <c r="B1738" t="s">
        <v>10</v>
      </c>
      <c r="C1738" t="s">
        <v>26</v>
      </c>
      <c r="D1738">
        <v>4055.71</v>
      </c>
      <c r="E1738">
        <v>137</v>
      </c>
      <c r="F1738" s="1">
        <v>45478</v>
      </c>
      <c r="G1738" t="str">
        <f>IF(COUNTIFS(Table1_3[Country],Table1_3[[#This Row],[Country]],Table1_3[Product],Table1_3[[#This Row],[Product]],Table1_3[Sales Person],Table1_3[[#This Row],[Sales Person]],Table1_3[Amount],"&lt;=100")&gt;=2,"Contract","Deal")</f>
        <v>Deal</v>
      </c>
    </row>
    <row r="1739" spans="1:7" x14ac:dyDescent="0.3">
      <c r="A1739" t="s">
        <v>6</v>
      </c>
      <c r="B1739" t="s">
        <v>10</v>
      </c>
      <c r="C1739" t="s">
        <v>20</v>
      </c>
      <c r="D1739">
        <v>1953</v>
      </c>
      <c r="E1739">
        <v>242</v>
      </c>
      <c r="F1739" s="1">
        <v>44617</v>
      </c>
      <c r="G1739" t="str">
        <f>IF(COUNTIFS(Table1_3[Country],Table1_3[[#This Row],[Country]],Table1_3[Product],Table1_3[[#This Row],[Product]],Table1_3[Sales Person],Table1_3[[#This Row],[Sales Person]],Table1_3[Amount],"&lt;=100")&gt;=2,"Contract","Deal")</f>
        <v>Deal</v>
      </c>
    </row>
    <row r="1740" spans="1:7" x14ac:dyDescent="0.3">
      <c r="A1740" t="s">
        <v>6</v>
      </c>
      <c r="B1740" t="s">
        <v>10</v>
      </c>
      <c r="C1740" t="s">
        <v>20</v>
      </c>
      <c r="D1740">
        <v>2072.2399999999998</v>
      </c>
      <c r="E1740">
        <v>232</v>
      </c>
      <c r="F1740" s="1">
        <v>44982</v>
      </c>
      <c r="G1740" t="str">
        <f>IF(COUNTIFS(Table1_3[Country],Table1_3[[#This Row],[Country]],Table1_3[Product],Table1_3[[#This Row],[Product]],Table1_3[Sales Person],Table1_3[[#This Row],[Sales Person]],Table1_3[Amount],"&lt;=100")&gt;=2,"Contract","Deal")</f>
        <v>Deal</v>
      </c>
    </row>
    <row r="1741" spans="1:7" x14ac:dyDescent="0.3">
      <c r="A1741" t="s">
        <v>6</v>
      </c>
      <c r="B1741" t="s">
        <v>10</v>
      </c>
      <c r="C1741" t="s">
        <v>20</v>
      </c>
      <c r="D1741">
        <v>2207.7600000000002</v>
      </c>
      <c r="E1741">
        <v>247</v>
      </c>
      <c r="F1741" s="1">
        <v>45347</v>
      </c>
      <c r="G1741" t="str">
        <f>IF(COUNTIFS(Table1_3[Country],Table1_3[[#This Row],[Country]],Table1_3[Product],Table1_3[[#This Row],[Product]],Table1_3[Sales Person],Table1_3[[#This Row],[Sales Person]],Table1_3[Amount],"&lt;=100")&gt;=2,"Contract","Deal")</f>
        <v>Deal</v>
      </c>
    </row>
    <row r="1742" spans="1:7" x14ac:dyDescent="0.3">
      <c r="A1742" t="s">
        <v>6</v>
      </c>
      <c r="B1742" t="s">
        <v>10</v>
      </c>
      <c r="C1742" t="s">
        <v>65</v>
      </c>
      <c r="D1742">
        <v>10122</v>
      </c>
      <c r="E1742">
        <v>100</v>
      </c>
      <c r="F1742" s="1">
        <v>44803</v>
      </c>
      <c r="G1742" t="str">
        <f>IF(COUNTIFS(Table1_3[Country],Table1_3[[#This Row],[Country]],Table1_3[Product],Table1_3[[#This Row],[Product]],Table1_3[Sales Person],Table1_3[[#This Row],[Sales Person]],Table1_3[Amount],"&lt;=100")&gt;=2,"Contract","Deal")</f>
        <v>Deal</v>
      </c>
    </row>
    <row r="1743" spans="1:7" x14ac:dyDescent="0.3">
      <c r="A1743" t="s">
        <v>6</v>
      </c>
      <c r="B1743" t="s">
        <v>10</v>
      </c>
      <c r="C1743" t="s">
        <v>65</v>
      </c>
      <c r="D1743">
        <v>10778.53</v>
      </c>
      <c r="E1743">
        <v>99</v>
      </c>
      <c r="F1743" s="1">
        <v>45168</v>
      </c>
      <c r="G1743" t="str">
        <f>IF(COUNTIFS(Table1_3[Country],Table1_3[[#This Row],[Country]],Table1_3[Product],Table1_3[[#This Row],[Product]],Table1_3[Sales Person],Table1_3[[#This Row],[Sales Person]],Table1_3[Amount],"&lt;=100")&gt;=2,"Contract","Deal")</f>
        <v>Deal</v>
      </c>
    </row>
    <row r="1744" spans="1:7" x14ac:dyDescent="0.3">
      <c r="A1744" t="s">
        <v>6</v>
      </c>
      <c r="B1744" t="s">
        <v>10</v>
      </c>
      <c r="C1744" t="s">
        <v>65</v>
      </c>
      <c r="D1744">
        <v>11793.4</v>
      </c>
      <c r="E1744">
        <v>101</v>
      </c>
      <c r="F1744" s="1">
        <v>45534</v>
      </c>
      <c r="G1744" t="str">
        <f>IF(COUNTIFS(Table1_3[Country],Table1_3[[#This Row],[Country]],Table1_3[Product],Table1_3[[#This Row],[Product]],Table1_3[Sales Person],Table1_3[[#This Row],[Sales Person]],Table1_3[Amount],"&lt;=100")&gt;=2,"Contract","Deal")</f>
        <v>Deal</v>
      </c>
    </row>
    <row r="1745" spans="1:7" x14ac:dyDescent="0.3">
      <c r="A1745" t="s">
        <v>6</v>
      </c>
      <c r="B1745" t="s">
        <v>10</v>
      </c>
      <c r="C1745" t="s">
        <v>87</v>
      </c>
      <c r="D1745">
        <v>2086</v>
      </c>
      <c r="E1745">
        <v>74</v>
      </c>
      <c r="F1745" s="1">
        <v>44718</v>
      </c>
      <c r="G1745" t="str">
        <f>IF(COUNTIFS(Table1_3[Country],Table1_3[[#This Row],[Country]],Table1_3[Product],Table1_3[[#This Row],[Product]],Table1_3[Sales Person],Table1_3[[#This Row],[Sales Person]],Table1_3[Amount],"&lt;=100")&gt;=2,"Contract","Deal")</f>
        <v>Deal</v>
      </c>
    </row>
    <row r="1746" spans="1:7" x14ac:dyDescent="0.3">
      <c r="A1746" t="s">
        <v>6</v>
      </c>
      <c r="B1746" t="s">
        <v>10</v>
      </c>
      <c r="C1746" t="s">
        <v>87</v>
      </c>
      <c r="D1746">
        <v>2261.98</v>
      </c>
      <c r="E1746">
        <v>73</v>
      </c>
      <c r="F1746" s="1">
        <v>45083</v>
      </c>
      <c r="G1746" t="str">
        <f>IF(COUNTIFS(Table1_3[Country],Table1_3[[#This Row],[Country]],Table1_3[Product],Table1_3[[#This Row],[Product]],Table1_3[Sales Person],Table1_3[[#This Row],[Sales Person]],Table1_3[Amount],"&lt;=100")&gt;=2,"Contract","Deal")</f>
        <v>Deal</v>
      </c>
    </row>
    <row r="1747" spans="1:7" x14ac:dyDescent="0.3">
      <c r="A1747" t="s">
        <v>6</v>
      </c>
      <c r="B1747" t="s">
        <v>10</v>
      </c>
      <c r="C1747" t="s">
        <v>87</v>
      </c>
      <c r="D1747">
        <v>2489.06</v>
      </c>
      <c r="E1747">
        <v>81</v>
      </c>
      <c r="F1747" s="1">
        <v>45449</v>
      </c>
      <c r="G1747" t="str">
        <f>IF(COUNTIFS(Table1_3[Country],Table1_3[[#This Row],[Country]],Table1_3[Product],Table1_3[[#This Row],[Product]],Table1_3[Sales Person],Table1_3[[#This Row],[Sales Person]],Table1_3[Amount],"&lt;=100")&gt;=2,"Contract","Deal")</f>
        <v>Deal</v>
      </c>
    </row>
    <row r="1748" spans="1:7" x14ac:dyDescent="0.3">
      <c r="A1748" t="s">
        <v>6</v>
      </c>
      <c r="B1748" t="s">
        <v>10</v>
      </c>
      <c r="C1748" t="s">
        <v>36</v>
      </c>
      <c r="D1748">
        <v>8771</v>
      </c>
      <c r="E1748">
        <v>127</v>
      </c>
      <c r="F1748" s="1">
        <v>44616</v>
      </c>
      <c r="G1748" t="str">
        <f>IF(COUNTIFS(Table1_3[Country],Table1_3[[#This Row],[Country]],Table1_3[Product],Table1_3[[#This Row],[Product]],Table1_3[Sales Person],Table1_3[[#This Row],[Sales Person]],Table1_3[Amount],"&lt;=100")&gt;=2,"Contract","Deal")</f>
        <v>Deal</v>
      </c>
    </row>
    <row r="1749" spans="1:7" x14ac:dyDescent="0.3">
      <c r="A1749" t="s">
        <v>6</v>
      </c>
      <c r="B1749" t="s">
        <v>10</v>
      </c>
      <c r="C1749" t="s">
        <v>36</v>
      </c>
      <c r="D1749">
        <v>9574.3799999999992</v>
      </c>
      <c r="E1749">
        <v>134</v>
      </c>
      <c r="F1749" s="1">
        <v>44981</v>
      </c>
      <c r="G1749" t="str">
        <f>IF(COUNTIFS(Table1_3[Country],Table1_3[[#This Row],[Country]],Table1_3[Product],Table1_3[[#This Row],[Product]],Table1_3[Sales Person],Table1_3[[#This Row],[Sales Person]],Table1_3[Amount],"&lt;=100")&gt;=2,"Contract","Deal")</f>
        <v>Deal</v>
      </c>
    </row>
    <row r="1750" spans="1:7" x14ac:dyDescent="0.3">
      <c r="A1750" t="s">
        <v>6</v>
      </c>
      <c r="B1750" t="s">
        <v>10</v>
      </c>
      <c r="C1750" t="s">
        <v>36</v>
      </c>
      <c r="D1750">
        <v>9642.6200000000008</v>
      </c>
      <c r="E1750">
        <v>140</v>
      </c>
      <c r="F1750" s="1">
        <v>45346</v>
      </c>
      <c r="G1750" t="str">
        <f>IF(COUNTIFS(Table1_3[Country],Table1_3[[#This Row],[Country]],Table1_3[Product],Table1_3[[#This Row],[Product]],Table1_3[Sales Person],Table1_3[[#This Row],[Sales Person]],Table1_3[Amount],"&lt;=100")&gt;=2,"Contract","Deal")</f>
        <v>Deal</v>
      </c>
    </row>
    <row r="1751" spans="1:7" x14ac:dyDescent="0.3">
      <c r="A1751" t="s">
        <v>6</v>
      </c>
      <c r="B1751" t="s">
        <v>10</v>
      </c>
      <c r="C1751" t="s">
        <v>13</v>
      </c>
      <c r="D1751">
        <v>28</v>
      </c>
      <c r="E1751">
        <v>446</v>
      </c>
      <c r="F1751" s="1">
        <v>44665</v>
      </c>
      <c r="G1751" t="str">
        <f>IF(COUNTIFS(Table1_3[Country],Table1_3[[#This Row],[Country]],Table1_3[Product],Table1_3[[#This Row],[Product]],Table1_3[Sales Person],Table1_3[[#This Row],[Sales Person]],Table1_3[Amount],"&lt;=100")&gt;=2,"Contract","Deal")</f>
        <v>Contract</v>
      </c>
    </row>
    <row r="1752" spans="1:7" x14ac:dyDescent="0.3">
      <c r="A1752" t="s">
        <v>6</v>
      </c>
      <c r="B1752" t="s">
        <v>10</v>
      </c>
      <c r="C1752" t="s">
        <v>13</v>
      </c>
      <c r="D1752">
        <v>31.15</v>
      </c>
      <c r="E1752">
        <v>451</v>
      </c>
      <c r="F1752" s="1">
        <v>45030</v>
      </c>
      <c r="G1752" t="str">
        <f>IF(COUNTIFS(Table1_3[Country],Table1_3[[#This Row],[Country]],Table1_3[Product],Table1_3[[#This Row],[Product]],Table1_3[Sales Person],Table1_3[[#This Row],[Sales Person]],Table1_3[Amount],"&lt;=100")&gt;=2,"Contract","Deal")</f>
        <v>Contract</v>
      </c>
    </row>
    <row r="1753" spans="1:7" x14ac:dyDescent="0.3">
      <c r="A1753" t="s">
        <v>6</v>
      </c>
      <c r="B1753" t="s">
        <v>10</v>
      </c>
      <c r="C1753" t="s">
        <v>13</v>
      </c>
      <c r="D1753">
        <v>33.68</v>
      </c>
      <c r="E1753">
        <v>487</v>
      </c>
      <c r="F1753" s="1">
        <v>45396</v>
      </c>
      <c r="G1753" t="str">
        <f>IF(COUNTIFS(Table1_3[Country],Table1_3[[#This Row],[Country]],Table1_3[Product],Table1_3[[#This Row],[Product]],Table1_3[Sales Person],Table1_3[[#This Row],[Sales Person]],Table1_3[Amount],"&lt;=100")&gt;=2,"Contract","Deal")</f>
        <v>Contract</v>
      </c>
    </row>
    <row r="1754" spans="1:7" x14ac:dyDescent="0.3">
      <c r="A1754" t="s">
        <v>6</v>
      </c>
      <c r="B1754" t="s">
        <v>25</v>
      </c>
      <c r="C1754" t="s">
        <v>26</v>
      </c>
      <c r="D1754">
        <v>3990</v>
      </c>
      <c r="E1754">
        <v>59</v>
      </c>
      <c r="F1754" s="1">
        <v>44671</v>
      </c>
      <c r="G1754" t="str">
        <f>IF(COUNTIFS(Table1_3[Country],Table1_3[[#This Row],[Country]],Table1_3[Product],Table1_3[[#This Row],[Product]],Table1_3[Sales Person],Table1_3[[#This Row],[Sales Person]],Table1_3[Amount],"&lt;=100")&gt;=2,"Contract","Deal")</f>
        <v>Deal</v>
      </c>
    </row>
    <row r="1755" spans="1:7" x14ac:dyDescent="0.3">
      <c r="A1755" t="s">
        <v>6</v>
      </c>
      <c r="B1755" t="s">
        <v>25</v>
      </c>
      <c r="C1755" t="s">
        <v>26</v>
      </c>
      <c r="D1755">
        <v>4526.24</v>
      </c>
      <c r="E1755">
        <v>64</v>
      </c>
      <c r="F1755" s="1">
        <v>45036</v>
      </c>
      <c r="G1755" t="str">
        <f>IF(COUNTIFS(Table1_3[Country],Table1_3[[#This Row],[Country]],Table1_3[Product],Table1_3[[#This Row],[Product]],Table1_3[Sales Person],Table1_3[[#This Row],[Sales Person]],Table1_3[Amount],"&lt;=100")&gt;=2,"Contract","Deal")</f>
        <v>Deal</v>
      </c>
    </row>
    <row r="1756" spans="1:7" x14ac:dyDescent="0.3">
      <c r="A1756" t="s">
        <v>6</v>
      </c>
      <c r="B1756" t="s">
        <v>25</v>
      </c>
      <c r="C1756" t="s">
        <v>26</v>
      </c>
      <c r="D1756">
        <v>4357.76</v>
      </c>
      <c r="E1756">
        <v>63</v>
      </c>
      <c r="F1756" s="1">
        <v>45402</v>
      </c>
      <c r="G1756" t="str">
        <f>IF(COUNTIFS(Table1_3[Country],Table1_3[[#This Row],[Country]],Table1_3[Product],Table1_3[[#This Row],[Product]],Table1_3[Sales Person],Table1_3[[#This Row],[Sales Person]],Table1_3[Amount],"&lt;=100")&gt;=2,"Contract","Deal")</f>
        <v>Deal</v>
      </c>
    </row>
    <row r="1757" spans="1:7" x14ac:dyDescent="0.3">
      <c r="A1757" t="s">
        <v>6</v>
      </c>
      <c r="B1757" t="s">
        <v>25</v>
      </c>
      <c r="C1757" t="s">
        <v>11</v>
      </c>
      <c r="D1757">
        <v>6972</v>
      </c>
      <c r="E1757">
        <v>89</v>
      </c>
      <c r="F1757" s="1">
        <v>44631</v>
      </c>
      <c r="G1757" t="str">
        <f>IF(COUNTIFS(Table1_3[Country],Table1_3[[#This Row],[Country]],Table1_3[Product],Table1_3[[#This Row],[Product]],Table1_3[Sales Person],Table1_3[[#This Row],[Sales Person]],Table1_3[Amount],"&lt;=100")&gt;=2,"Contract","Deal")</f>
        <v>Deal</v>
      </c>
    </row>
    <row r="1758" spans="1:7" x14ac:dyDescent="0.3">
      <c r="A1758" t="s">
        <v>6</v>
      </c>
      <c r="B1758" t="s">
        <v>25</v>
      </c>
      <c r="C1758" t="s">
        <v>11</v>
      </c>
      <c r="D1758">
        <v>7797.24</v>
      </c>
      <c r="E1758">
        <v>88</v>
      </c>
      <c r="F1758" s="1">
        <v>44996</v>
      </c>
      <c r="G1758" t="str">
        <f>IF(COUNTIFS(Table1_3[Country],Table1_3[[#This Row],[Country]],Table1_3[Product],Table1_3[[#This Row],[Product]],Table1_3[Sales Person],Table1_3[[#This Row],[Sales Person]],Table1_3[Amount],"&lt;=100")&gt;=2,"Contract","Deal")</f>
        <v>Deal</v>
      </c>
    </row>
    <row r="1759" spans="1:7" x14ac:dyDescent="0.3">
      <c r="A1759" t="s">
        <v>6</v>
      </c>
      <c r="B1759" t="s">
        <v>25</v>
      </c>
      <c r="C1759" t="s">
        <v>11</v>
      </c>
      <c r="D1759">
        <v>8077.51</v>
      </c>
      <c r="E1759">
        <v>95</v>
      </c>
      <c r="F1759" s="1">
        <v>45362</v>
      </c>
      <c r="G1759" t="str">
        <f>IF(COUNTIFS(Table1_3[Country],Table1_3[[#This Row],[Country]],Table1_3[Product],Table1_3[[#This Row],[Product]],Table1_3[Sales Person],Table1_3[[#This Row],[Sales Person]],Table1_3[Amount],"&lt;=100")&gt;=2,"Contract","Deal")</f>
        <v>Deal</v>
      </c>
    </row>
    <row r="1760" spans="1:7" x14ac:dyDescent="0.3">
      <c r="A1760" t="s">
        <v>6</v>
      </c>
      <c r="B1760" t="s">
        <v>25</v>
      </c>
      <c r="C1760" t="s">
        <v>23</v>
      </c>
      <c r="D1760">
        <v>1512</v>
      </c>
      <c r="E1760">
        <v>73</v>
      </c>
      <c r="F1760" s="1">
        <v>44665</v>
      </c>
      <c r="G1760" t="str">
        <f>IF(COUNTIFS(Table1_3[Country],Table1_3[[#This Row],[Country]],Table1_3[Product],Table1_3[[#This Row],[Product]],Table1_3[Sales Person],Table1_3[[#This Row],[Sales Person]],Table1_3[Amount],"&lt;=100")&gt;=2,"Contract","Deal")</f>
        <v>Deal</v>
      </c>
    </row>
    <row r="1761" spans="1:7" x14ac:dyDescent="0.3">
      <c r="A1761" t="s">
        <v>6</v>
      </c>
      <c r="B1761" t="s">
        <v>25</v>
      </c>
      <c r="C1761" t="s">
        <v>23</v>
      </c>
      <c r="D1761">
        <v>1604.87</v>
      </c>
      <c r="E1761">
        <v>71</v>
      </c>
      <c r="F1761" s="1">
        <v>45030</v>
      </c>
      <c r="G1761" t="str">
        <f>IF(COUNTIFS(Table1_3[Country],Table1_3[[#This Row],[Country]],Table1_3[Product],Table1_3[[#This Row],[Product]],Table1_3[Sales Person],Table1_3[[#This Row],[Sales Person]],Table1_3[Amount],"&lt;=100")&gt;=2,"Contract","Deal")</f>
        <v>Deal</v>
      </c>
    </row>
    <row r="1762" spans="1:7" x14ac:dyDescent="0.3">
      <c r="A1762" t="s">
        <v>6</v>
      </c>
      <c r="B1762" t="s">
        <v>25</v>
      </c>
      <c r="C1762" t="s">
        <v>23</v>
      </c>
      <c r="D1762">
        <v>1736.59</v>
      </c>
      <c r="E1762">
        <v>70</v>
      </c>
      <c r="F1762" s="1">
        <v>45396</v>
      </c>
      <c r="G1762" t="str">
        <f>IF(COUNTIFS(Table1_3[Country],Table1_3[[#This Row],[Country]],Table1_3[Product],Table1_3[[#This Row],[Product]],Table1_3[Sales Person],Table1_3[[#This Row],[Sales Person]],Table1_3[Amount],"&lt;=100")&gt;=2,"Contract","Deal")</f>
        <v>Deal</v>
      </c>
    </row>
    <row r="1763" spans="1:7" x14ac:dyDescent="0.3">
      <c r="A1763" t="s">
        <v>6</v>
      </c>
      <c r="B1763" t="s">
        <v>25</v>
      </c>
      <c r="C1763" t="s">
        <v>46</v>
      </c>
      <c r="D1763">
        <v>2478</v>
      </c>
      <c r="E1763">
        <v>188</v>
      </c>
      <c r="F1763" s="1">
        <v>44699</v>
      </c>
      <c r="G1763" t="str">
        <f>IF(COUNTIFS(Table1_3[Country],Table1_3[[#This Row],[Country]],Table1_3[Product],Table1_3[[#This Row],[Product]],Table1_3[Sales Person],Table1_3[[#This Row],[Sales Person]],Table1_3[Amount],"&lt;=100")&gt;=2,"Contract","Deal")</f>
        <v>Deal</v>
      </c>
    </row>
    <row r="1764" spans="1:7" x14ac:dyDescent="0.3">
      <c r="A1764" t="s">
        <v>6</v>
      </c>
      <c r="B1764" t="s">
        <v>25</v>
      </c>
      <c r="C1764" t="s">
        <v>46</v>
      </c>
      <c r="D1764">
        <v>2646.23</v>
      </c>
      <c r="E1764">
        <v>198</v>
      </c>
      <c r="F1764" s="1">
        <v>45064</v>
      </c>
      <c r="G1764" t="str">
        <f>IF(COUNTIFS(Table1_3[Country],Table1_3[[#This Row],[Country]],Table1_3[Product],Table1_3[[#This Row],[Product]],Table1_3[Sales Person],Table1_3[[#This Row],[Sales Person]],Table1_3[Amount],"&lt;=100")&gt;=2,"Contract","Deal")</f>
        <v>Deal</v>
      </c>
    </row>
    <row r="1765" spans="1:7" x14ac:dyDescent="0.3">
      <c r="A1765" t="s">
        <v>6</v>
      </c>
      <c r="B1765" t="s">
        <v>25</v>
      </c>
      <c r="C1765" t="s">
        <v>46</v>
      </c>
      <c r="D1765">
        <v>2845.74</v>
      </c>
      <c r="E1765">
        <v>197</v>
      </c>
      <c r="F1765" s="1">
        <v>45430</v>
      </c>
      <c r="G1765" t="str">
        <f>IF(COUNTIFS(Table1_3[Country],Table1_3[[#This Row],[Country]],Table1_3[Product],Table1_3[[#This Row],[Product]],Table1_3[Sales Person],Table1_3[[#This Row],[Sales Person]],Table1_3[Amount],"&lt;=100")&gt;=2,"Contract","Deal")</f>
        <v>Deal</v>
      </c>
    </row>
    <row r="1766" spans="1:7" x14ac:dyDescent="0.3">
      <c r="A1766" t="s">
        <v>6</v>
      </c>
      <c r="B1766" t="s">
        <v>25</v>
      </c>
      <c r="C1766" t="s">
        <v>59</v>
      </c>
      <c r="D1766">
        <v>2800</v>
      </c>
      <c r="E1766">
        <v>241</v>
      </c>
      <c r="F1766" s="1">
        <v>44631</v>
      </c>
      <c r="G1766" t="str">
        <f>IF(COUNTIFS(Table1_3[Country],Table1_3[[#This Row],[Country]],Table1_3[Product],Table1_3[[#This Row],[Product]],Table1_3[Sales Person],Table1_3[[#This Row],[Sales Person]],Table1_3[Amount],"&lt;=100")&gt;=2,"Contract","Deal")</f>
        <v>Deal</v>
      </c>
    </row>
    <row r="1767" spans="1:7" x14ac:dyDescent="0.3">
      <c r="A1767" t="s">
        <v>6</v>
      </c>
      <c r="B1767" t="s">
        <v>25</v>
      </c>
      <c r="C1767" t="s">
        <v>59</v>
      </c>
      <c r="D1767">
        <v>3078.33</v>
      </c>
      <c r="E1767">
        <v>231</v>
      </c>
      <c r="F1767" s="1">
        <v>44996</v>
      </c>
      <c r="G1767" t="str">
        <f>IF(COUNTIFS(Table1_3[Country],Table1_3[[#This Row],[Country]],Table1_3[Product],Table1_3[[#This Row],[Product]],Table1_3[Sales Person],Table1_3[[#This Row],[Sales Person]],Table1_3[Amount],"&lt;=100")&gt;=2,"Contract","Deal")</f>
        <v>Deal</v>
      </c>
    </row>
    <row r="1768" spans="1:7" x14ac:dyDescent="0.3">
      <c r="A1768" t="s">
        <v>6</v>
      </c>
      <c r="B1768" t="s">
        <v>25</v>
      </c>
      <c r="C1768" t="s">
        <v>59</v>
      </c>
      <c r="D1768">
        <v>3308.4</v>
      </c>
      <c r="E1768">
        <v>258</v>
      </c>
      <c r="F1768" s="1">
        <v>45362</v>
      </c>
      <c r="G1768" t="str">
        <f>IF(COUNTIFS(Table1_3[Country],Table1_3[[#This Row],[Country]],Table1_3[Product],Table1_3[[#This Row],[Product]],Table1_3[Sales Person],Table1_3[[#This Row],[Sales Person]],Table1_3[Amount],"&lt;=100")&gt;=2,"Contract","Deal")</f>
        <v>Deal</v>
      </c>
    </row>
    <row r="1769" spans="1:7" x14ac:dyDescent="0.3">
      <c r="A1769" t="s">
        <v>6</v>
      </c>
      <c r="B1769" t="s">
        <v>7</v>
      </c>
      <c r="C1769" t="s">
        <v>100</v>
      </c>
      <c r="D1769">
        <v>5565</v>
      </c>
      <c r="E1769">
        <v>258</v>
      </c>
      <c r="F1769" s="1">
        <v>44665</v>
      </c>
      <c r="G1769" t="str">
        <f>IF(COUNTIFS(Table1_3[Country],Table1_3[[#This Row],[Country]],Table1_3[Product],Table1_3[[#This Row],[Product]],Table1_3[Sales Person],Table1_3[[#This Row],[Sales Person]],Table1_3[Amount],"&lt;=100")&gt;=2,"Contract","Deal")</f>
        <v>Deal</v>
      </c>
    </row>
    <row r="1770" spans="1:7" x14ac:dyDescent="0.3">
      <c r="A1770" t="s">
        <v>6</v>
      </c>
      <c r="B1770" t="s">
        <v>7</v>
      </c>
      <c r="C1770" t="s">
        <v>100</v>
      </c>
      <c r="D1770">
        <v>6168.51</v>
      </c>
      <c r="E1770">
        <v>280</v>
      </c>
      <c r="F1770" s="1">
        <v>45030</v>
      </c>
      <c r="G1770" t="str">
        <f>IF(COUNTIFS(Table1_3[Country],Table1_3[[#This Row],[Country]],Table1_3[Product],Table1_3[[#This Row],[Product]],Table1_3[Sales Person],Table1_3[[#This Row],[Sales Person]],Table1_3[Amount],"&lt;=100")&gt;=2,"Contract","Deal")</f>
        <v>Deal</v>
      </c>
    </row>
    <row r="1771" spans="1:7" x14ac:dyDescent="0.3">
      <c r="A1771" t="s">
        <v>6</v>
      </c>
      <c r="B1771" t="s">
        <v>7</v>
      </c>
      <c r="C1771" t="s">
        <v>100</v>
      </c>
      <c r="D1771">
        <v>5819.17</v>
      </c>
      <c r="E1771">
        <v>270</v>
      </c>
      <c r="F1771" s="1">
        <v>45396</v>
      </c>
      <c r="G1771" t="str">
        <f>IF(COUNTIFS(Table1_3[Country],Table1_3[[#This Row],[Country]],Table1_3[Product],Table1_3[[#This Row],[Product]],Table1_3[Sales Person],Table1_3[[#This Row],[Sales Person]],Table1_3[Amount],"&lt;=100")&gt;=2,"Contract","Deal")</f>
        <v>Deal</v>
      </c>
    </row>
    <row r="1772" spans="1:7" x14ac:dyDescent="0.3">
      <c r="A1772" t="s">
        <v>6</v>
      </c>
      <c r="B1772" t="s">
        <v>7</v>
      </c>
      <c r="C1772" t="s">
        <v>11</v>
      </c>
      <c r="D1772">
        <v>5502</v>
      </c>
      <c r="E1772">
        <v>64</v>
      </c>
      <c r="F1772" s="1">
        <v>44749</v>
      </c>
      <c r="G1772" t="str">
        <f>IF(COUNTIFS(Table1_3[Country],Table1_3[[#This Row],[Country]],Table1_3[Product],Table1_3[[#This Row],[Product]],Table1_3[Sales Person],Table1_3[[#This Row],[Sales Person]],Table1_3[Amount],"&lt;=100")&gt;=2,"Contract","Deal")</f>
        <v>Deal</v>
      </c>
    </row>
    <row r="1773" spans="1:7" x14ac:dyDescent="0.3">
      <c r="A1773" t="s">
        <v>6</v>
      </c>
      <c r="B1773" t="s">
        <v>7</v>
      </c>
      <c r="C1773" t="s">
        <v>11</v>
      </c>
      <c r="D1773">
        <v>5534.11</v>
      </c>
      <c r="E1773">
        <v>63</v>
      </c>
      <c r="F1773" s="1">
        <v>45114</v>
      </c>
      <c r="G1773" t="str">
        <f>IF(COUNTIFS(Table1_3[Country],Table1_3[[#This Row],[Country]],Table1_3[Product],Table1_3[[#This Row],[Product]],Table1_3[Sales Person],Table1_3[[#This Row],[Sales Person]],Table1_3[Amount],"&lt;=100")&gt;=2,"Contract","Deal")</f>
        <v>Deal</v>
      </c>
    </row>
    <row r="1774" spans="1:7" x14ac:dyDescent="0.3">
      <c r="A1774" t="s">
        <v>6</v>
      </c>
      <c r="B1774" t="s">
        <v>7</v>
      </c>
      <c r="C1774" t="s">
        <v>11</v>
      </c>
      <c r="D1774">
        <v>6569.4</v>
      </c>
      <c r="E1774">
        <v>66</v>
      </c>
      <c r="F1774" s="1">
        <v>45480</v>
      </c>
      <c r="G1774" t="str">
        <f>IF(COUNTIFS(Table1_3[Country],Table1_3[[#This Row],[Country]],Table1_3[Product],Table1_3[[#This Row],[Product]],Table1_3[Sales Person],Table1_3[[#This Row],[Sales Person]],Table1_3[Amount],"&lt;=100")&gt;=2,"Contract","Deal")</f>
        <v>Deal</v>
      </c>
    </row>
    <row r="1775" spans="1:7" x14ac:dyDescent="0.3">
      <c r="A1775" t="s">
        <v>6</v>
      </c>
      <c r="B1775" t="s">
        <v>7</v>
      </c>
      <c r="C1775" t="s">
        <v>23</v>
      </c>
      <c r="D1775">
        <v>1946</v>
      </c>
      <c r="E1775">
        <v>164</v>
      </c>
      <c r="F1775" s="1">
        <v>44739</v>
      </c>
      <c r="G1775" t="str">
        <f>IF(COUNTIFS(Table1_3[Country],Table1_3[[#This Row],[Country]],Table1_3[Product],Table1_3[[#This Row],[Product]],Table1_3[Sales Person],Table1_3[[#This Row],[Sales Person]],Table1_3[Amount],"&lt;=100")&gt;=2,"Contract","Deal")</f>
        <v>Deal</v>
      </c>
    </row>
    <row r="1776" spans="1:7" x14ac:dyDescent="0.3">
      <c r="A1776" t="s">
        <v>6</v>
      </c>
      <c r="B1776" t="s">
        <v>7</v>
      </c>
      <c r="C1776" t="s">
        <v>23</v>
      </c>
      <c r="D1776">
        <v>2047.77</v>
      </c>
      <c r="E1776">
        <v>169</v>
      </c>
      <c r="F1776" s="1">
        <v>45104</v>
      </c>
      <c r="G1776" t="str">
        <f>IF(COUNTIFS(Table1_3[Country],Table1_3[[#This Row],[Country]],Table1_3[Product],Table1_3[[#This Row],[Product]],Table1_3[Sales Person],Table1_3[[#This Row],[Sales Person]],Table1_3[Amount],"&lt;=100")&gt;=2,"Contract","Deal")</f>
        <v>Deal</v>
      </c>
    </row>
    <row r="1777" spans="1:7" x14ac:dyDescent="0.3">
      <c r="A1777" t="s">
        <v>6</v>
      </c>
      <c r="B1777" t="s">
        <v>7</v>
      </c>
      <c r="C1777" t="s">
        <v>23</v>
      </c>
      <c r="D1777">
        <v>2048.13</v>
      </c>
      <c r="E1777">
        <v>172</v>
      </c>
      <c r="F1777" s="1">
        <v>45470</v>
      </c>
      <c r="G1777" t="str">
        <f>IF(COUNTIFS(Table1_3[Country],Table1_3[[#This Row],[Country]],Table1_3[Product],Table1_3[[#This Row],[Product]],Table1_3[Sales Person],Table1_3[[#This Row],[Sales Person]],Table1_3[Amount],"&lt;=100")&gt;=2,"Contract","Deal")</f>
        <v>Deal</v>
      </c>
    </row>
    <row r="1778" spans="1:7" x14ac:dyDescent="0.3">
      <c r="A1778" t="s">
        <v>6</v>
      </c>
      <c r="B1778" t="s">
        <v>7</v>
      </c>
      <c r="C1778" t="s">
        <v>87</v>
      </c>
      <c r="D1778">
        <v>2485</v>
      </c>
      <c r="E1778">
        <v>97</v>
      </c>
      <c r="F1778" s="1">
        <v>44697</v>
      </c>
      <c r="G1778" t="str">
        <f>IF(COUNTIFS(Table1_3[Country],Table1_3[[#This Row],[Country]],Table1_3[Product],Table1_3[[#This Row],[Product]],Table1_3[Sales Person],Table1_3[[#This Row],[Sales Person]],Table1_3[Amount],"&lt;=100")&gt;=2,"Contract","Deal")</f>
        <v>Deal</v>
      </c>
    </row>
    <row r="1779" spans="1:7" x14ac:dyDescent="0.3">
      <c r="A1779" t="s">
        <v>6</v>
      </c>
      <c r="B1779" t="s">
        <v>7</v>
      </c>
      <c r="C1779" t="s">
        <v>87</v>
      </c>
      <c r="D1779">
        <v>2832.78</v>
      </c>
      <c r="E1779">
        <v>104</v>
      </c>
      <c r="F1779" s="1">
        <v>45062</v>
      </c>
      <c r="G1779" t="str">
        <f>IF(COUNTIFS(Table1_3[Country],Table1_3[[#This Row],[Country]],Table1_3[Product],Table1_3[[#This Row],[Product]],Table1_3[Sales Person],Table1_3[[#This Row],[Sales Person]],Table1_3[Amount],"&lt;=100")&gt;=2,"Contract","Deal")</f>
        <v>Deal</v>
      </c>
    </row>
    <row r="1780" spans="1:7" x14ac:dyDescent="0.3">
      <c r="A1780" t="s">
        <v>6</v>
      </c>
      <c r="B1780" t="s">
        <v>7</v>
      </c>
      <c r="C1780" t="s">
        <v>87</v>
      </c>
      <c r="D1780">
        <v>2629.59</v>
      </c>
      <c r="E1780">
        <v>98</v>
      </c>
      <c r="F1780" s="1">
        <v>45428</v>
      </c>
      <c r="G1780" t="str">
        <f>IF(COUNTIFS(Table1_3[Country],Table1_3[[#This Row],[Country]],Table1_3[Product],Table1_3[[#This Row],[Product]],Table1_3[Sales Person],Table1_3[[#This Row],[Sales Person]],Table1_3[Amount],"&lt;=100")&gt;=2,"Contract","Deal")</f>
        <v>Deal</v>
      </c>
    </row>
    <row r="1781" spans="1:7" x14ac:dyDescent="0.3">
      <c r="A1781" t="s">
        <v>6</v>
      </c>
      <c r="B1781" t="s">
        <v>7</v>
      </c>
      <c r="C1781" t="s">
        <v>75</v>
      </c>
      <c r="D1781">
        <v>4270</v>
      </c>
      <c r="E1781">
        <v>185</v>
      </c>
      <c r="F1781" s="1">
        <v>44673</v>
      </c>
      <c r="G1781" t="str">
        <f>IF(COUNTIFS(Table1_3[Country],Table1_3[[#This Row],[Country]],Table1_3[Product],Table1_3[[#This Row],[Product]],Table1_3[Sales Person],Table1_3[[#This Row],[Sales Person]],Table1_3[Amount],"&lt;=100")&gt;=2,"Contract","Deal")</f>
        <v>Deal</v>
      </c>
    </row>
    <row r="1782" spans="1:7" x14ac:dyDescent="0.3">
      <c r="A1782" t="s">
        <v>6</v>
      </c>
      <c r="B1782" t="s">
        <v>7</v>
      </c>
      <c r="C1782" t="s">
        <v>75</v>
      </c>
      <c r="D1782">
        <v>4875.38</v>
      </c>
      <c r="E1782">
        <v>185</v>
      </c>
      <c r="F1782" s="1">
        <v>45038</v>
      </c>
      <c r="G1782" t="str">
        <f>IF(COUNTIFS(Table1_3[Country],Table1_3[[#This Row],[Country]],Table1_3[Product],Table1_3[[#This Row],[Product]],Table1_3[Sales Person],Table1_3[[#This Row],[Sales Person]],Table1_3[Amount],"&lt;=100")&gt;=2,"Contract","Deal")</f>
        <v>Deal</v>
      </c>
    </row>
    <row r="1783" spans="1:7" x14ac:dyDescent="0.3">
      <c r="A1783" t="s">
        <v>6</v>
      </c>
      <c r="B1783" t="s">
        <v>7</v>
      </c>
      <c r="C1783" t="s">
        <v>75</v>
      </c>
      <c r="D1783">
        <v>5108.8500000000004</v>
      </c>
      <c r="E1783">
        <v>187</v>
      </c>
      <c r="F1783" s="1">
        <v>45404</v>
      </c>
      <c r="G1783" t="str">
        <f>IF(COUNTIFS(Table1_3[Country],Table1_3[[#This Row],[Country]],Table1_3[Product],Table1_3[[#This Row],[Product]],Table1_3[Sales Person],Table1_3[[#This Row],[Sales Person]],Table1_3[Amount],"&lt;=100")&gt;=2,"Contract","Deal")</f>
        <v>Deal</v>
      </c>
    </row>
    <row r="1784" spans="1:7" x14ac:dyDescent="0.3">
      <c r="A1784" t="s">
        <v>6</v>
      </c>
      <c r="B1784" t="s">
        <v>7</v>
      </c>
      <c r="C1784" t="s">
        <v>38</v>
      </c>
      <c r="D1784">
        <v>7140</v>
      </c>
      <c r="E1784">
        <v>438</v>
      </c>
      <c r="F1784" s="1">
        <v>44595</v>
      </c>
      <c r="G1784" t="str">
        <f>IF(COUNTIFS(Table1_3[Country],Table1_3[[#This Row],[Country]],Table1_3[Product],Table1_3[[#This Row],[Product]],Table1_3[Sales Person],Table1_3[[#This Row],[Sales Person]],Table1_3[Amount],"&lt;=100")&gt;=2,"Contract","Deal")</f>
        <v>Deal</v>
      </c>
    </row>
    <row r="1785" spans="1:7" x14ac:dyDescent="0.3">
      <c r="A1785" t="s">
        <v>6</v>
      </c>
      <c r="B1785" t="s">
        <v>7</v>
      </c>
      <c r="C1785" t="s">
        <v>38</v>
      </c>
      <c r="D1785">
        <v>7624.67</v>
      </c>
      <c r="E1785">
        <v>422</v>
      </c>
      <c r="F1785" s="1">
        <v>44960</v>
      </c>
      <c r="G1785" t="str">
        <f>IF(COUNTIFS(Table1_3[Country],Table1_3[[#This Row],[Country]],Table1_3[Product],Table1_3[[#This Row],[Product]],Table1_3[Sales Person],Table1_3[[#This Row],[Sales Person]],Table1_3[Amount],"&lt;=100")&gt;=2,"Contract","Deal")</f>
        <v>Deal</v>
      </c>
    </row>
    <row r="1786" spans="1:7" x14ac:dyDescent="0.3">
      <c r="A1786" t="s">
        <v>6</v>
      </c>
      <c r="B1786" t="s">
        <v>7</v>
      </c>
      <c r="C1786" t="s">
        <v>38</v>
      </c>
      <c r="D1786">
        <v>7865.93</v>
      </c>
      <c r="E1786">
        <v>436</v>
      </c>
      <c r="F1786" s="1">
        <v>45325</v>
      </c>
      <c r="G1786" t="str">
        <f>IF(COUNTIFS(Table1_3[Country],Table1_3[[#This Row],[Country]],Table1_3[Product],Table1_3[[#This Row],[Product]],Table1_3[Sales Person],Table1_3[[#This Row],[Sales Person]],Table1_3[Amount],"&lt;=100")&gt;=2,"Contract","Deal")</f>
        <v>Deal</v>
      </c>
    </row>
    <row r="1787" spans="1:7" x14ac:dyDescent="0.3">
      <c r="A1787" t="s">
        <v>6</v>
      </c>
      <c r="B1787" t="s">
        <v>7</v>
      </c>
      <c r="C1787" t="s">
        <v>57</v>
      </c>
      <c r="D1787">
        <v>8589</v>
      </c>
      <c r="E1787">
        <v>229</v>
      </c>
      <c r="F1787" s="1">
        <v>44694</v>
      </c>
      <c r="G1787" t="str">
        <f>IF(COUNTIFS(Table1_3[Country],Table1_3[[#This Row],[Country]],Table1_3[Product],Table1_3[[#This Row],[Product]],Table1_3[Sales Person],Table1_3[[#This Row],[Sales Person]],Table1_3[Amount],"&lt;=100")&gt;=2,"Contract","Deal")</f>
        <v>Deal</v>
      </c>
    </row>
    <row r="1788" spans="1:7" x14ac:dyDescent="0.3">
      <c r="A1788" t="s">
        <v>6</v>
      </c>
      <c r="B1788" t="s">
        <v>7</v>
      </c>
      <c r="C1788" t="s">
        <v>57</v>
      </c>
      <c r="D1788">
        <v>9851.6200000000008</v>
      </c>
      <c r="E1788">
        <v>221</v>
      </c>
      <c r="F1788" s="1">
        <v>45059</v>
      </c>
      <c r="G1788" t="str">
        <f>IF(COUNTIFS(Table1_3[Country],Table1_3[[#This Row],[Country]],Table1_3[Product],Table1_3[[#This Row],[Product]],Table1_3[Sales Person],Table1_3[[#This Row],[Sales Person]],Table1_3[Amount],"&lt;=100")&gt;=2,"Contract","Deal")</f>
        <v>Deal</v>
      </c>
    </row>
    <row r="1789" spans="1:7" x14ac:dyDescent="0.3">
      <c r="A1789" t="s">
        <v>6</v>
      </c>
      <c r="B1789" t="s">
        <v>7</v>
      </c>
      <c r="C1789" t="s">
        <v>57</v>
      </c>
      <c r="D1789">
        <v>9434.44</v>
      </c>
      <c r="E1789">
        <v>221</v>
      </c>
      <c r="F1789" s="1">
        <v>45425</v>
      </c>
      <c r="G1789" t="str">
        <f>IF(COUNTIFS(Table1_3[Country],Table1_3[[#This Row],[Country]],Table1_3[Product],Table1_3[[#This Row],[Product]],Table1_3[Sales Person],Table1_3[[#This Row],[Sales Person]],Table1_3[Amount],"&lt;=100")&gt;=2,"Contract","Deal")</f>
        <v>Deal</v>
      </c>
    </row>
    <row r="1790" spans="1:7" x14ac:dyDescent="0.3">
      <c r="A1790" t="s">
        <v>6</v>
      </c>
      <c r="B1790" t="s">
        <v>7</v>
      </c>
      <c r="C1790" t="s">
        <v>46</v>
      </c>
      <c r="D1790">
        <v>12068</v>
      </c>
      <c r="E1790">
        <v>227</v>
      </c>
      <c r="F1790" s="1">
        <v>44684</v>
      </c>
      <c r="G1790" t="str">
        <f>IF(COUNTIFS(Table1_3[Country],Table1_3[[#This Row],[Country]],Table1_3[Product],Table1_3[[#This Row],[Product]],Table1_3[Sales Person],Table1_3[[#This Row],[Sales Person]],Table1_3[Amount],"&lt;=100")&gt;=2,"Contract","Deal")</f>
        <v>Deal</v>
      </c>
    </row>
    <row r="1791" spans="1:7" x14ac:dyDescent="0.3">
      <c r="A1791" t="s">
        <v>6</v>
      </c>
      <c r="B1791" t="s">
        <v>7</v>
      </c>
      <c r="C1791" t="s">
        <v>46</v>
      </c>
      <c r="D1791">
        <v>13420.93</v>
      </c>
      <c r="E1791">
        <v>232</v>
      </c>
      <c r="F1791" s="1">
        <v>45049</v>
      </c>
      <c r="G1791" t="str">
        <f>IF(COUNTIFS(Table1_3[Country],Table1_3[[#This Row],[Country]],Table1_3[Product],Table1_3[[#This Row],[Product]],Table1_3[Sales Person],Table1_3[[#This Row],[Sales Person]],Table1_3[Amount],"&lt;=100")&gt;=2,"Contract","Deal")</f>
        <v>Deal</v>
      </c>
    </row>
    <row r="1792" spans="1:7" x14ac:dyDescent="0.3">
      <c r="A1792" t="s">
        <v>6</v>
      </c>
      <c r="B1792" t="s">
        <v>7</v>
      </c>
      <c r="C1792" t="s">
        <v>46</v>
      </c>
      <c r="D1792">
        <v>14345.5</v>
      </c>
      <c r="E1792">
        <v>219</v>
      </c>
      <c r="F1792" s="1">
        <v>45415</v>
      </c>
      <c r="G1792" t="str">
        <f>IF(COUNTIFS(Table1_3[Country],Table1_3[[#This Row],[Country]],Table1_3[Product],Table1_3[[#This Row],[Product]],Table1_3[Sales Person],Table1_3[[#This Row],[Sales Person]],Table1_3[Amount],"&lt;=100")&gt;=2,"Contract","Deal")</f>
        <v>Deal</v>
      </c>
    </row>
    <row r="1793" spans="1:7" x14ac:dyDescent="0.3">
      <c r="A1793" t="s">
        <v>6</v>
      </c>
      <c r="B1793" t="s">
        <v>7</v>
      </c>
      <c r="C1793" t="s">
        <v>8</v>
      </c>
      <c r="D1793">
        <v>5320</v>
      </c>
      <c r="E1793">
        <v>180</v>
      </c>
      <c r="F1793" s="1">
        <v>44565</v>
      </c>
      <c r="G1793" t="str">
        <f>IF(COUNTIFS(Table1_3[Country],Table1_3[[#This Row],[Country]],Table1_3[Product],Table1_3[[#This Row],[Product]],Table1_3[Sales Person],Table1_3[[#This Row],[Sales Person]],Table1_3[Amount],"&lt;=100")&gt;=2,"Contract","Deal")</f>
        <v>Deal</v>
      </c>
    </row>
    <row r="1794" spans="1:7" x14ac:dyDescent="0.3">
      <c r="A1794" t="s">
        <v>6</v>
      </c>
      <c r="B1794" t="s">
        <v>7</v>
      </c>
      <c r="C1794" t="s">
        <v>8</v>
      </c>
      <c r="D1794">
        <v>5902.13</v>
      </c>
      <c r="E1794">
        <v>178</v>
      </c>
      <c r="F1794" s="1">
        <v>44930</v>
      </c>
      <c r="G1794" t="str">
        <f>IF(COUNTIFS(Table1_3[Country],Table1_3[[#This Row],[Country]],Table1_3[Product],Table1_3[[#This Row],[Product]],Table1_3[Sales Person],Table1_3[[#This Row],[Sales Person]],Table1_3[Amount],"&lt;=100")&gt;=2,"Contract","Deal")</f>
        <v>Deal</v>
      </c>
    </row>
    <row r="1795" spans="1:7" x14ac:dyDescent="0.3">
      <c r="A1795" t="s">
        <v>6</v>
      </c>
      <c r="B1795" t="s">
        <v>7</v>
      </c>
      <c r="C1795" t="s">
        <v>8</v>
      </c>
      <c r="D1795">
        <v>6339.57</v>
      </c>
      <c r="E1795">
        <v>187</v>
      </c>
      <c r="F1795" s="1">
        <v>45295</v>
      </c>
      <c r="G1795" t="str">
        <f>IF(COUNTIFS(Table1_3[Country],Table1_3[[#This Row],[Country]],Table1_3[Product],Table1_3[[#This Row],[Product]],Table1_3[Sales Person],Table1_3[[#This Row],[Sales Person]],Table1_3[Amount],"&lt;=100")&gt;=2,"Contract","Deal")</f>
        <v>Deal</v>
      </c>
    </row>
    <row r="1796" spans="1:7" x14ac:dyDescent="0.3">
      <c r="A1796" t="s">
        <v>6</v>
      </c>
      <c r="B1796" t="s">
        <v>7</v>
      </c>
      <c r="C1796" t="s">
        <v>13</v>
      </c>
      <c r="D1796">
        <v>13685</v>
      </c>
      <c r="E1796">
        <v>184</v>
      </c>
      <c r="F1796" s="1">
        <v>44616</v>
      </c>
      <c r="G1796" t="str">
        <f>IF(COUNTIFS(Table1_3[Country],Table1_3[[#This Row],[Country]],Table1_3[Product],Table1_3[[#This Row],[Product]],Table1_3[Sales Person],Table1_3[[#This Row],[Sales Person]],Table1_3[Amount],"&lt;=100")&gt;=2,"Contract","Deal")</f>
        <v>Deal</v>
      </c>
    </row>
    <row r="1797" spans="1:7" x14ac:dyDescent="0.3">
      <c r="A1797" t="s">
        <v>6</v>
      </c>
      <c r="B1797" t="s">
        <v>7</v>
      </c>
      <c r="C1797" t="s">
        <v>13</v>
      </c>
      <c r="D1797">
        <v>14167.84</v>
      </c>
      <c r="E1797">
        <v>178</v>
      </c>
      <c r="F1797" s="1">
        <v>44981</v>
      </c>
      <c r="G1797" t="str">
        <f>IF(COUNTIFS(Table1_3[Country],Table1_3[[#This Row],[Country]],Table1_3[Product],Table1_3[[#This Row],[Product]],Table1_3[Sales Person],Table1_3[[#This Row],[Sales Person]],Table1_3[Amount],"&lt;=100")&gt;=2,"Contract","Deal")</f>
        <v>Deal</v>
      </c>
    </row>
    <row r="1798" spans="1:7" x14ac:dyDescent="0.3">
      <c r="A1798" t="s">
        <v>6</v>
      </c>
      <c r="B1798" t="s">
        <v>7</v>
      </c>
      <c r="C1798" t="s">
        <v>13</v>
      </c>
      <c r="D1798">
        <v>14791.64</v>
      </c>
      <c r="E1798">
        <v>182</v>
      </c>
      <c r="F1798" s="1">
        <v>45346</v>
      </c>
      <c r="G1798" t="str">
        <f>IF(COUNTIFS(Table1_3[Country],Table1_3[[#This Row],[Country]],Table1_3[Product],Table1_3[[#This Row],[Product]],Table1_3[Sales Person],Table1_3[[#This Row],[Sales Person]],Table1_3[Amount],"&lt;=100")&gt;=2,"Contract","Deal")</f>
        <v>Deal</v>
      </c>
    </row>
    <row r="1799" spans="1:7" x14ac:dyDescent="0.3">
      <c r="A1799" t="s">
        <v>6</v>
      </c>
      <c r="B1799" t="s">
        <v>7</v>
      </c>
      <c r="C1799" t="s">
        <v>18</v>
      </c>
      <c r="D1799">
        <v>1463</v>
      </c>
      <c r="E1799">
        <v>113</v>
      </c>
      <c r="F1799" s="1">
        <v>44797</v>
      </c>
      <c r="G1799" t="str">
        <f>IF(COUNTIFS(Table1_3[Country],Table1_3[[#This Row],[Country]],Table1_3[Product],Table1_3[[#This Row],[Product]],Table1_3[Sales Person],Table1_3[[#This Row],[Sales Person]],Table1_3[Amount],"&lt;=100")&gt;=2,"Contract","Deal")</f>
        <v>Deal</v>
      </c>
    </row>
    <row r="1800" spans="1:7" x14ac:dyDescent="0.3">
      <c r="A1800" t="s">
        <v>6</v>
      </c>
      <c r="B1800" t="s">
        <v>7</v>
      </c>
      <c r="C1800" t="s">
        <v>18</v>
      </c>
      <c r="D1800">
        <v>1640.53</v>
      </c>
      <c r="E1800">
        <v>119</v>
      </c>
      <c r="F1800" s="1">
        <v>45162</v>
      </c>
      <c r="G1800" t="str">
        <f>IF(COUNTIFS(Table1_3[Country],Table1_3[[#This Row],[Country]],Table1_3[Product],Table1_3[[#This Row],[Product]],Table1_3[Sales Person],Table1_3[[#This Row],[Sales Person]],Table1_3[Amount],"&lt;=100")&gt;=2,"Contract","Deal")</f>
        <v>Deal</v>
      </c>
    </row>
    <row r="1801" spans="1:7" x14ac:dyDescent="0.3">
      <c r="A1801" t="s">
        <v>6</v>
      </c>
      <c r="B1801" t="s">
        <v>7</v>
      </c>
      <c r="C1801" t="s">
        <v>18</v>
      </c>
      <c r="D1801">
        <v>1588.49</v>
      </c>
      <c r="E1801">
        <v>111</v>
      </c>
      <c r="F1801" s="1">
        <v>45528</v>
      </c>
      <c r="G1801" t="str">
        <f>IF(COUNTIFS(Table1_3[Country],Table1_3[[#This Row],[Country]],Table1_3[Product],Table1_3[[#This Row],[Product]],Table1_3[Sales Person],Table1_3[[#This Row],[Sales Person]],Table1_3[Amount],"&lt;=100")&gt;=2,"Contract","Deal")</f>
        <v>Deal</v>
      </c>
    </row>
    <row r="1802" spans="1:7" x14ac:dyDescent="0.3">
      <c r="A1802" t="s">
        <v>6</v>
      </c>
      <c r="B1802" t="s">
        <v>7</v>
      </c>
      <c r="C1802" t="s">
        <v>59</v>
      </c>
      <c r="D1802">
        <v>1862</v>
      </c>
      <c r="E1802">
        <v>284</v>
      </c>
      <c r="F1802" s="1">
        <v>44741</v>
      </c>
      <c r="G1802" t="str">
        <f>IF(COUNTIFS(Table1_3[Country],Table1_3[[#This Row],[Country]],Table1_3[Product],Table1_3[[#This Row],[Product]],Table1_3[Sales Person],Table1_3[[#This Row],[Sales Person]],Table1_3[Amount],"&lt;=100")&gt;=2,"Contract","Deal")</f>
        <v>Deal</v>
      </c>
    </row>
    <row r="1803" spans="1:7" x14ac:dyDescent="0.3">
      <c r="A1803" t="s">
        <v>6</v>
      </c>
      <c r="B1803" t="s">
        <v>7</v>
      </c>
      <c r="C1803" t="s">
        <v>59</v>
      </c>
      <c r="D1803">
        <v>1889.83</v>
      </c>
      <c r="E1803">
        <v>286</v>
      </c>
      <c r="F1803" s="1">
        <v>45106</v>
      </c>
      <c r="G1803" t="str">
        <f>IF(COUNTIFS(Table1_3[Country],Table1_3[[#This Row],[Country]],Table1_3[Product],Table1_3[[#This Row],[Product]],Table1_3[Sales Person],Table1_3[[#This Row],[Sales Person]],Table1_3[Amount],"&lt;=100")&gt;=2,"Contract","Deal")</f>
        <v>Deal</v>
      </c>
    </row>
    <row r="1804" spans="1:7" x14ac:dyDescent="0.3">
      <c r="A1804" t="s">
        <v>6</v>
      </c>
      <c r="B1804" t="s">
        <v>7</v>
      </c>
      <c r="C1804" t="s">
        <v>59</v>
      </c>
      <c r="D1804">
        <v>2015.93</v>
      </c>
      <c r="E1804">
        <v>304</v>
      </c>
      <c r="F1804" s="1">
        <v>45472</v>
      </c>
      <c r="G1804" t="str">
        <f>IF(COUNTIFS(Table1_3[Country],Table1_3[[#This Row],[Country]],Table1_3[Product],Table1_3[[#This Row],[Product]],Table1_3[Sales Person],Table1_3[[#This Row],[Sales Person]],Table1_3[Amount],"&lt;=100")&gt;=2,"Contract","Deal")</f>
        <v>Deal</v>
      </c>
    </row>
    <row r="1805" spans="1:7" x14ac:dyDescent="0.3">
      <c r="A1805" t="s">
        <v>6</v>
      </c>
      <c r="B1805" t="s">
        <v>32</v>
      </c>
      <c r="C1805" t="s">
        <v>20</v>
      </c>
      <c r="D1805">
        <v>2534</v>
      </c>
      <c r="E1805">
        <v>219</v>
      </c>
      <c r="F1805" s="1">
        <v>44565</v>
      </c>
      <c r="G1805" t="str">
        <f>IF(COUNTIFS(Table1_3[Country],Table1_3[[#This Row],[Country]],Table1_3[Product],Table1_3[[#This Row],[Product]],Table1_3[Sales Person],Table1_3[[#This Row],[Sales Person]],Table1_3[Amount],"&lt;=100")&gt;=2,"Contract","Deal")</f>
        <v>Deal</v>
      </c>
    </row>
    <row r="1806" spans="1:7" x14ac:dyDescent="0.3">
      <c r="A1806" t="s">
        <v>6</v>
      </c>
      <c r="B1806" t="s">
        <v>32</v>
      </c>
      <c r="C1806" t="s">
        <v>20</v>
      </c>
      <c r="D1806">
        <v>2815.72</v>
      </c>
      <c r="E1806">
        <v>222</v>
      </c>
      <c r="F1806" s="1">
        <v>44930</v>
      </c>
      <c r="G1806" t="str">
        <f>IF(COUNTIFS(Table1_3[Country],Table1_3[[#This Row],[Country]],Table1_3[Product],Table1_3[[#This Row],[Product]],Table1_3[Sales Person],Table1_3[[#This Row],[Sales Person]],Table1_3[Amount],"&lt;=100")&gt;=2,"Contract","Deal")</f>
        <v>Deal</v>
      </c>
    </row>
    <row r="1807" spans="1:7" x14ac:dyDescent="0.3">
      <c r="A1807" t="s">
        <v>6</v>
      </c>
      <c r="B1807" t="s">
        <v>32</v>
      </c>
      <c r="C1807" t="s">
        <v>20</v>
      </c>
      <c r="D1807">
        <v>2996.83</v>
      </c>
      <c r="E1807">
        <v>227</v>
      </c>
      <c r="F1807" s="1">
        <v>45295</v>
      </c>
      <c r="G1807" t="str">
        <f>IF(COUNTIFS(Table1_3[Country],Table1_3[[#This Row],[Country]],Table1_3[Product],Table1_3[[#This Row],[Product]],Table1_3[Sales Person],Table1_3[[#This Row],[Sales Person]],Table1_3[Amount],"&lt;=100")&gt;=2,"Contract","Deal")</f>
        <v>Deal</v>
      </c>
    </row>
    <row r="1808" spans="1:7" x14ac:dyDescent="0.3">
      <c r="A1808" t="s">
        <v>6</v>
      </c>
      <c r="B1808" t="s">
        <v>32</v>
      </c>
      <c r="C1808" t="s">
        <v>33</v>
      </c>
      <c r="D1808">
        <v>364</v>
      </c>
      <c r="E1808">
        <v>170</v>
      </c>
      <c r="F1808" s="1">
        <v>44770</v>
      </c>
      <c r="G1808" t="str">
        <f>IF(COUNTIFS(Table1_3[Country],Table1_3[[#This Row],[Country]],Table1_3[Product],Table1_3[[#This Row],[Product]],Table1_3[Sales Person],Table1_3[[#This Row],[Sales Person]],Table1_3[Amount],"&lt;=100")&gt;=2,"Contract","Deal")</f>
        <v>Deal</v>
      </c>
    </row>
    <row r="1809" spans="1:7" x14ac:dyDescent="0.3">
      <c r="A1809" t="s">
        <v>6</v>
      </c>
      <c r="B1809" t="s">
        <v>32</v>
      </c>
      <c r="C1809" t="s">
        <v>33</v>
      </c>
      <c r="D1809">
        <v>391.33</v>
      </c>
      <c r="E1809">
        <v>184</v>
      </c>
      <c r="F1809" s="1">
        <v>45135</v>
      </c>
      <c r="G1809" t="str">
        <f>IF(COUNTIFS(Table1_3[Country],Table1_3[[#This Row],[Country]],Table1_3[Product],Table1_3[[#This Row],[Product]],Table1_3[Sales Person],Table1_3[[#This Row],[Sales Person]],Table1_3[Amount],"&lt;=100")&gt;=2,"Contract","Deal")</f>
        <v>Deal</v>
      </c>
    </row>
    <row r="1810" spans="1:7" x14ac:dyDescent="0.3">
      <c r="A1810" t="s">
        <v>6</v>
      </c>
      <c r="B1810" t="s">
        <v>32</v>
      </c>
      <c r="C1810" t="s">
        <v>33</v>
      </c>
      <c r="D1810">
        <v>437.48</v>
      </c>
      <c r="E1810">
        <v>174</v>
      </c>
      <c r="F1810" s="1">
        <v>45501</v>
      </c>
      <c r="G1810" t="str">
        <f>IF(COUNTIFS(Table1_3[Country],Table1_3[[#This Row],[Country]],Table1_3[Product],Table1_3[[#This Row],[Product]],Table1_3[Sales Person],Table1_3[[#This Row],[Sales Person]],Table1_3[Amount],"&lt;=100")&gt;=2,"Contract","Deal")</f>
        <v>Deal</v>
      </c>
    </row>
    <row r="1811" spans="1:7" x14ac:dyDescent="0.3">
      <c r="A1811" t="s">
        <v>6</v>
      </c>
      <c r="B1811" t="s">
        <v>32</v>
      </c>
      <c r="C1811" t="s">
        <v>73</v>
      </c>
      <c r="D1811">
        <v>7154</v>
      </c>
      <c r="E1811">
        <v>133</v>
      </c>
      <c r="F1811" s="1">
        <v>44624</v>
      </c>
      <c r="G1811" t="str">
        <f>IF(COUNTIFS(Table1_3[Country],Table1_3[[#This Row],[Country]],Table1_3[Product],Table1_3[[#This Row],[Product]],Table1_3[Sales Person],Table1_3[[#This Row],[Sales Person]],Table1_3[Amount],"&lt;=100")&gt;=2,"Contract","Deal")</f>
        <v>Deal</v>
      </c>
    </row>
    <row r="1812" spans="1:7" x14ac:dyDescent="0.3">
      <c r="A1812" t="s">
        <v>6</v>
      </c>
      <c r="B1812" t="s">
        <v>32</v>
      </c>
      <c r="C1812" t="s">
        <v>73</v>
      </c>
      <c r="D1812">
        <v>7686.15</v>
      </c>
      <c r="E1812">
        <v>141</v>
      </c>
      <c r="F1812" s="1">
        <v>44989</v>
      </c>
      <c r="G1812" t="str">
        <f>IF(COUNTIFS(Table1_3[Country],Table1_3[[#This Row],[Country]],Table1_3[Product],Table1_3[[#This Row],[Product]],Table1_3[Sales Person],Table1_3[[#This Row],[Sales Person]],Table1_3[Amount],"&lt;=100")&gt;=2,"Contract","Deal")</f>
        <v>Deal</v>
      </c>
    </row>
    <row r="1813" spans="1:7" x14ac:dyDescent="0.3">
      <c r="A1813" t="s">
        <v>6</v>
      </c>
      <c r="B1813" t="s">
        <v>32</v>
      </c>
      <c r="C1813" t="s">
        <v>73</v>
      </c>
      <c r="D1813">
        <v>8119.65</v>
      </c>
      <c r="E1813">
        <v>143</v>
      </c>
      <c r="F1813" s="1">
        <v>45355</v>
      </c>
      <c r="G1813" t="str">
        <f>IF(COUNTIFS(Table1_3[Country],Table1_3[[#This Row],[Country]],Table1_3[Product],Table1_3[[#This Row],[Product]],Table1_3[Sales Person],Table1_3[[#This Row],[Sales Person]],Table1_3[Amount],"&lt;=100")&gt;=2,"Contract","Deal")</f>
        <v>Deal</v>
      </c>
    </row>
    <row r="1814" spans="1:7" x14ac:dyDescent="0.3">
      <c r="A1814" t="s">
        <v>6</v>
      </c>
      <c r="B1814" t="s">
        <v>32</v>
      </c>
      <c r="C1814" t="s">
        <v>18</v>
      </c>
      <c r="D1814">
        <v>6657</v>
      </c>
      <c r="E1814">
        <v>154</v>
      </c>
      <c r="F1814" s="1">
        <v>44749</v>
      </c>
      <c r="G1814" t="str">
        <f>IF(COUNTIFS(Table1_3[Country],Table1_3[[#This Row],[Country]],Table1_3[Product],Table1_3[[#This Row],[Product]],Table1_3[Sales Person],Table1_3[[#This Row],[Sales Person]],Table1_3[Amount],"&lt;=100")&gt;=2,"Contract","Deal")</f>
        <v>Deal</v>
      </c>
    </row>
    <row r="1815" spans="1:7" x14ac:dyDescent="0.3">
      <c r="A1815" t="s">
        <v>6</v>
      </c>
      <c r="B1815" t="s">
        <v>32</v>
      </c>
      <c r="C1815" t="s">
        <v>18</v>
      </c>
      <c r="D1815">
        <v>7170.21</v>
      </c>
      <c r="E1815">
        <v>151</v>
      </c>
      <c r="F1815" s="1">
        <v>45114</v>
      </c>
      <c r="G1815" t="str">
        <f>IF(COUNTIFS(Table1_3[Country],Table1_3[[#This Row],[Country]],Table1_3[Product],Table1_3[[#This Row],[Product]],Table1_3[Sales Person],Table1_3[[#This Row],[Sales Person]],Table1_3[Amount],"&lt;=100")&gt;=2,"Contract","Deal")</f>
        <v>Deal</v>
      </c>
    </row>
    <row r="1816" spans="1:7" x14ac:dyDescent="0.3">
      <c r="A1816" t="s">
        <v>6</v>
      </c>
      <c r="B1816" t="s">
        <v>32</v>
      </c>
      <c r="C1816" t="s">
        <v>18</v>
      </c>
      <c r="D1816">
        <v>7900.11</v>
      </c>
      <c r="E1816">
        <v>168</v>
      </c>
      <c r="F1816" s="1">
        <v>45480</v>
      </c>
      <c r="G1816" t="str">
        <f>IF(COUNTIFS(Table1_3[Country],Table1_3[[#This Row],[Country]],Table1_3[Product],Table1_3[[#This Row],[Product]],Table1_3[Sales Person],Table1_3[[#This Row],[Sales Person]],Table1_3[Amount],"&lt;=100")&gt;=2,"Contract","Deal")</f>
        <v>Deal</v>
      </c>
    </row>
    <row r="1817" spans="1:7" x14ac:dyDescent="0.3">
      <c r="A1817" t="s">
        <v>6</v>
      </c>
      <c r="B1817" t="s">
        <v>32</v>
      </c>
      <c r="C1817" t="s">
        <v>59</v>
      </c>
      <c r="D1817">
        <v>6559</v>
      </c>
      <c r="E1817">
        <v>119</v>
      </c>
      <c r="F1817" s="1">
        <v>44719</v>
      </c>
      <c r="G1817" t="str">
        <f>IF(COUNTIFS(Table1_3[Country],Table1_3[[#This Row],[Country]],Table1_3[Product],Table1_3[[#This Row],[Product]],Table1_3[Sales Person],Table1_3[[#This Row],[Sales Person]],Table1_3[Amount],"&lt;=100")&gt;=2,"Contract","Deal")</f>
        <v>Deal</v>
      </c>
    </row>
    <row r="1818" spans="1:7" x14ac:dyDescent="0.3">
      <c r="A1818" t="s">
        <v>6</v>
      </c>
      <c r="B1818" t="s">
        <v>32</v>
      </c>
      <c r="C1818" t="s">
        <v>59</v>
      </c>
      <c r="D1818">
        <v>6646.33</v>
      </c>
      <c r="E1818">
        <v>117</v>
      </c>
      <c r="F1818" s="1">
        <v>45084</v>
      </c>
      <c r="G1818" t="str">
        <f>IF(COUNTIFS(Table1_3[Country],Table1_3[[#This Row],[Country]],Table1_3[Product],Table1_3[[#This Row],[Product]],Table1_3[Sales Person],Table1_3[[#This Row],[Sales Person]],Table1_3[Amount],"&lt;=100")&gt;=2,"Contract","Deal")</f>
        <v>Deal</v>
      </c>
    </row>
    <row r="1819" spans="1:7" x14ac:dyDescent="0.3">
      <c r="A1819" t="s">
        <v>6</v>
      </c>
      <c r="B1819" t="s">
        <v>32</v>
      </c>
      <c r="C1819" t="s">
        <v>59</v>
      </c>
      <c r="D1819">
        <v>7339.32</v>
      </c>
      <c r="E1819">
        <v>121</v>
      </c>
      <c r="F1819" s="1">
        <v>45450</v>
      </c>
      <c r="G1819" t="str">
        <f>IF(COUNTIFS(Table1_3[Country],Table1_3[[#This Row],[Country]],Table1_3[Product],Table1_3[[#This Row],[Product]],Table1_3[Sales Person],Table1_3[[#This Row],[Sales Person]],Table1_3[Amount],"&lt;=100")&gt;=2,"Contract","Deal")</f>
        <v>Deal</v>
      </c>
    </row>
    <row r="1820" spans="1:7" x14ac:dyDescent="0.3">
      <c r="A1820" t="s">
        <v>55</v>
      </c>
      <c r="B1820" t="s">
        <v>15</v>
      </c>
      <c r="C1820" t="s">
        <v>26</v>
      </c>
      <c r="D1820">
        <v>8995</v>
      </c>
      <c r="E1820">
        <v>78</v>
      </c>
      <c r="F1820" s="1">
        <v>44775</v>
      </c>
      <c r="G1820" t="str">
        <f>IF(COUNTIFS(Table1_3[Country],Table1_3[[#This Row],[Country]],Table1_3[Product],Table1_3[[#This Row],[Product]],Table1_3[Sales Person],Table1_3[[#This Row],[Sales Person]],Table1_3[Amount],"&lt;=100")&gt;=2,"Contract","Deal")</f>
        <v>Deal</v>
      </c>
    </row>
    <row r="1821" spans="1:7" x14ac:dyDescent="0.3">
      <c r="A1821" t="s">
        <v>55</v>
      </c>
      <c r="B1821" t="s">
        <v>15</v>
      </c>
      <c r="C1821" t="s">
        <v>26</v>
      </c>
      <c r="D1821">
        <v>9163.7900000000009</v>
      </c>
      <c r="E1821">
        <v>81</v>
      </c>
      <c r="F1821" s="1">
        <v>45140</v>
      </c>
      <c r="G1821" t="str">
        <f>IF(COUNTIFS(Table1_3[Country],Table1_3[[#This Row],[Country]],Table1_3[Product],Table1_3[[#This Row],[Product]],Table1_3[Sales Person],Table1_3[[#This Row],[Sales Person]],Table1_3[Amount],"&lt;=100")&gt;=2,"Contract","Deal")</f>
        <v>Deal</v>
      </c>
    </row>
    <row r="1822" spans="1:7" x14ac:dyDescent="0.3">
      <c r="A1822" t="s">
        <v>55</v>
      </c>
      <c r="B1822" t="s">
        <v>15</v>
      </c>
      <c r="C1822" t="s">
        <v>26</v>
      </c>
      <c r="D1822">
        <v>10123.959999999999</v>
      </c>
      <c r="E1822">
        <v>84</v>
      </c>
      <c r="F1822" s="1">
        <v>45506</v>
      </c>
      <c r="G1822" t="str">
        <f>IF(COUNTIFS(Table1_3[Country],Table1_3[[#This Row],[Country]],Table1_3[Product],Table1_3[[#This Row],[Product]],Table1_3[Sales Person],Table1_3[[#This Row],[Sales Person]],Table1_3[Amount],"&lt;=100")&gt;=2,"Contract","Deal")</f>
        <v>Deal</v>
      </c>
    </row>
    <row r="1823" spans="1:7" x14ac:dyDescent="0.3">
      <c r="A1823" t="s">
        <v>55</v>
      </c>
      <c r="B1823" t="s">
        <v>15</v>
      </c>
      <c r="C1823" t="s">
        <v>100</v>
      </c>
      <c r="D1823">
        <v>6706</v>
      </c>
      <c r="E1823">
        <v>223</v>
      </c>
      <c r="F1823" s="1">
        <v>44600</v>
      </c>
      <c r="G1823" t="str">
        <f>IF(COUNTIFS(Table1_3[Country],Table1_3[[#This Row],[Country]],Table1_3[Product],Table1_3[[#This Row],[Product]],Table1_3[Sales Person],Table1_3[[#This Row],[Sales Person]],Table1_3[Amount],"&lt;=100")&gt;=2,"Contract","Deal")</f>
        <v>Deal</v>
      </c>
    </row>
    <row r="1824" spans="1:7" x14ac:dyDescent="0.3">
      <c r="A1824" t="s">
        <v>55</v>
      </c>
      <c r="B1824" t="s">
        <v>15</v>
      </c>
      <c r="C1824" t="s">
        <v>100</v>
      </c>
      <c r="D1824">
        <v>7734.54</v>
      </c>
      <c r="E1824">
        <v>227</v>
      </c>
      <c r="F1824" s="1">
        <v>44965</v>
      </c>
      <c r="G1824" t="str">
        <f>IF(COUNTIFS(Table1_3[Country],Table1_3[[#This Row],[Country]],Table1_3[Product],Table1_3[[#This Row],[Product]],Table1_3[Sales Person],Table1_3[[#This Row],[Sales Person]],Table1_3[Amount],"&lt;=100")&gt;=2,"Contract","Deal")</f>
        <v>Deal</v>
      </c>
    </row>
    <row r="1825" spans="1:7" x14ac:dyDescent="0.3">
      <c r="A1825" t="s">
        <v>55</v>
      </c>
      <c r="B1825" t="s">
        <v>15</v>
      </c>
      <c r="C1825" t="s">
        <v>100</v>
      </c>
      <c r="D1825">
        <v>7852.03</v>
      </c>
      <c r="E1825">
        <v>240</v>
      </c>
      <c r="F1825" s="1">
        <v>45330</v>
      </c>
      <c r="G1825" t="str">
        <f>IF(COUNTIFS(Table1_3[Country],Table1_3[[#This Row],[Country]],Table1_3[Product],Table1_3[[#This Row],[Product]],Table1_3[Sales Person],Table1_3[[#This Row],[Sales Person]],Table1_3[Amount],"&lt;=100")&gt;=2,"Contract","Deal")</f>
        <v>Deal</v>
      </c>
    </row>
    <row r="1826" spans="1:7" x14ac:dyDescent="0.3">
      <c r="A1826" t="s">
        <v>55</v>
      </c>
      <c r="B1826" t="s">
        <v>15</v>
      </c>
      <c r="C1826" t="s">
        <v>23</v>
      </c>
      <c r="D1826">
        <v>6832</v>
      </c>
      <c r="E1826">
        <v>306</v>
      </c>
      <c r="F1826" s="1">
        <v>44659</v>
      </c>
      <c r="G1826" t="str">
        <f>IF(COUNTIFS(Table1_3[Country],Table1_3[[#This Row],[Country]],Table1_3[Product],Table1_3[[#This Row],[Product]],Table1_3[Sales Person],Table1_3[[#This Row],[Sales Person]],Table1_3[Amount],"&lt;=100")&gt;=2,"Contract","Deal")</f>
        <v>Deal</v>
      </c>
    </row>
    <row r="1827" spans="1:7" x14ac:dyDescent="0.3">
      <c r="A1827" t="s">
        <v>55</v>
      </c>
      <c r="B1827" t="s">
        <v>15</v>
      </c>
      <c r="C1827" t="s">
        <v>23</v>
      </c>
      <c r="D1827">
        <v>7889.9</v>
      </c>
      <c r="E1827">
        <v>300</v>
      </c>
      <c r="F1827" s="1">
        <v>45024</v>
      </c>
      <c r="G1827" t="str">
        <f>IF(COUNTIFS(Table1_3[Country],Table1_3[[#This Row],[Country]],Table1_3[Product],Table1_3[[#This Row],[Product]],Table1_3[Sales Person],Table1_3[[#This Row],[Sales Person]],Table1_3[Amount],"&lt;=100")&gt;=2,"Contract","Deal")</f>
        <v>Deal</v>
      </c>
    </row>
    <row r="1828" spans="1:7" x14ac:dyDescent="0.3">
      <c r="A1828" t="s">
        <v>55</v>
      </c>
      <c r="B1828" t="s">
        <v>15</v>
      </c>
      <c r="C1828" t="s">
        <v>23</v>
      </c>
      <c r="D1828">
        <v>7962.71</v>
      </c>
      <c r="E1828">
        <v>293</v>
      </c>
      <c r="F1828" s="1">
        <v>45390</v>
      </c>
      <c r="G1828" t="str">
        <f>IF(COUNTIFS(Table1_3[Country],Table1_3[[#This Row],[Country]],Table1_3[Product],Table1_3[[#This Row],[Product]],Table1_3[Sales Person],Table1_3[[#This Row],[Sales Person]],Table1_3[Amount],"&lt;=100")&gt;=2,"Contract","Deal")</f>
        <v>Deal</v>
      </c>
    </row>
    <row r="1829" spans="1:7" x14ac:dyDescent="0.3">
      <c r="A1829" t="s">
        <v>55</v>
      </c>
      <c r="B1829" t="s">
        <v>15</v>
      </c>
      <c r="C1829" t="s">
        <v>65</v>
      </c>
      <c r="D1829">
        <v>4102</v>
      </c>
      <c r="E1829">
        <v>392</v>
      </c>
      <c r="F1829" s="1">
        <v>44614</v>
      </c>
      <c r="G1829" t="str">
        <f>IF(COUNTIFS(Table1_3[Country],Table1_3[[#This Row],[Country]],Table1_3[Product],Table1_3[[#This Row],[Product]],Table1_3[Sales Person],Table1_3[[#This Row],[Sales Person]],Table1_3[Amount],"&lt;=100")&gt;=2,"Contract","Deal")</f>
        <v>Deal</v>
      </c>
    </row>
    <row r="1830" spans="1:7" x14ac:dyDescent="0.3">
      <c r="A1830" t="s">
        <v>55</v>
      </c>
      <c r="B1830" t="s">
        <v>15</v>
      </c>
      <c r="C1830" t="s">
        <v>65</v>
      </c>
      <c r="D1830">
        <v>4371.7700000000004</v>
      </c>
      <c r="E1830">
        <v>375</v>
      </c>
      <c r="F1830" s="1">
        <v>44979</v>
      </c>
      <c r="G1830" t="str">
        <f>IF(COUNTIFS(Table1_3[Country],Table1_3[[#This Row],[Country]],Table1_3[Product],Table1_3[[#This Row],[Product]],Table1_3[Sales Person],Table1_3[[#This Row],[Sales Person]],Table1_3[Amount],"&lt;=100")&gt;=2,"Contract","Deal")</f>
        <v>Deal</v>
      </c>
    </row>
    <row r="1831" spans="1:7" x14ac:dyDescent="0.3">
      <c r="A1831" t="s">
        <v>55</v>
      </c>
      <c r="B1831" t="s">
        <v>15</v>
      </c>
      <c r="C1831" t="s">
        <v>65</v>
      </c>
      <c r="D1831">
        <v>4674.2</v>
      </c>
      <c r="E1831">
        <v>422</v>
      </c>
      <c r="F1831" s="1">
        <v>45344</v>
      </c>
      <c r="G1831" t="str">
        <f>IF(COUNTIFS(Table1_3[Country],Table1_3[[#This Row],[Country]],Table1_3[Product],Table1_3[[#This Row],[Product]],Table1_3[Sales Person],Table1_3[[#This Row],[Sales Person]],Table1_3[Amount],"&lt;=100")&gt;=2,"Contract","Deal")</f>
        <v>Deal</v>
      </c>
    </row>
    <row r="1832" spans="1:7" x14ac:dyDescent="0.3">
      <c r="A1832" t="s">
        <v>55</v>
      </c>
      <c r="B1832" t="s">
        <v>15</v>
      </c>
      <c r="C1832" t="s">
        <v>36</v>
      </c>
      <c r="D1832">
        <v>7672</v>
      </c>
      <c r="E1832">
        <v>115</v>
      </c>
      <c r="F1832" s="1">
        <v>44620</v>
      </c>
      <c r="G1832" t="str">
        <f>IF(COUNTIFS(Table1_3[Country],Table1_3[[#This Row],[Country]],Table1_3[Product],Table1_3[[#This Row],[Product]],Table1_3[Sales Person],Table1_3[[#This Row],[Sales Person]],Table1_3[Amount],"&lt;=100")&gt;=2,"Contract","Deal")</f>
        <v>Deal</v>
      </c>
    </row>
    <row r="1833" spans="1:7" x14ac:dyDescent="0.3">
      <c r="A1833" t="s">
        <v>55</v>
      </c>
      <c r="B1833" t="s">
        <v>15</v>
      </c>
      <c r="C1833" t="s">
        <v>36</v>
      </c>
      <c r="D1833">
        <v>7677.78</v>
      </c>
      <c r="E1833">
        <v>118</v>
      </c>
      <c r="F1833" s="1">
        <v>44985</v>
      </c>
      <c r="G1833" t="str">
        <f>IF(COUNTIFS(Table1_3[Country],Table1_3[[#This Row],[Country]],Table1_3[Product],Table1_3[[#This Row],[Product]],Table1_3[Sales Person],Table1_3[[#This Row],[Sales Person]],Table1_3[Amount],"&lt;=100")&gt;=2,"Contract","Deal")</f>
        <v>Deal</v>
      </c>
    </row>
    <row r="1834" spans="1:7" x14ac:dyDescent="0.3">
      <c r="A1834" t="s">
        <v>55</v>
      </c>
      <c r="B1834" t="s">
        <v>15</v>
      </c>
      <c r="C1834" t="s">
        <v>36</v>
      </c>
      <c r="D1834">
        <v>8385.26</v>
      </c>
      <c r="E1834">
        <v>122</v>
      </c>
      <c r="F1834" s="1">
        <v>45350</v>
      </c>
      <c r="G1834" t="str">
        <f>IF(COUNTIFS(Table1_3[Country],Table1_3[[#This Row],[Country]],Table1_3[Product],Table1_3[[#This Row],[Product]],Table1_3[Sales Person],Table1_3[[#This Row],[Sales Person]],Table1_3[Amount],"&lt;=100")&gt;=2,"Contract","Deal")</f>
        <v>Deal</v>
      </c>
    </row>
    <row r="1835" spans="1:7" x14ac:dyDescent="0.3">
      <c r="A1835" t="s">
        <v>55</v>
      </c>
      <c r="B1835" t="s">
        <v>15</v>
      </c>
      <c r="C1835" t="s">
        <v>57</v>
      </c>
      <c r="D1835">
        <v>7434</v>
      </c>
      <c r="E1835">
        <v>85</v>
      </c>
      <c r="F1835" s="1">
        <v>44732</v>
      </c>
      <c r="G1835" t="str">
        <f>IF(COUNTIFS(Table1_3[Country],Table1_3[[#This Row],[Country]],Table1_3[Product],Table1_3[[#This Row],[Product]],Table1_3[Sales Person],Table1_3[[#This Row],[Sales Person]],Table1_3[Amount],"&lt;=100")&gt;=2,"Contract","Deal")</f>
        <v>Deal</v>
      </c>
    </row>
    <row r="1836" spans="1:7" x14ac:dyDescent="0.3">
      <c r="A1836" t="s">
        <v>55</v>
      </c>
      <c r="B1836" t="s">
        <v>15</v>
      </c>
      <c r="C1836" t="s">
        <v>57</v>
      </c>
      <c r="D1836">
        <v>7684.52</v>
      </c>
      <c r="E1836">
        <v>83</v>
      </c>
      <c r="F1836" s="1">
        <v>45097</v>
      </c>
      <c r="G1836" t="str">
        <f>IF(COUNTIFS(Table1_3[Country],Table1_3[[#This Row],[Country]],Table1_3[Product],Table1_3[[#This Row],[Product]],Table1_3[Sales Person],Table1_3[[#This Row],[Sales Person]],Table1_3[Amount],"&lt;=100")&gt;=2,"Contract","Deal")</f>
        <v>Deal</v>
      </c>
    </row>
    <row r="1837" spans="1:7" x14ac:dyDescent="0.3">
      <c r="A1837" t="s">
        <v>55</v>
      </c>
      <c r="B1837" t="s">
        <v>15</v>
      </c>
      <c r="C1837" t="s">
        <v>57</v>
      </c>
      <c r="D1837">
        <v>7840.94</v>
      </c>
      <c r="E1837">
        <v>82</v>
      </c>
      <c r="F1837" s="1">
        <v>45463</v>
      </c>
      <c r="G1837" t="str">
        <f>IF(COUNTIFS(Table1_3[Country],Table1_3[[#This Row],[Country]],Table1_3[Product],Table1_3[[#This Row],[Product]],Table1_3[Sales Person],Table1_3[[#This Row],[Sales Person]],Table1_3[Amount],"&lt;=100")&gt;=2,"Contract","Deal")</f>
        <v>Deal</v>
      </c>
    </row>
    <row r="1838" spans="1:7" x14ac:dyDescent="0.3">
      <c r="A1838" t="s">
        <v>55</v>
      </c>
      <c r="B1838" t="s">
        <v>15</v>
      </c>
      <c r="C1838" t="s">
        <v>60</v>
      </c>
      <c r="D1838">
        <v>2765</v>
      </c>
      <c r="E1838">
        <v>264</v>
      </c>
      <c r="F1838" s="1">
        <v>44573</v>
      </c>
      <c r="G1838" t="str">
        <f>IF(COUNTIFS(Table1_3[Country],Table1_3[[#This Row],[Country]],Table1_3[Product],Table1_3[[#This Row],[Product]],Table1_3[Sales Person],Table1_3[[#This Row],[Sales Person]],Table1_3[Amount],"&lt;=100")&gt;=2,"Contract","Deal")</f>
        <v>Deal</v>
      </c>
    </row>
    <row r="1839" spans="1:7" x14ac:dyDescent="0.3">
      <c r="A1839" t="s">
        <v>55</v>
      </c>
      <c r="B1839" t="s">
        <v>15</v>
      </c>
      <c r="C1839" t="s">
        <v>60</v>
      </c>
      <c r="D1839">
        <v>2919.11</v>
      </c>
      <c r="E1839">
        <v>271</v>
      </c>
      <c r="F1839" s="1">
        <v>44938</v>
      </c>
      <c r="G1839" t="str">
        <f>IF(COUNTIFS(Table1_3[Country],Table1_3[[#This Row],[Country]],Table1_3[Product],Table1_3[[#This Row],[Product]],Table1_3[Sales Person],Table1_3[[#This Row],[Sales Person]],Table1_3[Amount],"&lt;=100")&gt;=2,"Contract","Deal")</f>
        <v>Deal</v>
      </c>
    </row>
    <row r="1840" spans="1:7" x14ac:dyDescent="0.3">
      <c r="A1840" t="s">
        <v>55</v>
      </c>
      <c r="B1840" t="s">
        <v>15</v>
      </c>
      <c r="C1840" t="s">
        <v>60</v>
      </c>
      <c r="D1840">
        <v>2996.99</v>
      </c>
      <c r="E1840">
        <v>280</v>
      </c>
      <c r="F1840" s="1">
        <v>45303</v>
      </c>
      <c r="G1840" t="str">
        <f>IF(COUNTIFS(Table1_3[Country],Table1_3[[#This Row],[Country]],Table1_3[Product],Table1_3[[#This Row],[Product]],Table1_3[Sales Person],Table1_3[[#This Row],[Sales Person]],Table1_3[Amount],"&lt;=100")&gt;=2,"Contract","Deal")</f>
        <v>Deal</v>
      </c>
    </row>
    <row r="1841" spans="1:7" x14ac:dyDescent="0.3">
      <c r="A1841" t="s">
        <v>55</v>
      </c>
      <c r="B1841" t="s">
        <v>15</v>
      </c>
      <c r="C1841" t="s">
        <v>46</v>
      </c>
      <c r="D1841">
        <v>4046</v>
      </c>
      <c r="E1841">
        <v>89</v>
      </c>
      <c r="F1841" s="1">
        <v>44721</v>
      </c>
      <c r="G1841" t="str">
        <f>IF(COUNTIFS(Table1_3[Country],Table1_3[[#This Row],[Country]],Table1_3[Product],Table1_3[[#This Row],[Product]],Table1_3[Sales Person],Table1_3[[#This Row],[Sales Person]],Table1_3[Amount],"&lt;=100")&gt;=2,"Contract","Deal")</f>
        <v>Deal</v>
      </c>
    </row>
    <row r="1842" spans="1:7" x14ac:dyDescent="0.3">
      <c r="A1842" t="s">
        <v>55</v>
      </c>
      <c r="B1842" t="s">
        <v>15</v>
      </c>
      <c r="C1842" t="s">
        <v>46</v>
      </c>
      <c r="D1842">
        <v>4499.6400000000003</v>
      </c>
      <c r="E1842">
        <v>91</v>
      </c>
      <c r="F1842" s="1">
        <v>45086</v>
      </c>
      <c r="G1842" t="str">
        <f>IF(COUNTIFS(Table1_3[Country],Table1_3[[#This Row],[Country]],Table1_3[Product],Table1_3[[#This Row],[Product]],Table1_3[Sales Person],Table1_3[[#This Row],[Sales Person]],Table1_3[Amount],"&lt;=100")&gt;=2,"Contract","Deal")</f>
        <v>Deal</v>
      </c>
    </row>
    <row r="1843" spans="1:7" x14ac:dyDescent="0.3">
      <c r="A1843" t="s">
        <v>55</v>
      </c>
      <c r="B1843" t="s">
        <v>15</v>
      </c>
      <c r="C1843" t="s">
        <v>46</v>
      </c>
      <c r="D1843">
        <v>4251.42</v>
      </c>
      <c r="E1843">
        <v>91</v>
      </c>
      <c r="F1843" s="1">
        <v>45452</v>
      </c>
      <c r="G1843" t="str">
        <f>IF(COUNTIFS(Table1_3[Country],Table1_3[[#This Row],[Country]],Table1_3[Product],Table1_3[[#This Row],[Product]],Table1_3[Sales Person],Table1_3[[#This Row],[Sales Person]],Table1_3[Amount],"&lt;=100")&gt;=2,"Contract","Deal")</f>
        <v>Deal</v>
      </c>
    </row>
    <row r="1844" spans="1:7" x14ac:dyDescent="0.3">
      <c r="A1844" t="s">
        <v>55</v>
      </c>
      <c r="B1844" t="s">
        <v>15</v>
      </c>
      <c r="C1844" t="s">
        <v>8</v>
      </c>
      <c r="D1844">
        <v>4403</v>
      </c>
      <c r="E1844">
        <v>159</v>
      </c>
      <c r="F1844" s="1">
        <v>44698</v>
      </c>
      <c r="G1844" t="str">
        <f>IF(COUNTIFS(Table1_3[Country],Table1_3[[#This Row],[Country]],Table1_3[Product],Table1_3[[#This Row],[Product]],Table1_3[Sales Person],Table1_3[[#This Row],[Sales Person]],Table1_3[Amount],"&lt;=100")&gt;=2,"Contract","Deal")</f>
        <v>Deal</v>
      </c>
    </row>
    <row r="1845" spans="1:7" x14ac:dyDescent="0.3">
      <c r="A1845" t="s">
        <v>55</v>
      </c>
      <c r="B1845" t="s">
        <v>15</v>
      </c>
      <c r="C1845" t="s">
        <v>8</v>
      </c>
      <c r="D1845">
        <v>4552.57</v>
      </c>
      <c r="E1845">
        <v>158</v>
      </c>
      <c r="F1845" s="1">
        <v>45063</v>
      </c>
      <c r="G1845" t="str">
        <f>IF(COUNTIFS(Table1_3[Country],Table1_3[[#This Row],[Country]],Table1_3[Product],Table1_3[[#This Row],[Product]],Table1_3[Sales Person],Table1_3[[#This Row],[Sales Person]],Table1_3[Amount],"&lt;=100")&gt;=2,"Contract","Deal")</f>
        <v>Deal</v>
      </c>
    </row>
    <row r="1846" spans="1:7" x14ac:dyDescent="0.3">
      <c r="A1846" t="s">
        <v>55</v>
      </c>
      <c r="B1846" t="s">
        <v>15</v>
      </c>
      <c r="C1846" t="s">
        <v>8</v>
      </c>
      <c r="D1846">
        <v>4860.75</v>
      </c>
      <c r="E1846">
        <v>162</v>
      </c>
      <c r="F1846" s="1">
        <v>45429</v>
      </c>
      <c r="G1846" t="str">
        <f>IF(COUNTIFS(Table1_3[Country],Table1_3[[#This Row],[Country]],Table1_3[Product],Table1_3[[#This Row],[Product]],Table1_3[Sales Person],Table1_3[[#This Row],[Sales Person]],Table1_3[Amount],"&lt;=100")&gt;=2,"Contract","Deal")</f>
        <v>Deal</v>
      </c>
    </row>
    <row r="1847" spans="1:7" x14ac:dyDescent="0.3">
      <c r="A1847" t="s">
        <v>55</v>
      </c>
      <c r="B1847" t="s">
        <v>15</v>
      </c>
      <c r="C1847" t="s">
        <v>13</v>
      </c>
      <c r="D1847">
        <v>5460</v>
      </c>
      <c r="E1847">
        <v>286</v>
      </c>
      <c r="F1847" s="1">
        <v>44645</v>
      </c>
      <c r="G1847" t="str">
        <f>IF(COUNTIFS(Table1_3[Country],Table1_3[[#This Row],[Country]],Table1_3[Product],Table1_3[[#This Row],[Product]],Table1_3[Sales Person],Table1_3[[#This Row],[Sales Person]],Table1_3[Amount],"&lt;=100")&gt;=2,"Contract","Deal")</f>
        <v>Deal</v>
      </c>
    </row>
    <row r="1848" spans="1:7" x14ac:dyDescent="0.3">
      <c r="A1848" t="s">
        <v>55</v>
      </c>
      <c r="B1848" t="s">
        <v>15</v>
      </c>
      <c r="C1848" t="s">
        <v>13</v>
      </c>
      <c r="D1848">
        <v>6127.37</v>
      </c>
      <c r="E1848">
        <v>299</v>
      </c>
      <c r="F1848" s="1">
        <v>45010</v>
      </c>
      <c r="G1848" t="str">
        <f>IF(COUNTIFS(Table1_3[Country],Table1_3[[#This Row],[Country]],Table1_3[Product],Table1_3[[#This Row],[Product]],Table1_3[Sales Person],Table1_3[[#This Row],[Sales Person]],Table1_3[Amount],"&lt;=100")&gt;=2,"Contract","Deal")</f>
        <v>Deal</v>
      </c>
    </row>
    <row r="1849" spans="1:7" x14ac:dyDescent="0.3">
      <c r="A1849" t="s">
        <v>55</v>
      </c>
      <c r="B1849" t="s">
        <v>15</v>
      </c>
      <c r="C1849" t="s">
        <v>13</v>
      </c>
      <c r="D1849">
        <v>6062.87</v>
      </c>
      <c r="E1849">
        <v>290</v>
      </c>
      <c r="F1849" s="1">
        <v>45376</v>
      </c>
      <c r="G1849" t="str">
        <f>IF(COUNTIFS(Table1_3[Country],Table1_3[[#This Row],[Country]],Table1_3[Product],Table1_3[[#This Row],[Product]],Table1_3[Sales Person],Table1_3[[#This Row],[Sales Person]],Table1_3[Amount],"&lt;=100")&gt;=2,"Contract","Deal")</f>
        <v>Deal</v>
      </c>
    </row>
    <row r="1850" spans="1:7" x14ac:dyDescent="0.3">
      <c r="A1850" t="s">
        <v>55</v>
      </c>
      <c r="B1850" t="s">
        <v>35</v>
      </c>
      <c r="C1850" t="s">
        <v>26</v>
      </c>
      <c r="D1850">
        <v>8687</v>
      </c>
      <c r="E1850">
        <v>100</v>
      </c>
      <c r="F1850" s="1">
        <v>44624</v>
      </c>
      <c r="G1850" t="str">
        <f>IF(COUNTIFS(Table1_3[Country],Table1_3[[#This Row],[Country]],Table1_3[Product],Table1_3[[#This Row],[Product]],Table1_3[Sales Person],Table1_3[[#This Row],[Sales Person]],Table1_3[Amount],"&lt;=100")&gt;=2,"Contract","Deal")</f>
        <v>Deal</v>
      </c>
    </row>
    <row r="1851" spans="1:7" x14ac:dyDescent="0.3">
      <c r="A1851" t="s">
        <v>55</v>
      </c>
      <c r="B1851" t="s">
        <v>35</v>
      </c>
      <c r="C1851" t="s">
        <v>26</v>
      </c>
      <c r="D1851">
        <v>8798.99</v>
      </c>
      <c r="E1851">
        <v>99</v>
      </c>
      <c r="F1851" s="1">
        <v>44989</v>
      </c>
      <c r="G1851" t="str">
        <f>IF(COUNTIFS(Table1_3[Country],Table1_3[[#This Row],[Country]],Table1_3[Product],Table1_3[[#This Row],[Product]],Table1_3[Sales Person],Table1_3[[#This Row],[Sales Person]],Table1_3[Amount],"&lt;=100")&gt;=2,"Contract","Deal")</f>
        <v>Deal</v>
      </c>
    </row>
    <row r="1852" spans="1:7" x14ac:dyDescent="0.3">
      <c r="A1852" t="s">
        <v>55</v>
      </c>
      <c r="B1852" t="s">
        <v>35</v>
      </c>
      <c r="C1852" t="s">
        <v>26</v>
      </c>
      <c r="D1852">
        <v>9207.09</v>
      </c>
      <c r="E1852">
        <v>109</v>
      </c>
      <c r="F1852" s="1">
        <v>45355</v>
      </c>
      <c r="G1852" t="str">
        <f>IF(COUNTIFS(Table1_3[Country],Table1_3[[#This Row],[Country]],Table1_3[Product],Table1_3[[#This Row],[Product]],Table1_3[Sales Person],Table1_3[[#This Row],[Sales Person]],Table1_3[Amount],"&lt;=100")&gt;=2,"Contract","Deal")</f>
        <v>Deal</v>
      </c>
    </row>
    <row r="1853" spans="1:7" x14ac:dyDescent="0.3">
      <c r="A1853" t="s">
        <v>55</v>
      </c>
      <c r="B1853" t="s">
        <v>35</v>
      </c>
      <c r="C1853" t="s">
        <v>11</v>
      </c>
      <c r="D1853">
        <v>1729</v>
      </c>
      <c r="E1853">
        <v>31</v>
      </c>
      <c r="F1853" s="1">
        <v>44657</v>
      </c>
      <c r="G1853" t="str">
        <f>IF(COUNTIFS(Table1_3[Country],Table1_3[[#This Row],[Country]],Table1_3[Product],Table1_3[[#This Row],[Product]],Table1_3[Sales Person],Table1_3[[#This Row],[Sales Person]],Table1_3[Amount],"&lt;=100")&gt;=2,"Contract","Deal")</f>
        <v>Deal</v>
      </c>
    </row>
    <row r="1854" spans="1:7" x14ac:dyDescent="0.3">
      <c r="A1854" t="s">
        <v>55</v>
      </c>
      <c r="B1854" t="s">
        <v>35</v>
      </c>
      <c r="C1854" t="s">
        <v>11</v>
      </c>
      <c r="D1854">
        <v>1992.77</v>
      </c>
      <c r="E1854">
        <v>31</v>
      </c>
      <c r="F1854" s="1">
        <v>45022</v>
      </c>
      <c r="G1854" t="str">
        <f>IF(COUNTIFS(Table1_3[Country],Table1_3[[#This Row],[Country]],Table1_3[Product],Table1_3[[#This Row],[Product]],Table1_3[Sales Person],Table1_3[[#This Row],[Sales Person]],Table1_3[Amount],"&lt;=100")&gt;=2,"Contract","Deal")</f>
        <v>Deal</v>
      </c>
    </row>
    <row r="1855" spans="1:7" x14ac:dyDescent="0.3">
      <c r="A1855" t="s">
        <v>55</v>
      </c>
      <c r="B1855" t="s">
        <v>35</v>
      </c>
      <c r="C1855" t="s">
        <v>11</v>
      </c>
      <c r="D1855">
        <v>1859.96</v>
      </c>
      <c r="E1855">
        <v>33</v>
      </c>
      <c r="F1855" s="1">
        <v>45388</v>
      </c>
      <c r="G1855" t="str">
        <f>IF(COUNTIFS(Table1_3[Country],Table1_3[[#This Row],[Country]],Table1_3[Product],Table1_3[[#This Row],[Product]],Table1_3[Sales Person],Table1_3[[#This Row],[Sales Person]],Table1_3[Amount],"&lt;=100")&gt;=2,"Contract","Deal")</f>
        <v>Deal</v>
      </c>
    </row>
    <row r="1856" spans="1:7" x14ac:dyDescent="0.3">
      <c r="A1856" t="s">
        <v>55</v>
      </c>
      <c r="B1856" t="s">
        <v>35</v>
      </c>
      <c r="C1856" t="s">
        <v>20</v>
      </c>
      <c r="D1856">
        <v>1288</v>
      </c>
      <c r="E1856">
        <v>409</v>
      </c>
      <c r="F1856" s="1">
        <v>44736</v>
      </c>
      <c r="G1856" t="str">
        <f>IF(COUNTIFS(Table1_3[Country],Table1_3[[#This Row],[Country]],Table1_3[Product],Table1_3[[#This Row],[Product]],Table1_3[Sales Person],Table1_3[[#This Row],[Sales Person]],Table1_3[Amount],"&lt;=100")&gt;=2,"Contract","Deal")</f>
        <v>Deal</v>
      </c>
    </row>
    <row r="1857" spans="1:7" x14ac:dyDescent="0.3">
      <c r="A1857" t="s">
        <v>55</v>
      </c>
      <c r="B1857" t="s">
        <v>35</v>
      </c>
      <c r="C1857" t="s">
        <v>20</v>
      </c>
      <c r="D1857">
        <v>1332.76</v>
      </c>
      <c r="E1857">
        <v>409</v>
      </c>
      <c r="F1857" s="1">
        <v>45101</v>
      </c>
      <c r="G1857" t="str">
        <f>IF(COUNTIFS(Table1_3[Country],Table1_3[[#This Row],[Country]],Table1_3[Product],Table1_3[[#This Row],[Product]],Table1_3[Sales Person],Table1_3[[#This Row],[Sales Person]],Table1_3[Amount],"&lt;=100")&gt;=2,"Contract","Deal")</f>
        <v>Deal</v>
      </c>
    </row>
    <row r="1858" spans="1:7" x14ac:dyDescent="0.3">
      <c r="A1858" t="s">
        <v>55</v>
      </c>
      <c r="B1858" t="s">
        <v>35</v>
      </c>
      <c r="C1858" t="s">
        <v>20</v>
      </c>
      <c r="D1858">
        <v>1420.22</v>
      </c>
      <c r="E1858">
        <v>422</v>
      </c>
      <c r="F1858" s="1">
        <v>45467</v>
      </c>
      <c r="G1858" t="str">
        <f>IF(COUNTIFS(Table1_3[Country],Table1_3[[#This Row],[Country]],Table1_3[Product],Table1_3[[#This Row],[Product]],Table1_3[Sales Person],Table1_3[[#This Row],[Sales Person]],Table1_3[Amount],"&lt;=100")&gt;=2,"Contract","Deal")</f>
        <v>Deal</v>
      </c>
    </row>
    <row r="1859" spans="1:7" x14ac:dyDescent="0.3">
      <c r="A1859" t="s">
        <v>55</v>
      </c>
      <c r="B1859" t="s">
        <v>35</v>
      </c>
      <c r="C1859" t="s">
        <v>23</v>
      </c>
      <c r="D1859">
        <v>5845</v>
      </c>
      <c r="E1859">
        <v>172</v>
      </c>
      <c r="F1859" s="1">
        <v>44795</v>
      </c>
      <c r="G1859" t="str">
        <f>IF(COUNTIFS(Table1_3[Country],Table1_3[[#This Row],[Country]],Table1_3[Product],Table1_3[[#This Row],[Product]],Table1_3[Sales Person],Table1_3[[#This Row],[Sales Person]],Table1_3[Amount],"&lt;=100")&gt;=2,"Contract","Deal")</f>
        <v>Deal</v>
      </c>
    </row>
    <row r="1860" spans="1:7" x14ac:dyDescent="0.3">
      <c r="A1860" t="s">
        <v>55</v>
      </c>
      <c r="B1860" t="s">
        <v>35</v>
      </c>
      <c r="C1860" t="s">
        <v>23</v>
      </c>
      <c r="D1860">
        <v>6233.02</v>
      </c>
      <c r="E1860">
        <v>178</v>
      </c>
      <c r="F1860" s="1">
        <v>45160</v>
      </c>
      <c r="G1860" t="str">
        <f>IF(COUNTIFS(Table1_3[Country],Table1_3[[#This Row],[Country]],Table1_3[Product],Table1_3[[#This Row],[Product]],Table1_3[Sales Person],Table1_3[[#This Row],[Sales Person]],Table1_3[Amount],"&lt;=100")&gt;=2,"Contract","Deal")</f>
        <v>Deal</v>
      </c>
    </row>
    <row r="1861" spans="1:7" x14ac:dyDescent="0.3">
      <c r="A1861" t="s">
        <v>55</v>
      </c>
      <c r="B1861" t="s">
        <v>35</v>
      </c>
      <c r="C1861" t="s">
        <v>23</v>
      </c>
      <c r="D1861">
        <v>6707.97</v>
      </c>
      <c r="E1861">
        <v>187</v>
      </c>
      <c r="F1861" s="1">
        <v>45526</v>
      </c>
      <c r="G1861" t="str">
        <f>IF(COUNTIFS(Table1_3[Country],Table1_3[[#This Row],[Country]],Table1_3[Product],Table1_3[[#This Row],[Product]],Table1_3[Sales Person],Table1_3[[#This Row],[Sales Person]],Table1_3[Amount],"&lt;=100")&gt;=2,"Contract","Deal")</f>
        <v>Deal</v>
      </c>
    </row>
    <row r="1862" spans="1:7" x14ac:dyDescent="0.3">
      <c r="A1862" t="s">
        <v>55</v>
      </c>
      <c r="B1862" t="s">
        <v>35</v>
      </c>
      <c r="C1862" t="s">
        <v>65</v>
      </c>
      <c r="D1862">
        <v>6055</v>
      </c>
      <c r="E1862">
        <v>73</v>
      </c>
      <c r="F1862" s="1">
        <v>44785</v>
      </c>
      <c r="G1862" t="str">
        <f>IF(COUNTIFS(Table1_3[Country],Table1_3[[#This Row],[Country]],Table1_3[Product],Table1_3[[#This Row],[Product]],Table1_3[Sales Person],Table1_3[[#This Row],[Sales Person]],Table1_3[Amount],"&lt;=100")&gt;=2,"Contract","Deal")</f>
        <v>Deal</v>
      </c>
    </row>
    <row r="1863" spans="1:7" x14ac:dyDescent="0.3">
      <c r="A1863" t="s">
        <v>55</v>
      </c>
      <c r="B1863" t="s">
        <v>35</v>
      </c>
      <c r="C1863" t="s">
        <v>65</v>
      </c>
      <c r="D1863">
        <v>6865.35</v>
      </c>
      <c r="E1863">
        <v>75</v>
      </c>
      <c r="F1863" s="1">
        <v>45150</v>
      </c>
      <c r="G1863" t="str">
        <f>IF(COUNTIFS(Table1_3[Country],Table1_3[[#This Row],[Country]],Table1_3[Product],Table1_3[[#This Row],[Product]],Table1_3[Sales Person],Table1_3[[#This Row],[Sales Person]],Table1_3[Amount],"&lt;=100")&gt;=2,"Contract","Deal")</f>
        <v>Deal</v>
      </c>
    </row>
    <row r="1864" spans="1:7" x14ac:dyDescent="0.3">
      <c r="A1864" t="s">
        <v>55</v>
      </c>
      <c r="B1864" t="s">
        <v>35</v>
      </c>
      <c r="C1864" t="s">
        <v>65</v>
      </c>
      <c r="D1864">
        <v>7220.35</v>
      </c>
      <c r="E1864">
        <v>71</v>
      </c>
      <c r="F1864" s="1">
        <v>45516</v>
      </c>
      <c r="G1864" t="str">
        <f>IF(COUNTIFS(Table1_3[Country],Table1_3[[#This Row],[Country]],Table1_3[Product],Table1_3[[#This Row],[Product]],Table1_3[Sales Person],Table1_3[[#This Row],[Sales Person]],Table1_3[Amount],"&lt;=100")&gt;=2,"Contract","Deal")</f>
        <v>Deal</v>
      </c>
    </row>
    <row r="1865" spans="1:7" x14ac:dyDescent="0.3">
      <c r="A1865" t="s">
        <v>55</v>
      </c>
      <c r="B1865" t="s">
        <v>35</v>
      </c>
      <c r="C1865" t="s">
        <v>75</v>
      </c>
      <c r="D1865">
        <v>3164</v>
      </c>
      <c r="E1865">
        <v>164</v>
      </c>
      <c r="F1865" s="1">
        <v>44699</v>
      </c>
      <c r="G1865" t="str">
        <f>IF(COUNTIFS(Table1_3[Country],Table1_3[[#This Row],[Country]],Table1_3[Product],Table1_3[[#This Row],[Product]],Table1_3[Sales Person],Table1_3[[#This Row],[Sales Person]],Table1_3[Amount],"&lt;=100")&gt;=2,"Contract","Deal")</f>
        <v>Deal</v>
      </c>
    </row>
    <row r="1866" spans="1:7" x14ac:dyDescent="0.3">
      <c r="A1866" t="s">
        <v>55</v>
      </c>
      <c r="B1866" t="s">
        <v>35</v>
      </c>
      <c r="C1866" t="s">
        <v>75</v>
      </c>
      <c r="D1866">
        <v>3542.19</v>
      </c>
      <c r="E1866">
        <v>180</v>
      </c>
      <c r="F1866" s="1">
        <v>45064</v>
      </c>
      <c r="G1866" t="str">
        <f>IF(COUNTIFS(Table1_3[Country],Table1_3[[#This Row],[Country]],Table1_3[Product],Table1_3[[#This Row],[Product]],Table1_3[Sales Person],Table1_3[[#This Row],[Sales Person]],Table1_3[Amount],"&lt;=100")&gt;=2,"Contract","Deal")</f>
        <v>Deal</v>
      </c>
    </row>
    <row r="1867" spans="1:7" x14ac:dyDescent="0.3">
      <c r="A1867" t="s">
        <v>55</v>
      </c>
      <c r="B1867" t="s">
        <v>35</v>
      </c>
      <c r="C1867" t="s">
        <v>75</v>
      </c>
      <c r="D1867">
        <v>3468.53</v>
      </c>
      <c r="E1867">
        <v>166</v>
      </c>
      <c r="F1867" s="1">
        <v>45430</v>
      </c>
      <c r="G1867" t="str">
        <f>IF(COUNTIFS(Table1_3[Country],Table1_3[[#This Row],[Country]],Table1_3[Product],Table1_3[[#This Row],[Product]],Table1_3[Sales Person],Table1_3[[#This Row],[Sales Person]],Table1_3[Amount],"&lt;=100")&gt;=2,"Contract","Deal")</f>
        <v>Deal</v>
      </c>
    </row>
    <row r="1868" spans="1:7" x14ac:dyDescent="0.3">
      <c r="A1868" t="s">
        <v>55</v>
      </c>
      <c r="B1868" t="s">
        <v>35</v>
      </c>
      <c r="C1868" t="s">
        <v>60</v>
      </c>
      <c r="D1868">
        <v>10213</v>
      </c>
      <c r="E1868">
        <v>135</v>
      </c>
      <c r="F1868" s="1">
        <v>44579</v>
      </c>
      <c r="G1868" t="str">
        <f>IF(COUNTIFS(Table1_3[Country],Table1_3[[#This Row],[Country]],Table1_3[Product],Table1_3[[#This Row],[Product]],Table1_3[Sales Person],Table1_3[[#This Row],[Sales Person]],Table1_3[Amount],"&lt;=100")&gt;=2,"Contract","Deal")</f>
        <v>Deal</v>
      </c>
    </row>
    <row r="1869" spans="1:7" x14ac:dyDescent="0.3">
      <c r="A1869" t="s">
        <v>55</v>
      </c>
      <c r="B1869" t="s">
        <v>35</v>
      </c>
      <c r="C1869" t="s">
        <v>60</v>
      </c>
      <c r="D1869">
        <v>10845.85</v>
      </c>
      <c r="E1869">
        <v>146</v>
      </c>
      <c r="F1869" s="1">
        <v>44944</v>
      </c>
      <c r="G1869" t="str">
        <f>IF(COUNTIFS(Table1_3[Country],Table1_3[[#This Row],[Country]],Table1_3[Product],Table1_3[[#This Row],[Product]],Table1_3[Sales Person],Table1_3[[#This Row],[Sales Person]],Table1_3[Amount],"&lt;=100")&gt;=2,"Contract","Deal")</f>
        <v>Deal</v>
      </c>
    </row>
    <row r="1870" spans="1:7" x14ac:dyDescent="0.3">
      <c r="A1870" t="s">
        <v>55</v>
      </c>
      <c r="B1870" t="s">
        <v>35</v>
      </c>
      <c r="C1870" t="s">
        <v>60</v>
      </c>
      <c r="D1870">
        <v>11618.55</v>
      </c>
      <c r="E1870">
        <v>133</v>
      </c>
      <c r="F1870" s="1">
        <v>45309</v>
      </c>
      <c r="G1870" t="str">
        <f>IF(COUNTIFS(Table1_3[Country],Table1_3[[#This Row],[Country]],Table1_3[Product],Table1_3[[#This Row],[Product]],Table1_3[Sales Person],Table1_3[[#This Row],[Sales Person]],Table1_3[Amount],"&lt;=100")&gt;=2,"Contract","Deal")</f>
        <v>Deal</v>
      </c>
    </row>
    <row r="1871" spans="1:7" x14ac:dyDescent="0.3">
      <c r="A1871" t="s">
        <v>55</v>
      </c>
      <c r="B1871" t="s">
        <v>35</v>
      </c>
      <c r="C1871" t="s">
        <v>42</v>
      </c>
      <c r="D1871">
        <v>5684</v>
      </c>
      <c r="E1871">
        <v>81</v>
      </c>
      <c r="F1871" s="1">
        <v>44649</v>
      </c>
      <c r="G1871" t="str">
        <f>IF(COUNTIFS(Table1_3[Country],Table1_3[[#This Row],[Country]],Table1_3[Product],Table1_3[[#This Row],[Product]],Table1_3[Sales Person],Table1_3[[#This Row],[Sales Person]],Table1_3[Amount],"&lt;=100")&gt;=2,"Contract","Deal")</f>
        <v>Deal</v>
      </c>
    </row>
    <row r="1872" spans="1:7" x14ac:dyDescent="0.3">
      <c r="A1872" t="s">
        <v>55</v>
      </c>
      <c r="B1872" t="s">
        <v>35</v>
      </c>
      <c r="C1872" t="s">
        <v>42</v>
      </c>
      <c r="D1872">
        <v>6078.71</v>
      </c>
      <c r="E1872">
        <v>78</v>
      </c>
      <c r="F1872" s="1">
        <v>45014</v>
      </c>
      <c r="G1872" t="str">
        <f>IF(COUNTIFS(Table1_3[Country],Table1_3[[#This Row],[Country]],Table1_3[Product],Table1_3[[#This Row],[Product]],Table1_3[Sales Person],Table1_3[[#This Row],[Sales Person]],Table1_3[Amount],"&lt;=100")&gt;=2,"Contract","Deal")</f>
        <v>Deal</v>
      </c>
    </row>
    <row r="1873" spans="1:7" x14ac:dyDescent="0.3">
      <c r="A1873" t="s">
        <v>55</v>
      </c>
      <c r="B1873" t="s">
        <v>35</v>
      </c>
      <c r="C1873" t="s">
        <v>42</v>
      </c>
      <c r="D1873">
        <v>6797.67</v>
      </c>
      <c r="E1873">
        <v>82</v>
      </c>
      <c r="F1873" s="1">
        <v>45380</v>
      </c>
      <c r="G1873" t="str">
        <f>IF(COUNTIFS(Table1_3[Country],Table1_3[[#This Row],[Country]],Table1_3[Product],Table1_3[[#This Row],[Product]],Table1_3[Sales Person],Table1_3[[#This Row],[Sales Person]],Table1_3[Amount],"&lt;=100")&gt;=2,"Contract","Deal")</f>
        <v>Deal</v>
      </c>
    </row>
    <row r="1874" spans="1:7" x14ac:dyDescent="0.3">
      <c r="A1874" t="s">
        <v>55</v>
      </c>
      <c r="B1874" t="s">
        <v>35</v>
      </c>
      <c r="C1874" t="s">
        <v>13</v>
      </c>
      <c r="D1874">
        <v>3269</v>
      </c>
      <c r="E1874">
        <v>176</v>
      </c>
      <c r="F1874" s="1">
        <v>44746</v>
      </c>
      <c r="G1874" t="str">
        <f>IF(COUNTIFS(Table1_3[Country],Table1_3[[#This Row],[Country]],Table1_3[Product],Table1_3[[#This Row],[Product]],Table1_3[Sales Person],Table1_3[[#This Row],[Sales Person]],Table1_3[Amount],"&lt;=100")&gt;=2,"Contract","Deal")</f>
        <v>Deal</v>
      </c>
    </row>
    <row r="1875" spans="1:7" x14ac:dyDescent="0.3">
      <c r="A1875" t="s">
        <v>55</v>
      </c>
      <c r="B1875" t="s">
        <v>35</v>
      </c>
      <c r="C1875" t="s">
        <v>13</v>
      </c>
      <c r="D1875">
        <v>3438.7</v>
      </c>
      <c r="E1875">
        <v>191</v>
      </c>
      <c r="F1875" s="1">
        <v>45111</v>
      </c>
      <c r="G1875" t="str">
        <f>IF(COUNTIFS(Table1_3[Country],Table1_3[[#This Row],[Country]],Table1_3[Product],Table1_3[[#This Row],[Product]],Table1_3[Sales Person],Table1_3[[#This Row],[Sales Person]],Table1_3[Amount],"&lt;=100")&gt;=2,"Contract","Deal")</f>
        <v>Deal</v>
      </c>
    </row>
    <row r="1876" spans="1:7" x14ac:dyDescent="0.3">
      <c r="A1876" t="s">
        <v>55</v>
      </c>
      <c r="B1876" t="s">
        <v>35</v>
      </c>
      <c r="C1876" t="s">
        <v>13</v>
      </c>
      <c r="D1876">
        <v>3653.39</v>
      </c>
      <c r="E1876">
        <v>185</v>
      </c>
      <c r="F1876" s="1">
        <v>45477</v>
      </c>
      <c r="G1876" t="str">
        <f>IF(COUNTIFS(Table1_3[Country],Table1_3[[#This Row],[Country]],Table1_3[Product],Table1_3[[#This Row],[Product]],Table1_3[Sales Person],Table1_3[[#This Row],[Sales Person]],Table1_3[Amount],"&lt;=100")&gt;=2,"Contract","Deal")</f>
        <v>Deal</v>
      </c>
    </row>
    <row r="1877" spans="1:7" x14ac:dyDescent="0.3">
      <c r="A1877" t="s">
        <v>55</v>
      </c>
      <c r="B1877" t="s">
        <v>10</v>
      </c>
      <c r="C1877" t="s">
        <v>100</v>
      </c>
      <c r="D1877">
        <v>12173</v>
      </c>
      <c r="E1877">
        <v>301</v>
      </c>
      <c r="F1877" s="1">
        <v>44585</v>
      </c>
      <c r="G1877" t="str">
        <f>IF(COUNTIFS(Table1_3[Country],Table1_3[[#This Row],[Country]],Table1_3[Product],Table1_3[[#This Row],[Product]],Table1_3[Sales Person],Table1_3[[#This Row],[Sales Person]],Table1_3[Amount],"&lt;=100")&gt;=2,"Contract","Deal")</f>
        <v>Deal</v>
      </c>
    </row>
    <row r="1878" spans="1:7" x14ac:dyDescent="0.3">
      <c r="A1878" t="s">
        <v>55</v>
      </c>
      <c r="B1878" t="s">
        <v>10</v>
      </c>
      <c r="C1878" t="s">
        <v>100</v>
      </c>
      <c r="D1878">
        <v>13535.7</v>
      </c>
      <c r="E1878">
        <v>296</v>
      </c>
      <c r="F1878" s="1">
        <v>44950</v>
      </c>
      <c r="G1878" t="str">
        <f>IF(COUNTIFS(Table1_3[Country],Table1_3[[#This Row],[Country]],Table1_3[Product],Table1_3[[#This Row],[Product]],Table1_3[Sales Person],Table1_3[[#This Row],[Sales Person]],Table1_3[Amount],"&lt;=100")&gt;=2,"Contract","Deal")</f>
        <v>Deal</v>
      </c>
    </row>
    <row r="1879" spans="1:7" x14ac:dyDescent="0.3">
      <c r="A1879" t="s">
        <v>55</v>
      </c>
      <c r="B1879" t="s">
        <v>10</v>
      </c>
      <c r="C1879" t="s">
        <v>100</v>
      </c>
      <c r="D1879">
        <v>13081.57</v>
      </c>
      <c r="E1879">
        <v>324</v>
      </c>
      <c r="F1879" s="1">
        <v>45315</v>
      </c>
      <c r="G1879" t="str">
        <f>IF(COUNTIFS(Table1_3[Country],Table1_3[[#This Row],[Country]],Table1_3[Product],Table1_3[[#This Row],[Product]],Table1_3[Sales Person],Table1_3[[#This Row],[Sales Person]],Table1_3[Amount],"&lt;=100")&gt;=2,"Contract","Deal")</f>
        <v>Deal</v>
      </c>
    </row>
    <row r="1880" spans="1:7" x14ac:dyDescent="0.3">
      <c r="A1880" t="s">
        <v>55</v>
      </c>
      <c r="B1880" t="s">
        <v>10</v>
      </c>
      <c r="C1880" t="s">
        <v>46</v>
      </c>
      <c r="D1880">
        <v>2905</v>
      </c>
      <c r="E1880">
        <v>91</v>
      </c>
      <c r="F1880" s="1">
        <v>44683</v>
      </c>
      <c r="G1880" t="str">
        <f>IF(COUNTIFS(Table1_3[Country],Table1_3[[#This Row],[Country]],Table1_3[Product],Table1_3[[#This Row],[Product]],Table1_3[Sales Person],Table1_3[[#This Row],[Sales Person]],Table1_3[Amount],"&lt;=100")&gt;=2,"Contract","Deal")</f>
        <v>Deal</v>
      </c>
    </row>
    <row r="1881" spans="1:7" x14ac:dyDescent="0.3">
      <c r="A1881" t="s">
        <v>55</v>
      </c>
      <c r="B1881" t="s">
        <v>10</v>
      </c>
      <c r="C1881" t="s">
        <v>46</v>
      </c>
      <c r="D1881">
        <v>3210.14</v>
      </c>
      <c r="E1881">
        <v>92</v>
      </c>
      <c r="F1881" s="1">
        <v>45048</v>
      </c>
      <c r="G1881" t="str">
        <f>IF(COUNTIFS(Table1_3[Country],Table1_3[[#This Row],[Country]],Table1_3[Product],Table1_3[[#This Row],[Product]],Table1_3[Sales Person],Table1_3[[#This Row],[Sales Person]],Table1_3[Amount],"&lt;=100")&gt;=2,"Contract","Deal")</f>
        <v>Deal</v>
      </c>
    </row>
    <row r="1882" spans="1:7" x14ac:dyDescent="0.3">
      <c r="A1882" t="s">
        <v>55</v>
      </c>
      <c r="B1882" t="s">
        <v>10</v>
      </c>
      <c r="C1882" t="s">
        <v>46</v>
      </c>
      <c r="D1882">
        <v>3168.11</v>
      </c>
      <c r="E1882">
        <v>93</v>
      </c>
      <c r="F1882" s="1">
        <v>45414</v>
      </c>
      <c r="G1882" t="str">
        <f>IF(COUNTIFS(Table1_3[Country],Table1_3[[#This Row],[Country]],Table1_3[Product],Table1_3[[#This Row],[Product]],Table1_3[Sales Person],Table1_3[[#This Row],[Sales Person]],Table1_3[Amount],"&lt;=100")&gt;=2,"Contract","Deal")</f>
        <v>Deal</v>
      </c>
    </row>
    <row r="1883" spans="1:7" x14ac:dyDescent="0.3">
      <c r="A1883" t="s">
        <v>55</v>
      </c>
      <c r="B1883" t="s">
        <v>10</v>
      </c>
      <c r="C1883" t="s">
        <v>50</v>
      </c>
      <c r="D1883">
        <v>5614</v>
      </c>
      <c r="E1883">
        <v>137</v>
      </c>
      <c r="F1883" s="1">
        <v>44804</v>
      </c>
      <c r="G1883" t="str">
        <f>IF(COUNTIFS(Table1_3[Country],Table1_3[[#This Row],[Country]],Table1_3[Product],Table1_3[[#This Row],[Product]],Table1_3[Sales Person],Table1_3[[#This Row],[Sales Person]],Table1_3[Amount],"&lt;=100")&gt;=2,"Contract","Deal")</f>
        <v>Deal</v>
      </c>
    </row>
    <row r="1884" spans="1:7" x14ac:dyDescent="0.3">
      <c r="A1884" t="s">
        <v>55</v>
      </c>
      <c r="B1884" t="s">
        <v>10</v>
      </c>
      <c r="C1884" t="s">
        <v>50</v>
      </c>
      <c r="D1884">
        <v>5674.7</v>
      </c>
      <c r="E1884">
        <v>147</v>
      </c>
      <c r="F1884" s="1">
        <v>45169</v>
      </c>
      <c r="G1884" t="str">
        <f>IF(COUNTIFS(Table1_3[Country],Table1_3[[#This Row],[Country]],Table1_3[Product],Table1_3[[#This Row],[Product]],Table1_3[Sales Person],Table1_3[[#This Row],[Sales Person]],Table1_3[Amount],"&lt;=100")&gt;=2,"Contract","Deal")</f>
        <v>Deal</v>
      </c>
    </row>
    <row r="1885" spans="1:7" x14ac:dyDescent="0.3">
      <c r="A1885" t="s">
        <v>55</v>
      </c>
      <c r="B1885" t="s">
        <v>10</v>
      </c>
      <c r="C1885" t="s">
        <v>50</v>
      </c>
      <c r="D1885">
        <v>6170.8</v>
      </c>
      <c r="E1885">
        <v>138</v>
      </c>
      <c r="F1885" s="1">
        <v>45535</v>
      </c>
      <c r="G1885" t="str">
        <f>IF(COUNTIFS(Table1_3[Country],Table1_3[[#This Row],[Country]],Table1_3[Product],Table1_3[[#This Row],[Product]],Table1_3[Sales Person],Table1_3[[#This Row],[Sales Person]],Table1_3[Amount],"&lt;=100")&gt;=2,"Contract","Deal")</f>
        <v>Deal</v>
      </c>
    </row>
    <row r="1886" spans="1:7" x14ac:dyDescent="0.3">
      <c r="A1886" t="s">
        <v>55</v>
      </c>
      <c r="B1886" t="s">
        <v>25</v>
      </c>
      <c r="C1886" t="s">
        <v>100</v>
      </c>
      <c r="D1886">
        <v>7231</v>
      </c>
      <c r="E1886">
        <v>38</v>
      </c>
      <c r="F1886" s="1">
        <v>44644</v>
      </c>
      <c r="G1886" t="str">
        <f>IF(COUNTIFS(Table1_3[Country],Table1_3[[#This Row],[Country]],Table1_3[Product],Table1_3[[#This Row],[Product]],Table1_3[Sales Person],Table1_3[[#This Row],[Sales Person]],Table1_3[Amount],"&lt;=100")&gt;=2,"Contract","Deal")</f>
        <v>Deal</v>
      </c>
    </row>
    <row r="1887" spans="1:7" x14ac:dyDescent="0.3">
      <c r="A1887" t="s">
        <v>55</v>
      </c>
      <c r="B1887" t="s">
        <v>25</v>
      </c>
      <c r="C1887" t="s">
        <v>100</v>
      </c>
      <c r="D1887">
        <v>7969.08</v>
      </c>
      <c r="E1887">
        <v>38</v>
      </c>
      <c r="F1887" s="1">
        <v>45009</v>
      </c>
      <c r="G1887" t="str">
        <f>IF(COUNTIFS(Table1_3[Country],Table1_3[[#This Row],[Country]],Table1_3[Product],Table1_3[[#This Row],[Product]],Table1_3[Sales Person],Table1_3[[#This Row],[Sales Person]],Table1_3[Amount],"&lt;=100")&gt;=2,"Contract","Deal")</f>
        <v>Deal</v>
      </c>
    </row>
    <row r="1888" spans="1:7" x14ac:dyDescent="0.3">
      <c r="A1888" t="s">
        <v>55</v>
      </c>
      <c r="B1888" t="s">
        <v>25</v>
      </c>
      <c r="C1888" t="s">
        <v>100</v>
      </c>
      <c r="D1888">
        <v>8487.6299999999992</v>
      </c>
      <c r="E1888">
        <v>40</v>
      </c>
      <c r="F1888" s="1">
        <v>45375</v>
      </c>
      <c r="G1888" t="str">
        <f>IF(COUNTIFS(Table1_3[Country],Table1_3[[#This Row],[Country]],Table1_3[Product],Table1_3[[#This Row],[Product]],Table1_3[Sales Person],Table1_3[[#This Row],[Sales Person]],Table1_3[Amount],"&lt;=100")&gt;=2,"Contract","Deal")</f>
        <v>Deal</v>
      </c>
    </row>
    <row r="1889" spans="1:7" x14ac:dyDescent="0.3">
      <c r="A1889" t="s">
        <v>55</v>
      </c>
      <c r="B1889" t="s">
        <v>25</v>
      </c>
      <c r="C1889" t="s">
        <v>36</v>
      </c>
      <c r="D1889">
        <v>12894</v>
      </c>
      <c r="E1889">
        <v>48</v>
      </c>
      <c r="F1889" s="1">
        <v>44581</v>
      </c>
      <c r="G1889" t="str">
        <f>IF(COUNTIFS(Table1_3[Country],Table1_3[[#This Row],[Country]],Table1_3[Product],Table1_3[[#This Row],[Product]],Table1_3[Sales Person],Table1_3[[#This Row],[Sales Person]],Table1_3[Amount],"&lt;=100")&gt;=2,"Contract","Deal")</f>
        <v>Deal</v>
      </c>
    </row>
    <row r="1890" spans="1:7" x14ac:dyDescent="0.3">
      <c r="A1890" t="s">
        <v>55</v>
      </c>
      <c r="B1890" t="s">
        <v>25</v>
      </c>
      <c r="C1890" t="s">
        <v>36</v>
      </c>
      <c r="D1890">
        <v>13520.48</v>
      </c>
      <c r="E1890">
        <v>47</v>
      </c>
      <c r="F1890" s="1">
        <v>44946</v>
      </c>
      <c r="G1890" t="str">
        <f>IF(COUNTIFS(Table1_3[Country],Table1_3[[#This Row],[Country]],Table1_3[Product],Table1_3[[#This Row],[Product]],Table1_3[Sales Person],Table1_3[[#This Row],[Sales Person]],Table1_3[Amount],"&lt;=100")&gt;=2,"Contract","Deal")</f>
        <v>Deal</v>
      </c>
    </row>
    <row r="1891" spans="1:7" x14ac:dyDescent="0.3">
      <c r="A1891" t="s">
        <v>55</v>
      </c>
      <c r="B1891" t="s">
        <v>25</v>
      </c>
      <c r="C1891" t="s">
        <v>36</v>
      </c>
      <c r="D1891">
        <v>14346.28</v>
      </c>
      <c r="E1891">
        <v>48</v>
      </c>
      <c r="F1891" s="1">
        <v>45311</v>
      </c>
      <c r="G1891" t="str">
        <f>IF(COUNTIFS(Table1_3[Country],Table1_3[[#This Row],[Country]],Table1_3[Product],Table1_3[[#This Row],[Product]],Table1_3[Sales Person],Table1_3[[#This Row],[Sales Person]],Table1_3[Amount],"&lt;=100")&gt;=2,"Contract","Deal")</f>
        <v>Deal</v>
      </c>
    </row>
    <row r="1892" spans="1:7" x14ac:dyDescent="0.3">
      <c r="A1892" t="s">
        <v>55</v>
      </c>
      <c r="B1892" t="s">
        <v>25</v>
      </c>
      <c r="C1892" t="s">
        <v>18</v>
      </c>
      <c r="D1892">
        <v>7</v>
      </c>
      <c r="E1892">
        <v>518</v>
      </c>
      <c r="F1892" s="1">
        <v>44663</v>
      </c>
      <c r="G1892" t="str">
        <f>IF(COUNTIFS(Table1_3[Country],Table1_3[[#This Row],[Country]],Table1_3[Product],Table1_3[[#This Row],[Product]],Table1_3[Sales Person],Table1_3[[#This Row],[Sales Person]],Table1_3[Amount],"&lt;=100")&gt;=2,"Contract","Deal")</f>
        <v>Contract</v>
      </c>
    </row>
    <row r="1893" spans="1:7" x14ac:dyDescent="0.3">
      <c r="A1893" t="s">
        <v>55</v>
      </c>
      <c r="B1893" t="s">
        <v>25</v>
      </c>
      <c r="C1893" t="s">
        <v>18</v>
      </c>
      <c r="D1893">
        <v>8.06</v>
      </c>
      <c r="E1893">
        <v>513</v>
      </c>
      <c r="F1893" s="1">
        <v>45028</v>
      </c>
      <c r="G1893" t="str">
        <f>IF(COUNTIFS(Table1_3[Country],Table1_3[[#This Row],[Country]],Table1_3[Product],Table1_3[[#This Row],[Product]],Table1_3[Sales Person],Table1_3[[#This Row],[Sales Person]],Table1_3[Amount],"&lt;=100")&gt;=2,"Contract","Deal")</f>
        <v>Contract</v>
      </c>
    </row>
    <row r="1894" spans="1:7" x14ac:dyDescent="0.3">
      <c r="A1894" t="s">
        <v>55</v>
      </c>
      <c r="B1894" t="s">
        <v>25</v>
      </c>
      <c r="C1894" t="s">
        <v>18</v>
      </c>
      <c r="D1894">
        <v>7.67</v>
      </c>
      <c r="E1894">
        <v>548</v>
      </c>
      <c r="F1894" s="1">
        <v>45394</v>
      </c>
      <c r="G1894" t="str">
        <f>IF(COUNTIFS(Table1_3[Country],Table1_3[[#This Row],[Country]],Table1_3[Product],Table1_3[[#This Row],[Product]],Table1_3[Sales Person],Table1_3[[#This Row],[Sales Person]],Table1_3[Amount],"&lt;=100")&gt;=2,"Contract","Deal")</f>
        <v>Contract</v>
      </c>
    </row>
    <row r="1895" spans="1:7" x14ac:dyDescent="0.3">
      <c r="A1895" t="s">
        <v>55</v>
      </c>
      <c r="B1895" t="s">
        <v>25</v>
      </c>
      <c r="C1895" t="s">
        <v>50</v>
      </c>
      <c r="D1895">
        <v>7728</v>
      </c>
      <c r="E1895">
        <v>37</v>
      </c>
      <c r="F1895" s="1">
        <v>44743</v>
      </c>
      <c r="G1895" t="str">
        <f>IF(COUNTIFS(Table1_3[Country],Table1_3[[#This Row],[Country]],Table1_3[Product],Table1_3[[#This Row],[Product]],Table1_3[Sales Person],Table1_3[[#This Row],[Sales Person]],Table1_3[Amount],"&lt;=100")&gt;=2,"Contract","Deal")</f>
        <v>Deal</v>
      </c>
    </row>
    <row r="1896" spans="1:7" x14ac:dyDescent="0.3">
      <c r="A1896" t="s">
        <v>55</v>
      </c>
      <c r="B1896" t="s">
        <v>25</v>
      </c>
      <c r="C1896" t="s">
        <v>50</v>
      </c>
      <c r="D1896">
        <v>8106.88</v>
      </c>
      <c r="E1896">
        <v>40</v>
      </c>
      <c r="F1896" s="1">
        <v>45108</v>
      </c>
      <c r="G1896" t="str">
        <f>IF(COUNTIFS(Table1_3[Country],Table1_3[[#This Row],[Country]],Table1_3[Product],Table1_3[[#This Row],[Product]],Table1_3[Sales Person],Table1_3[[#This Row],[Sales Person]],Table1_3[Amount],"&lt;=100")&gt;=2,"Contract","Deal")</f>
        <v>Deal</v>
      </c>
    </row>
    <row r="1897" spans="1:7" x14ac:dyDescent="0.3">
      <c r="A1897" t="s">
        <v>55</v>
      </c>
      <c r="B1897" t="s">
        <v>25</v>
      </c>
      <c r="C1897" t="s">
        <v>50</v>
      </c>
      <c r="D1897">
        <v>8755.31</v>
      </c>
      <c r="E1897">
        <v>38</v>
      </c>
      <c r="F1897" s="1">
        <v>45474</v>
      </c>
      <c r="G1897" t="str">
        <f>IF(COUNTIFS(Table1_3[Country],Table1_3[[#This Row],[Country]],Table1_3[Product],Table1_3[[#This Row],[Product]],Table1_3[Sales Person],Table1_3[[#This Row],[Sales Person]],Table1_3[Amount],"&lt;=100")&gt;=2,"Contract","Deal")</f>
        <v>Deal</v>
      </c>
    </row>
    <row r="1898" spans="1:7" x14ac:dyDescent="0.3">
      <c r="A1898" t="s">
        <v>55</v>
      </c>
      <c r="B1898" t="s">
        <v>7</v>
      </c>
      <c r="C1898" t="s">
        <v>26</v>
      </c>
      <c r="D1898">
        <v>3143</v>
      </c>
      <c r="E1898">
        <v>67</v>
      </c>
      <c r="F1898" s="1">
        <v>44613</v>
      </c>
      <c r="G1898" t="str">
        <f>IF(COUNTIFS(Table1_3[Country],Table1_3[[#This Row],[Country]],Table1_3[Product],Table1_3[[#This Row],[Product]],Table1_3[Sales Person],Table1_3[[#This Row],[Sales Person]],Table1_3[Amount],"&lt;=100")&gt;=2,"Contract","Deal")</f>
        <v>Deal</v>
      </c>
    </row>
    <row r="1899" spans="1:7" x14ac:dyDescent="0.3">
      <c r="A1899" t="s">
        <v>55</v>
      </c>
      <c r="B1899" t="s">
        <v>7</v>
      </c>
      <c r="C1899" t="s">
        <v>26</v>
      </c>
      <c r="D1899">
        <v>3283</v>
      </c>
      <c r="E1899">
        <v>72</v>
      </c>
      <c r="F1899" s="1">
        <v>44978</v>
      </c>
      <c r="G1899" t="str">
        <f>IF(COUNTIFS(Table1_3[Country],Table1_3[[#This Row],[Country]],Table1_3[Product],Table1_3[[#This Row],[Product]],Table1_3[Sales Person],Table1_3[[#This Row],[Sales Person]],Table1_3[Amount],"&lt;=100")&gt;=2,"Contract","Deal")</f>
        <v>Deal</v>
      </c>
    </row>
    <row r="1900" spans="1:7" x14ac:dyDescent="0.3">
      <c r="A1900" t="s">
        <v>55</v>
      </c>
      <c r="B1900" t="s">
        <v>7</v>
      </c>
      <c r="C1900" t="s">
        <v>26</v>
      </c>
      <c r="D1900">
        <v>3402.47</v>
      </c>
      <c r="E1900">
        <v>69</v>
      </c>
      <c r="F1900" s="1">
        <v>45343</v>
      </c>
      <c r="G1900" t="str">
        <f>IF(COUNTIFS(Table1_3[Country],Table1_3[[#This Row],[Country]],Table1_3[Product],Table1_3[[#This Row],[Product]],Table1_3[Sales Person],Table1_3[[#This Row],[Sales Person]],Table1_3[Amount],"&lt;=100")&gt;=2,"Contract","Deal")</f>
        <v>Deal</v>
      </c>
    </row>
    <row r="1901" spans="1:7" x14ac:dyDescent="0.3">
      <c r="A1901" t="s">
        <v>55</v>
      </c>
      <c r="B1901" t="s">
        <v>7</v>
      </c>
      <c r="C1901" t="s">
        <v>23</v>
      </c>
      <c r="D1901">
        <v>18697</v>
      </c>
      <c r="E1901">
        <v>176</v>
      </c>
      <c r="F1901" s="1">
        <v>44582</v>
      </c>
      <c r="G1901" t="str">
        <f>IF(COUNTIFS(Table1_3[Country],Table1_3[[#This Row],[Country]],Table1_3[Product],Table1_3[[#This Row],[Product]],Table1_3[Sales Person],Table1_3[[#This Row],[Sales Person]],Table1_3[Amount],"&lt;=100")&gt;=2,"Contract","Deal")</f>
        <v>Deal</v>
      </c>
    </row>
    <row r="1902" spans="1:7" x14ac:dyDescent="0.3">
      <c r="A1902" t="s">
        <v>55</v>
      </c>
      <c r="B1902" t="s">
        <v>7</v>
      </c>
      <c r="C1902" t="s">
        <v>23</v>
      </c>
      <c r="D1902">
        <v>18911.490000000002</v>
      </c>
      <c r="E1902">
        <v>171</v>
      </c>
      <c r="F1902" s="1">
        <v>44947</v>
      </c>
      <c r="G1902" t="str">
        <f>IF(COUNTIFS(Table1_3[Country],Table1_3[[#This Row],[Country]],Table1_3[Product],Table1_3[[#This Row],[Product]],Table1_3[Sales Person],Table1_3[[#This Row],[Sales Person]],Table1_3[Amount],"&lt;=100")&gt;=2,"Contract","Deal")</f>
        <v>Deal</v>
      </c>
    </row>
    <row r="1903" spans="1:7" x14ac:dyDescent="0.3">
      <c r="A1903" t="s">
        <v>55</v>
      </c>
      <c r="B1903" t="s">
        <v>7</v>
      </c>
      <c r="C1903" t="s">
        <v>23</v>
      </c>
      <c r="D1903">
        <v>21812.86</v>
      </c>
      <c r="E1903">
        <v>183</v>
      </c>
      <c r="F1903" s="1">
        <v>45312</v>
      </c>
      <c r="G1903" t="str">
        <f>IF(COUNTIFS(Table1_3[Country],Table1_3[[#This Row],[Country]],Table1_3[Product],Table1_3[[#This Row],[Product]],Table1_3[Sales Person],Table1_3[[#This Row],[Sales Person]],Table1_3[Amount],"&lt;=100")&gt;=2,"Contract","Deal")</f>
        <v>Deal</v>
      </c>
    </row>
    <row r="1904" spans="1:7" x14ac:dyDescent="0.3">
      <c r="A1904" t="s">
        <v>55</v>
      </c>
      <c r="B1904" t="s">
        <v>7</v>
      </c>
      <c r="C1904" t="s">
        <v>90</v>
      </c>
      <c r="D1904">
        <v>10192</v>
      </c>
      <c r="E1904">
        <v>67</v>
      </c>
      <c r="F1904" s="1">
        <v>44701</v>
      </c>
      <c r="G1904" t="str">
        <f>IF(COUNTIFS(Table1_3[Country],Table1_3[[#This Row],[Country]],Table1_3[Product],Table1_3[[#This Row],[Product]],Table1_3[Sales Person],Table1_3[[#This Row],[Sales Person]],Table1_3[Amount],"&lt;=100")&gt;=2,"Contract","Deal")</f>
        <v>Deal</v>
      </c>
    </row>
    <row r="1905" spans="1:7" x14ac:dyDescent="0.3">
      <c r="A1905" t="s">
        <v>55</v>
      </c>
      <c r="B1905" t="s">
        <v>7</v>
      </c>
      <c r="C1905" t="s">
        <v>90</v>
      </c>
      <c r="D1905">
        <v>10740.05</v>
      </c>
      <c r="E1905">
        <v>67</v>
      </c>
      <c r="F1905" s="1">
        <v>45066</v>
      </c>
      <c r="G1905" t="str">
        <f>IF(COUNTIFS(Table1_3[Country],Table1_3[[#This Row],[Country]],Table1_3[Product],Table1_3[[#This Row],[Product]],Table1_3[Sales Person],Table1_3[[#This Row],[Sales Person]],Table1_3[Amount],"&lt;=100")&gt;=2,"Contract","Deal")</f>
        <v>Deal</v>
      </c>
    </row>
    <row r="1906" spans="1:7" x14ac:dyDescent="0.3">
      <c r="A1906" t="s">
        <v>55</v>
      </c>
      <c r="B1906" t="s">
        <v>7</v>
      </c>
      <c r="C1906" t="s">
        <v>90</v>
      </c>
      <c r="D1906">
        <v>11334.21</v>
      </c>
      <c r="E1906">
        <v>72</v>
      </c>
      <c r="F1906" s="1">
        <v>45432</v>
      </c>
      <c r="G1906" t="str">
        <f>IF(COUNTIFS(Table1_3[Country],Table1_3[[#This Row],[Country]],Table1_3[Product],Table1_3[[#This Row],[Product]],Table1_3[Sales Person],Table1_3[[#This Row],[Sales Person]],Table1_3[Amount],"&lt;=100")&gt;=2,"Contract","Deal")</f>
        <v>Deal</v>
      </c>
    </row>
    <row r="1907" spans="1:7" x14ac:dyDescent="0.3">
      <c r="A1907" t="s">
        <v>55</v>
      </c>
      <c r="B1907" t="s">
        <v>7</v>
      </c>
      <c r="C1907" t="s">
        <v>75</v>
      </c>
      <c r="D1907">
        <v>8022</v>
      </c>
      <c r="E1907">
        <v>123</v>
      </c>
      <c r="F1907" s="1">
        <v>44776</v>
      </c>
      <c r="G1907" t="str">
        <f>IF(COUNTIFS(Table1_3[Country],Table1_3[[#This Row],[Country]],Table1_3[Product],Table1_3[[#This Row],[Product]],Table1_3[Sales Person],Table1_3[[#This Row],[Sales Person]],Table1_3[Amount],"&lt;=100")&gt;=2,"Contract","Deal")</f>
        <v>Deal</v>
      </c>
    </row>
    <row r="1908" spans="1:7" x14ac:dyDescent="0.3">
      <c r="A1908" t="s">
        <v>55</v>
      </c>
      <c r="B1908" t="s">
        <v>7</v>
      </c>
      <c r="C1908" t="s">
        <v>75</v>
      </c>
      <c r="D1908">
        <v>8054.87</v>
      </c>
      <c r="E1908">
        <v>118</v>
      </c>
      <c r="F1908" s="1">
        <v>45141</v>
      </c>
      <c r="G1908" t="str">
        <f>IF(COUNTIFS(Table1_3[Country],Table1_3[[#This Row],[Country]],Table1_3[Product],Table1_3[[#This Row],[Product]],Table1_3[Sales Person],Table1_3[[#This Row],[Sales Person]],Table1_3[Amount],"&lt;=100")&gt;=2,"Contract","Deal")</f>
        <v>Deal</v>
      </c>
    </row>
    <row r="1909" spans="1:7" x14ac:dyDescent="0.3">
      <c r="A1909" t="s">
        <v>55</v>
      </c>
      <c r="B1909" t="s">
        <v>7</v>
      </c>
      <c r="C1909" t="s">
        <v>75</v>
      </c>
      <c r="D1909">
        <v>9412.06</v>
      </c>
      <c r="E1909">
        <v>123</v>
      </c>
      <c r="F1909" s="1">
        <v>45507</v>
      </c>
      <c r="G1909" t="str">
        <f>IF(COUNTIFS(Table1_3[Country],Table1_3[[#This Row],[Country]],Table1_3[Product],Table1_3[[#This Row],[Product]],Table1_3[Sales Person],Table1_3[[#This Row],[Sales Person]],Table1_3[Amount],"&lt;=100")&gt;=2,"Contract","Deal")</f>
        <v>Deal</v>
      </c>
    </row>
    <row r="1910" spans="1:7" x14ac:dyDescent="0.3">
      <c r="A1910" t="s">
        <v>55</v>
      </c>
      <c r="B1910" t="s">
        <v>7</v>
      </c>
      <c r="C1910" t="s">
        <v>38</v>
      </c>
      <c r="D1910">
        <v>2317</v>
      </c>
      <c r="E1910">
        <v>224</v>
      </c>
      <c r="F1910" s="1">
        <v>44588</v>
      </c>
      <c r="G1910" t="str">
        <f>IF(COUNTIFS(Table1_3[Country],Table1_3[[#This Row],[Country]],Table1_3[Product],Table1_3[[#This Row],[Product]],Table1_3[Sales Person],Table1_3[[#This Row],[Sales Person]],Table1_3[Amount],"&lt;=100")&gt;=2,"Contract","Deal")</f>
        <v>Deal</v>
      </c>
    </row>
    <row r="1911" spans="1:7" x14ac:dyDescent="0.3">
      <c r="A1911" t="s">
        <v>55</v>
      </c>
      <c r="B1911" t="s">
        <v>7</v>
      </c>
      <c r="C1911" t="s">
        <v>38</v>
      </c>
      <c r="D1911">
        <v>2334.5</v>
      </c>
      <c r="E1911">
        <v>233</v>
      </c>
      <c r="F1911" s="1">
        <v>44953</v>
      </c>
      <c r="G1911" t="str">
        <f>IF(COUNTIFS(Table1_3[Country],Table1_3[[#This Row],[Country]],Table1_3[Product],Table1_3[[#This Row],[Product]],Table1_3[Sales Person],Table1_3[[#This Row],[Sales Person]],Table1_3[Amount],"&lt;=100")&gt;=2,"Contract","Deal")</f>
        <v>Deal</v>
      </c>
    </row>
    <row r="1912" spans="1:7" x14ac:dyDescent="0.3">
      <c r="A1912" t="s">
        <v>55</v>
      </c>
      <c r="B1912" t="s">
        <v>7</v>
      </c>
      <c r="C1912" t="s">
        <v>38</v>
      </c>
      <c r="D1912">
        <v>2513.58</v>
      </c>
      <c r="E1912">
        <v>226</v>
      </c>
      <c r="F1912" s="1">
        <v>45318</v>
      </c>
      <c r="G1912" t="str">
        <f>IF(COUNTIFS(Table1_3[Country],Table1_3[[#This Row],[Country]],Table1_3[Product],Table1_3[[#This Row],[Product]],Table1_3[Sales Person],Table1_3[[#This Row],[Sales Person]],Table1_3[Amount],"&lt;=100")&gt;=2,"Contract","Deal")</f>
        <v>Deal</v>
      </c>
    </row>
    <row r="1913" spans="1:7" x14ac:dyDescent="0.3">
      <c r="A1913" t="s">
        <v>55</v>
      </c>
      <c r="B1913" t="s">
        <v>7</v>
      </c>
      <c r="C1913" t="s">
        <v>60</v>
      </c>
      <c r="D1913">
        <v>7133</v>
      </c>
      <c r="E1913">
        <v>118</v>
      </c>
      <c r="F1913" s="1">
        <v>44575</v>
      </c>
      <c r="G1913" t="str">
        <f>IF(COUNTIFS(Table1_3[Country],Table1_3[[#This Row],[Country]],Table1_3[Product],Table1_3[[#This Row],[Product]],Table1_3[Sales Person],Table1_3[[#This Row],[Sales Person]],Table1_3[Amount],"&lt;=100")&gt;=2,"Contract","Deal")</f>
        <v>Deal</v>
      </c>
    </row>
    <row r="1914" spans="1:7" x14ac:dyDescent="0.3">
      <c r="A1914" t="s">
        <v>55</v>
      </c>
      <c r="B1914" t="s">
        <v>7</v>
      </c>
      <c r="C1914" t="s">
        <v>60</v>
      </c>
      <c r="D1914">
        <v>7189.18</v>
      </c>
      <c r="E1914">
        <v>113</v>
      </c>
      <c r="F1914" s="1">
        <v>44940</v>
      </c>
      <c r="G1914" t="str">
        <f>IF(COUNTIFS(Table1_3[Country],Table1_3[[#This Row],[Country]],Table1_3[Product],Table1_3[[#This Row],[Product]],Table1_3[Sales Person],Table1_3[[#This Row],[Sales Person]],Table1_3[Amount],"&lt;=100")&gt;=2,"Contract","Deal")</f>
        <v>Deal</v>
      </c>
    </row>
    <row r="1915" spans="1:7" x14ac:dyDescent="0.3">
      <c r="A1915" t="s">
        <v>55</v>
      </c>
      <c r="B1915" t="s">
        <v>7</v>
      </c>
      <c r="C1915" t="s">
        <v>60</v>
      </c>
      <c r="D1915">
        <v>8474.69</v>
      </c>
      <c r="E1915">
        <v>115</v>
      </c>
      <c r="F1915" s="1">
        <v>45305</v>
      </c>
      <c r="G1915" t="str">
        <f>IF(COUNTIFS(Table1_3[Country],Table1_3[[#This Row],[Country]],Table1_3[Product],Table1_3[[#This Row],[Product]],Table1_3[Sales Person],Table1_3[[#This Row],[Sales Person]],Table1_3[Amount],"&lt;=100")&gt;=2,"Contract","Deal")</f>
        <v>Deal</v>
      </c>
    </row>
    <row r="1916" spans="1:7" x14ac:dyDescent="0.3">
      <c r="A1916" t="s">
        <v>55</v>
      </c>
      <c r="B1916" t="s">
        <v>7</v>
      </c>
      <c r="C1916" t="s">
        <v>33</v>
      </c>
      <c r="D1916">
        <v>1960</v>
      </c>
      <c r="E1916">
        <v>191</v>
      </c>
      <c r="F1916" s="1">
        <v>44741</v>
      </c>
      <c r="G1916" t="str">
        <f>IF(COUNTIFS(Table1_3[Country],Table1_3[[#This Row],[Country]],Table1_3[Product],Table1_3[[#This Row],[Product]],Table1_3[Sales Person],Table1_3[[#This Row],[Sales Person]],Table1_3[Amount],"&lt;=100")&gt;=2,"Contract","Deal")</f>
        <v>Deal</v>
      </c>
    </row>
    <row r="1917" spans="1:7" x14ac:dyDescent="0.3">
      <c r="A1917" t="s">
        <v>55</v>
      </c>
      <c r="B1917" t="s">
        <v>7</v>
      </c>
      <c r="C1917" t="s">
        <v>33</v>
      </c>
      <c r="D1917">
        <v>2099.2399999999998</v>
      </c>
      <c r="E1917">
        <v>186</v>
      </c>
      <c r="F1917" s="1">
        <v>45106</v>
      </c>
      <c r="G1917" t="str">
        <f>IF(COUNTIFS(Table1_3[Country],Table1_3[[#This Row],[Country]],Table1_3[Product],Table1_3[[#This Row],[Product]],Table1_3[Sales Person],Table1_3[[#This Row],[Sales Person]],Table1_3[Amount],"&lt;=100")&gt;=2,"Contract","Deal")</f>
        <v>Deal</v>
      </c>
    </row>
    <row r="1918" spans="1:7" x14ac:dyDescent="0.3">
      <c r="A1918" t="s">
        <v>55</v>
      </c>
      <c r="B1918" t="s">
        <v>7</v>
      </c>
      <c r="C1918" t="s">
        <v>33</v>
      </c>
      <c r="D1918">
        <v>2252.94</v>
      </c>
      <c r="E1918">
        <v>196</v>
      </c>
      <c r="F1918" s="1">
        <v>45472</v>
      </c>
      <c r="G1918" t="str">
        <f>IF(COUNTIFS(Table1_3[Country],Table1_3[[#This Row],[Country]],Table1_3[Product],Table1_3[[#This Row],[Product]],Table1_3[Sales Person],Table1_3[[#This Row],[Sales Person]],Table1_3[Amount],"&lt;=100")&gt;=2,"Contract","Deal")</f>
        <v>Deal</v>
      </c>
    </row>
    <row r="1919" spans="1:7" x14ac:dyDescent="0.3">
      <c r="A1919" t="s">
        <v>55</v>
      </c>
      <c r="B1919" t="s">
        <v>7</v>
      </c>
      <c r="C1919" t="s">
        <v>42</v>
      </c>
      <c r="D1919">
        <v>2282</v>
      </c>
      <c r="E1919">
        <v>178</v>
      </c>
      <c r="F1919" s="1">
        <v>44651</v>
      </c>
      <c r="G1919" t="str">
        <f>IF(COUNTIFS(Table1_3[Country],Table1_3[[#This Row],[Country]],Table1_3[Product],Table1_3[[#This Row],[Product]],Table1_3[Sales Person],Table1_3[[#This Row],[Sales Person]],Table1_3[Amount],"&lt;=100")&gt;=2,"Contract","Deal")</f>
        <v>Deal</v>
      </c>
    </row>
    <row r="1920" spans="1:7" x14ac:dyDescent="0.3">
      <c r="A1920" t="s">
        <v>55</v>
      </c>
      <c r="B1920" t="s">
        <v>7</v>
      </c>
      <c r="C1920" t="s">
        <v>42</v>
      </c>
      <c r="D1920">
        <v>2508.0300000000002</v>
      </c>
      <c r="E1920">
        <v>175</v>
      </c>
      <c r="F1920" s="1">
        <v>45016</v>
      </c>
      <c r="G1920" t="str">
        <f>IF(COUNTIFS(Table1_3[Country],Table1_3[[#This Row],[Country]],Table1_3[Product],Table1_3[[#This Row],[Product]],Table1_3[Sales Person],Table1_3[[#This Row],[Sales Person]],Table1_3[Amount],"&lt;=100")&gt;=2,"Contract","Deal")</f>
        <v>Deal</v>
      </c>
    </row>
    <row r="1921" spans="1:7" x14ac:dyDescent="0.3">
      <c r="A1921" t="s">
        <v>55</v>
      </c>
      <c r="B1921" t="s">
        <v>7</v>
      </c>
      <c r="C1921" t="s">
        <v>42</v>
      </c>
      <c r="D1921">
        <v>2586.62</v>
      </c>
      <c r="E1921">
        <v>172</v>
      </c>
      <c r="F1921" s="1">
        <v>45382</v>
      </c>
      <c r="G1921" t="str">
        <f>IF(COUNTIFS(Table1_3[Country],Table1_3[[#This Row],[Country]],Table1_3[Product],Table1_3[[#This Row],[Product]],Table1_3[Sales Person],Table1_3[[#This Row],[Sales Person]],Table1_3[Amount],"&lt;=100")&gt;=2,"Contract","Deal")</f>
        <v>Deal</v>
      </c>
    </row>
    <row r="1922" spans="1:7" x14ac:dyDescent="0.3">
      <c r="A1922" t="s">
        <v>55</v>
      </c>
      <c r="B1922" t="s">
        <v>7</v>
      </c>
      <c r="C1922" t="s">
        <v>13</v>
      </c>
      <c r="D1922">
        <v>6272</v>
      </c>
      <c r="E1922">
        <v>86</v>
      </c>
      <c r="F1922" s="1">
        <v>44692</v>
      </c>
      <c r="G1922" t="str">
        <f>IF(COUNTIFS(Table1_3[Country],Table1_3[[#This Row],[Country]],Table1_3[Product],Table1_3[[#This Row],[Product]],Table1_3[Sales Person],Table1_3[[#This Row],[Sales Person]],Table1_3[Amount],"&lt;=100")&gt;=2,"Contract","Deal")</f>
        <v>Deal</v>
      </c>
    </row>
    <row r="1923" spans="1:7" x14ac:dyDescent="0.3">
      <c r="A1923" t="s">
        <v>55</v>
      </c>
      <c r="B1923" t="s">
        <v>7</v>
      </c>
      <c r="C1923" t="s">
        <v>13</v>
      </c>
      <c r="D1923">
        <v>6564.2</v>
      </c>
      <c r="E1923">
        <v>92</v>
      </c>
      <c r="F1923" s="1">
        <v>45057</v>
      </c>
      <c r="G1923" t="str">
        <f>IF(COUNTIFS(Table1_3[Country],Table1_3[[#This Row],[Country]],Table1_3[Product],Table1_3[[#This Row],[Product]],Table1_3[Sales Person],Table1_3[[#This Row],[Sales Person]],Table1_3[Amount],"&lt;=100")&gt;=2,"Contract","Deal")</f>
        <v>Deal</v>
      </c>
    </row>
    <row r="1924" spans="1:7" x14ac:dyDescent="0.3">
      <c r="A1924" t="s">
        <v>55</v>
      </c>
      <c r="B1924" t="s">
        <v>7</v>
      </c>
      <c r="C1924" t="s">
        <v>13</v>
      </c>
      <c r="D1924">
        <v>7477.56</v>
      </c>
      <c r="E1924">
        <v>85</v>
      </c>
      <c r="F1924" s="1">
        <v>45423</v>
      </c>
      <c r="G1924" t="str">
        <f>IF(COUNTIFS(Table1_3[Country],Table1_3[[#This Row],[Country]],Table1_3[Product],Table1_3[[#This Row],[Product]],Table1_3[Sales Person],Table1_3[[#This Row],[Sales Person]],Table1_3[Amount],"&lt;=100")&gt;=2,"Contract","Deal")</f>
        <v>Deal</v>
      </c>
    </row>
    <row r="1925" spans="1:7" x14ac:dyDescent="0.3">
      <c r="A1925" t="s">
        <v>55</v>
      </c>
      <c r="B1925" t="s">
        <v>7</v>
      </c>
      <c r="C1925" t="s">
        <v>18</v>
      </c>
      <c r="D1925">
        <v>9016</v>
      </c>
      <c r="E1925">
        <v>554</v>
      </c>
      <c r="F1925" s="1">
        <v>44720</v>
      </c>
      <c r="G1925" t="str">
        <f>IF(COUNTIFS(Table1_3[Country],Table1_3[[#This Row],[Country]],Table1_3[Product],Table1_3[[#This Row],[Product]],Table1_3[Sales Person],Table1_3[[#This Row],[Sales Person]],Table1_3[Amount],"&lt;=100")&gt;=2,"Contract","Deal")</f>
        <v>Deal</v>
      </c>
    </row>
    <row r="1926" spans="1:7" x14ac:dyDescent="0.3">
      <c r="A1926" t="s">
        <v>55</v>
      </c>
      <c r="B1926" t="s">
        <v>7</v>
      </c>
      <c r="C1926" t="s">
        <v>18</v>
      </c>
      <c r="D1926">
        <v>9928.1</v>
      </c>
      <c r="E1926">
        <v>599</v>
      </c>
      <c r="F1926" s="1">
        <v>45085</v>
      </c>
      <c r="G1926" t="str">
        <f>IF(COUNTIFS(Table1_3[Country],Table1_3[[#This Row],[Country]],Table1_3[Product],Table1_3[[#This Row],[Product]],Table1_3[Sales Person],Table1_3[[#This Row],[Sales Person]],Table1_3[Amount],"&lt;=100")&gt;=2,"Contract","Deal")</f>
        <v>Deal</v>
      </c>
    </row>
    <row r="1927" spans="1:7" x14ac:dyDescent="0.3">
      <c r="A1927" t="s">
        <v>55</v>
      </c>
      <c r="B1927" t="s">
        <v>7</v>
      </c>
      <c r="C1927" t="s">
        <v>18</v>
      </c>
      <c r="D1927">
        <v>9571.2999999999993</v>
      </c>
      <c r="E1927">
        <v>594</v>
      </c>
      <c r="F1927" s="1">
        <v>45451</v>
      </c>
      <c r="G1927" t="str">
        <f>IF(COUNTIFS(Table1_3[Country],Table1_3[[#This Row],[Country]],Table1_3[Product],Table1_3[[#This Row],[Product]],Table1_3[Sales Person],Table1_3[[#This Row],[Sales Person]],Table1_3[Amount],"&lt;=100")&gt;=2,"Contract","Deal")</f>
        <v>Deal</v>
      </c>
    </row>
    <row r="1928" spans="1:7" x14ac:dyDescent="0.3">
      <c r="A1928" t="s">
        <v>55</v>
      </c>
      <c r="B1928" t="s">
        <v>32</v>
      </c>
      <c r="C1928" t="s">
        <v>26</v>
      </c>
      <c r="D1928">
        <v>70</v>
      </c>
      <c r="E1928">
        <v>27</v>
      </c>
      <c r="F1928" s="1">
        <v>44776</v>
      </c>
      <c r="G1928" t="str">
        <f>IF(COUNTIFS(Table1_3[Country],Table1_3[[#This Row],[Country]],Table1_3[Product],Table1_3[[#This Row],[Product]],Table1_3[Sales Person],Table1_3[[#This Row],[Sales Person]],Table1_3[Amount],"&lt;=100")&gt;=2,"Contract","Deal")</f>
        <v>Contract</v>
      </c>
    </row>
    <row r="1929" spans="1:7" x14ac:dyDescent="0.3">
      <c r="A1929" t="s">
        <v>55</v>
      </c>
      <c r="B1929" t="s">
        <v>32</v>
      </c>
      <c r="C1929" t="s">
        <v>26</v>
      </c>
      <c r="D1929">
        <v>70.599999999999994</v>
      </c>
      <c r="E1929">
        <v>27</v>
      </c>
      <c r="F1929" s="1">
        <v>45141</v>
      </c>
      <c r="G1929" t="str">
        <f>IF(COUNTIFS(Table1_3[Country],Table1_3[[#This Row],[Country]],Table1_3[Product],Table1_3[[#This Row],[Product]],Table1_3[Sales Person],Table1_3[[#This Row],[Sales Person]],Table1_3[Amount],"&lt;=100")&gt;=2,"Contract","Deal")</f>
        <v>Contract</v>
      </c>
    </row>
    <row r="1930" spans="1:7" x14ac:dyDescent="0.3">
      <c r="A1930" t="s">
        <v>55</v>
      </c>
      <c r="B1930" t="s">
        <v>32</v>
      </c>
      <c r="C1930" t="s">
        <v>26</v>
      </c>
      <c r="D1930">
        <v>77.099999999999994</v>
      </c>
      <c r="E1930">
        <v>26</v>
      </c>
      <c r="F1930" s="1">
        <v>45507</v>
      </c>
      <c r="G1930" t="str">
        <f>IF(COUNTIFS(Table1_3[Country],Table1_3[[#This Row],[Country]],Table1_3[Product],Table1_3[[#This Row],[Product]],Table1_3[Sales Person],Table1_3[[#This Row],[Sales Person]],Table1_3[Amount],"&lt;=100")&gt;=2,"Contract","Deal")</f>
        <v>Contract</v>
      </c>
    </row>
    <row r="1931" spans="1:7" x14ac:dyDescent="0.3">
      <c r="A1931" t="s">
        <v>55</v>
      </c>
      <c r="B1931" t="s">
        <v>32</v>
      </c>
      <c r="C1931" t="s">
        <v>100</v>
      </c>
      <c r="D1931">
        <v>4018</v>
      </c>
      <c r="E1931">
        <v>100</v>
      </c>
      <c r="F1931" s="1">
        <v>44693</v>
      </c>
      <c r="G1931" t="str">
        <f>IF(COUNTIFS(Table1_3[Country],Table1_3[[#This Row],[Country]],Table1_3[Product],Table1_3[[#This Row],[Product]],Table1_3[Sales Person],Table1_3[[#This Row],[Sales Person]],Table1_3[Amount],"&lt;=100")&gt;=2,"Contract","Deal")</f>
        <v>Deal</v>
      </c>
    </row>
    <row r="1932" spans="1:7" x14ac:dyDescent="0.3">
      <c r="A1932" t="s">
        <v>55</v>
      </c>
      <c r="B1932" t="s">
        <v>32</v>
      </c>
      <c r="C1932" t="s">
        <v>100</v>
      </c>
      <c r="D1932">
        <v>4199.84</v>
      </c>
      <c r="E1932">
        <v>107</v>
      </c>
      <c r="F1932" s="1">
        <v>45058</v>
      </c>
      <c r="G1932" t="str">
        <f>IF(COUNTIFS(Table1_3[Country],Table1_3[[#This Row],[Country]],Table1_3[Product],Table1_3[[#This Row],[Product]],Table1_3[Sales Person],Table1_3[[#This Row],[Sales Person]],Table1_3[Amount],"&lt;=100")&gt;=2,"Contract","Deal")</f>
        <v>Deal</v>
      </c>
    </row>
    <row r="1933" spans="1:7" x14ac:dyDescent="0.3">
      <c r="A1933" t="s">
        <v>55</v>
      </c>
      <c r="B1933" t="s">
        <v>32</v>
      </c>
      <c r="C1933" t="s">
        <v>100</v>
      </c>
      <c r="D1933">
        <v>4672.25</v>
      </c>
      <c r="E1933">
        <v>103</v>
      </c>
      <c r="F1933" s="1">
        <v>45424</v>
      </c>
      <c r="G1933" t="str">
        <f>IF(COUNTIFS(Table1_3[Country],Table1_3[[#This Row],[Country]],Table1_3[Product],Table1_3[[#This Row],[Product]],Table1_3[Sales Person],Table1_3[[#This Row],[Sales Person]],Table1_3[Amount],"&lt;=100")&gt;=2,"Contract","Deal")</f>
        <v>Deal</v>
      </c>
    </row>
    <row r="1934" spans="1:7" x14ac:dyDescent="0.3">
      <c r="A1934" t="s">
        <v>55</v>
      </c>
      <c r="B1934" t="s">
        <v>32</v>
      </c>
      <c r="C1934" t="s">
        <v>11</v>
      </c>
      <c r="D1934">
        <v>483</v>
      </c>
      <c r="E1934">
        <v>259</v>
      </c>
      <c r="F1934" s="1">
        <v>44734</v>
      </c>
      <c r="G1934" t="str">
        <f>IF(COUNTIFS(Table1_3[Country],Table1_3[[#This Row],[Country]],Table1_3[Product],Table1_3[[#This Row],[Product]],Table1_3[Sales Person],Table1_3[[#This Row],[Sales Person]],Table1_3[Amount],"&lt;=100")&gt;=2,"Contract","Deal")</f>
        <v>Deal</v>
      </c>
    </row>
    <row r="1935" spans="1:7" x14ac:dyDescent="0.3">
      <c r="A1935" t="s">
        <v>55</v>
      </c>
      <c r="B1935" t="s">
        <v>32</v>
      </c>
      <c r="C1935" t="s">
        <v>11</v>
      </c>
      <c r="D1935">
        <v>538.03</v>
      </c>
      <c r="E1935">
        <v>271</v>
      </c>
      <c r="F1935" s="1">
        <v>45099</v>
      </c>
      <c r="G1935" t="str">
        <f>IF(COUNTIFS(Table1_3[Country],Table1_3[[#This Row],[Country]],Table1_3[Product],Table1_3[[#This Row],[Product]],Table1_3[Sales Person],Table1_3[[#This Row],[Sales Person]],Table1_3[Amount],"&lt;=100")&gt;=2,"Contract","Deal")</f>
        <v>Deal</v>
      </c>
    </row>
    <row r="1936" spans="1:7" x14ac:dyDescent="0.3">
      <c r="A1936" t="s">
        <v>55</v>
      </c>
      <c r="B1936" t="s">
        <v>32</v>
      </c>
      <c r="C1936" t="s">
        <v>11</v>
      </c>
      <c r="D1936">
        <v>564.66999999999996</v>
      </c>
      <c r="E1936">
        <v>256</v>
      </c>
      <c r="F1936" s="1">
        <v>45465</v>
      </c>
      <c r="G1936" t="str">
        <f>IF(COUNTIFS(Table1_3[Country],Table1_3[[#This Row],[Country]],Table1_3[Product],Table1_3[[#This Row],[Product]],Table1_3[Sales Person],Table1_3[[#This Row],[Sales Person]],Table1_3[Amount],"&lt;=100")&gt;=2,"Contract","Deal")</f>
        <v>Deal</v>
      </c>
    </row>
    <row r="1937" spans="1:7" x14ac:dyDescent="0.3">
      <c r="A1937" t="s">
        <v>55</v>
      </c>
      <c r="B1937" t="s">
        <v>32</v>
      </c>
      <c r="C1937" t="s">
        <v>90</v>
      </c>
      <c r="D1937">
        <v>5593</v>
      </c>
      <c r="E1937">
        <v>122</v>
      </c>
      <c r="F1937" s="1">
        <v>44763</v>
      </c>
      <c r="G1937" t="str">
        <f>IF(COUNTIFS(Table1_3[Country],Table1_3[[#This Row],[Country]],Table1_3[Product],Table1_3[[#This Row],[Product]],Table1_3[Sales Person],Table1_3[[#This Row],[Sales Person]],Table1_3[Amount],"&lt;=100")&gt;=2,"Contract","Deal")</f>
        <v>Deal</v>
      </c>
    </row>
    <row r="1938" spans="1:7" x14ac:dyDescent="0.3">
      <c r="A1938" t="s">
        <v>55</v>
      </c>
      <c r="B1938" t="s">
        <v>32</v>
      </c>
      <c r="C1938" t="s">
        <v>90</v>
      </c>
      <c r="D1938">
        <v>6318.7</v>
      </c>
      <c r="E1938">
        <v>124</v>
      </c>
      <c r="F1938" s="1">
        <v>45128</v>
      </c>
      <c r="G1938" t="str">
        <f>IF(COUNTIFS(Table1_3[Country],Table1_3[[#This Row],[Country]],Table1_3[Product],Table1_3[[#This Row],[Product]],Table1_3[Sales Person],Table1_3[[#This Row],[Sales Person]],Table1_3[Amount],"&lt;=100")&gt;=2,"Contract","Deal")</f>
        <v>Deal</v>
      </c>
    </row>
    <row r="1939" spans="1:7" x14ac:dyDescent="0.3">
      <c r="A1939" t="s">
        <v>55</v>
      </c>
      <c r="B1939" t="s">
        <v>32</v>
      </c>
      <c r="C1939" t="s">
        <v>90</v>
      </c>
      <c r="D1939">
        <v>6143.64</v>
      </c>
      <c r="E1939">
        <v>117</v>
      </c>
      <c r="F1939" s="1">
        <v>45494</v>
      </c>
      <c r="G1939" t="str">
        <f>IF(COUNTIFS(Table1_3[Country],Table1_3[[#This Row],[Country]],Table1_3[Product],Table1_3[[#This Row],[Product]],Table1_3[Sales Person],Table1_3[[#This Row],[Sales Person]],Table1_3[Amount],"&lt;=100")&gt;=2,"Contract","Deal")</f>
        <v>Deal</v>
      </c>
    </row>
    <row r="1940" spans="1:7" x14ac:dyDescent="0.3">
      <c r="A1940" t="s">
        <v>55</v>
      </c>
      <c r="B1940" t="s">
        <v>32</v>
      </c>
      <c r="C1940" t="s">
        <v>36</v>
      </c>
      <c r="D1940">
        <v>7623</v>
      </c>
      <c r="E1940">
        <v>10</v>
      </c>
      <c r="F1940" s="1">
        <v>44795</v>
      </c>
      <c r="G1940" t="str">
        <f>IF(COUNTIFS(Table1_3[Country],Table1_3[[#This Row],[Country]],Table1_3[Product],Table1_3[[#This Row],[Product]],Table1_3[Sales Person],Table1_3[[#This Row],[Sales Person]],Table1_3[Amount],"&lt;=100")&gt;=2,"Contract","Deal")</f>
        <v>Deal</v>
      </c>
    </row>
    <row r="1941" spans="1:7" x14ac:dyDescent="0.3">
      <c r="A1941" t="s">
        <v>55</v>
      </c>
      <c r="B1941" t="s">
        <v>32</v>
      </c>
      <c r="C1941" t="s">
        <v>36</v>
      </c>
      <c r="D1941">
        <v>7799.51</v>
      </c>
      <c r="E1941">
        <v>10</v>
      </c>
      <c r="F1941" s="1">
        <v>45160</v>
      </c>
      <c r="G1941" t="str">
        <f>IF(COUNTIFS(Table1_3[Country],Table1_3[[#This Row],[Country]],Table1_3[Product],Table1_3[[#This Row],[Product]],Table1_3[Sales Person],Table1_3[[#This Row],[Sales Person]],Table1_3[Amount],"&lt;=100")&gt;=2,"Contract","Deal")</f>
        <v>Deal</v>
      </c>
    </row>
    <row r="1942" spans="1:7" x14ac:dyDescent="0.3">
      <c r="A1942" t="s">
        <v>55</v>
      </c>
      <c r="B1942" t="s">
        <v>32</v>
      </c>
      <c r="C1942" t="s">
        <v>36</v>
      </c>
      <c r="D1942">
        <v>7978.76</v>
      </c>
      <c r="E1942">
        <v>10</v>
      </c>
      <c r="F1942" s="1">
        <v>45526</v>
      </c>
      <c r="G1942" t="str">
        <f>IF(COUNTIFS(Table1_3[Country],Table1_3[[#This Row],[Country]],Table1_3[Product],Table1_3[[#This Row],[Product]],Table1_3[Sales Person],Table1_3[[#This Row],[Sales Person]],Table1_3[Amount],"&lt;=100")&gt;=2,"Contract","Deal")</f>
        <v>Deal</v>
      </c>
    </row>
    <row r="1943" spans="1:7" x14ac:dyDescent="0.3">
      <c r="A1943" t="s">
        <v>55</v>
      </c>
      <c r="B1943" t="s">
        <v>32</v>
      </c>
      <c r="C1943" t="s">
        <v>46</v>
      </c>
      <c r="D1943">
        <v>15491</v>
      </c>
      <c r="E1943">
        <v>58</v>
      </c>
      <c r="F1943" s="1">
        <v>44727</v>
      </c>
      <c r="G1943" t="str">
        <f>IF(COUNTIFS(Table1_3[Country],Table1_3[[#This Row],[Country]],Table1_3[Product],Table1_3[[#This Row],[Product]],Table1_3[Sales Person],Table1_3[[#This Row],[Sales Person]],Table1_3[Amount],"&lt;=100")&gt;=2,"Contract","Deal")</f>
        <v>Deal</v>
      </c>
    </row>
    <row r="1944" spans="1:7" x14ac:dyDescent="0.3">
      <c r="A1944" t="s">
        <v>55</v>
      </c>
      <c r="B1944" t="s">
        <v>32</v>
      </c>
      <c r="C1944" t="s">
        <v>46</v>
      </c>
      <c r="D1944">
        <v>16253.25</v>
      </c>
      <c r="E1944">
        <v>58</v>
      </c>
      <c r="F1944" s="1">
        <v>45092</v>
      </c>
      <c r="G1944" t="str">
        <f>IF(COUNTIFS(Table1_3[Country],Table1_3[[#This Row],[Country]],Table1_3[Product],Table1_3[[#This Row],[Product]],Table1_3[Sales Person],Table1_3[[#This Row],[Sales Person]],Table1_3[Amount],"&lt;=100")&gt;=2,"Contract","Deal")</f>
        <v>Deal</v>
      </c>
    </row>
    <row r="1945" spans="1:7" x14ac:dyDescent="0.3">
      <c r="A1945" t="s">
        <v>55</v>
      </c>
      <c r="B1945" t="s">
        <v>32</v>
      </c>
      <c r="C1945" t="s">
        <v>46</v>
      </c>
      <c r="D1945">
        <v>18389.099999999999</v>
      </c>
      <c r="E1945">
        <v>62</v>
      </c>
      <c r="F1945" s="1">
        <v>45458</v>
      </c>
      <c r="G1945" t="str">
        <f>IF(COUNTIFS(Table1_3[Country],Table1_3[[#This Row],[Country]],Table1_3[Product],Table1_3[[#This Row],[Product]],Table1_3[Sales Person],Table1_3[[#This Row],[Sales Person]],Table1_3[Amount],"&lt;=100")&gt;=2,"Contract","Deal")</f>
        <v>Deal</v>
      </c>
    </row>
    <row r="1946" spans="1:7" x14ac:dyDescent="0.3">
      <c r="A1946" t="s">
        <v>55</v>
      </c>
      <c r="B1946" t="s">
        <v>32</v>
      </c>
      <c r="C1946" t="s">
        <v>42</v>
      </c>
      <c r="D1946">
        <v>2380</v>
      </c>
      <c r="E1946">
        <v>22</v>
      </c>
      <c r="F1946" s="1">
        <v>44631</v>
      </c>
      <c r="G1946" t="str">
        <f>IF(COUNTIFS(Table1_3[Country],Table1_3[[#This Row],[Country]],Table1_3[Product],Table1_3[[#This Row],[Product]],Table1_3[Sales Person],Table1_3[[#This Row],[Sales Person]],Table1_3[Amount],"&lt;=100")&gt;=2,"Contract","Deal")</f>
        <v>Deal</v>
      </c>
    </row>
    <row r="1947" spans="1:7" x14ac:dyDescent="0.3">
      <c r="A1947" t="s">
        <v>55</v>
      </c>
      <c r="B1947" t="s">
        <v>32</v>
      </c>
      <c r="C1947" t="s">
        <v>42</v>
      </c>
      <c r="D1947">
        <v>2638.76</v>
      </c>
      <c r="E1947">
        <v>24</v>
      </c>
      <c r="F1947" s="1">
        <v>44996</v>
      </c>
      <c r="G1947" t="str">
        <f>IF(COUNTIFS(Table1_3[Country],Table1_3[[#This Row],[Country]],Table1_3[Product],Table1_3[[#This Row],[Product]],Table1_3[Sales Person],Table1_3[[#This Row],[Sales Person]],Table1_3[Amount],"&lt;=100")&gt;=2,"Contract","Deal")</f>
        <v>Deal</v>
      </c>
    </row>
    <row r="1948" spans="1:7" x14ac:dyDescent="0.3">
      <c r="A1948" t="s">
        <v>55</v>
      </c>
      <c r="B1948" t="s">
        <v>32</v>
      </c>
      <c r="C1948" t="s">
        <v>42</v>
      </c>
      <c r="D1948">
        <v>2518.5</v>
      </c>
      <c r="E1948">
        <v>24</v>
      </c>
      <c r="F1948" s="1">
        <v>45362</v>
      </c>
      <c r="G1948" t="str">
        <f>IF(COUNTIFS(Table1_3[Country],Table1_3[[#This Row],[Country]],Table1_3[Product],Table1_3[[#This Row],[Product]],Table1_3[Sales Person],Table1_3[[#This Row],[Sales Person]],Table1_3[Amount],"&lt;=100")&gt;=2,"Contract","Deal")</f>
        <v>Deal</v>
      </c>
    </row>
    <row r="1949" spans="1:7" x14ac:dyDescent="0.3">
      <c r="A1949" t="s">
        <v>55</v>
      </c>
      <c r="B1949" t="s">
        <v>32</v>
      </c>
      <c r="C1949" t="s">
        <v>13</v>
      </c>
      <c r="D1949">
        <v>6790</v>
      </c>
      <c r="E1949">
        <v>188</v>
      </c>
      <c r="F1949" s="1">
        <v>44608</v>
      </c>
      <c r="G1949" t="str">
        <f>IF(COUNTIFS(Table1_3[Country],Table1_3[[#This Row],[Country]],Table1_3[Product],Table1_3[[#This Row],[Product]],Table1_3[Sales Person],Table1_3[[#This Row],[Sales Person]],Table1_3[Amount],"&lt;=100")&gt;=2,"Contract","Deal")</f>
        <v>Deal</v>
      </c>
    </row>
    <row r="1950" spans="1:7" x14ac:dyDescent="0.3">
      <c r="A1950" t="s">
        <v>55</v>
      </c>
      <c r="B1950" t="s">
        <v>32</v>
      </c>
      <c r="C1950" t="s">
        <v>13</v>
      </c>
      <c r="D1950">
        <v>6981.4</v>
      </c>
      <c r="E1950">
        <v>189</v>
      </c>
      <c r="F1950" s="1">
        <v>44973</v>
      </c>
      <c r="G1950" t="str">
        <f>IF(COUNTIFS(Table1_3[Country],Table1_3[[#This Row],[Country]],Table1_3[Product],Table1_3[[#This Row],[Product]],Table1_3[Sales Person],Table1_3[[#This Row],[Sales Person]],Table1_3[Amount],"&lt;=100")&gt;=2,"Contract","Deal")</f>
        <v>Deal</v>
      </c>
    </row>
    <row r="1951" spans="1:7" x14ac:dyDescent="0.3">
      <c r="A1951" t="s">
        <v>55</v>
      </c>
      <c r="B1951" t="s">
        <v>32</v>
      </c>
      <c r="C1951" t="s">
        <v>13</v>
      </c>
      <c r="D1951">
        <v>7568.16</v>
      </c>
      <c r="E1951">
        <v>206</v>
      </c>
      <c r="F1951" s="1">
        <v>45338</v>
      </c>
      <c r="G1951" t="str">
        <f>IF(COUNTIFS(Table1_3[Country],Table1_3[[#This Row],[Country]],Table1_3[Product],Table1_3[[#This Row],[Product]],Table1_3[Sales Person],Table1_3[[#This Row],[Sales Person]],Table1_3[Amount],"&lt;=100")&gt;=2,"Contract","Deal")</f>
        <v>Deal</v>
      </c>
    </row>
    <row r="1952" spans="1:7" x14ac:dyDescent="0.3">
      <c r="A1952" t="s">
        <v>55</v>
      </c>
      <c r="B1952" t="s">
        <v>32</v>
      </c>
      <c r="C1952" t="s">
        <v>50</v>
      </c>
      <c r="D1952">
        <v>2107</v>
      </c>
      <c r="E1952">
        <v>175</v>
      </c>
      <c r="F1952" s="1">
        <v>44725</v>
      </c>
      <c r="G1952" t="str">
        <f>IF(COUNTIFS(Table1_3[Country],Table1_3[[#This Row],[Country]],Table1_3[Product],Table1_3[[#This Row],[Product]],Table1_3[Sales Person],Table1_3[[#This Row],[Sales Person]],Table1_3[Amount],"&lt;=100")&gt;=2,"Contract","Deal")</f>
        <v>Deal</v>
      </c>
    </row>
    <row r="1953" spans="1:7" x14ac:dyDescent="0.3">
      <c r="A1953" t="s">
        <v>55</v>
      </c>
      <c r="B1953" t="s">
        <v>32</v>
      </c>
      <c r="C1953" t="s">
        <v>50</v>
      </c>
      <c r="D1953">
        <v>2333.84</v>
      </c>
      <c r="E1953">
        <v>171</v>
      </c>
      <c r="F1953" s="1">
        <v>45090</v>
      </c>
      <c r="G1953" t="str">
        <f>IF(COUNTIFS(Table1_3[Country],Table1_3[[#This Row],[Country]],Table1_3[Product],Table1_3[[#This Row],[Product]],Table1_3[Sales Person],Table1_3[[#This Row],[Sales Person]],Table1_3[Amount],"&lt;=100")&gt;=2,"Contract","Deal")</f>
        <v>Deal</v>
      </c>
    </row>
    <row r="1954" spans="1:7" x14ac:dyDescent="0.3">
      <c r="A1954" t="s">
        <v>55</v>
      </c>
      <c r="B1954" t="s">
        <v>32</v>
      </c>
      <c r="C1954" t="s">
        <v>50</v>
      </c>
      <c r="D1954">
        <v>2319.1</v>
      </c>
      <c r="E1954">
        <v>189</v>
      </c>
      <c r="F1954" s="1">
        <v>45456</v>
      </c>
      <c r="G1954" t="str">
        <f>IF(COUNTIFS(Table1_3[Country],Table1_3[[#This Row],[Country]],Table1_3[Product],Table1_3[[#This Row],[Product]],Table1_3[Sales Person],Table1_3[[#This Row],[Sales Person]],Table1_3[Amount],"&lt;=100")&gt;=2,"Contract","Deal")</f>
        <v>Deal</v>
      </c>
    </row>
    <row r="1955" spans="1:7" x14ac:dyDescent="0.3">
      <c r="A1955" t="s">
        <v>37</v>
      </c>
      <c r="B1955" t="s">
        <v>15</v>
      </c>
      <c r="C1955" t="s">
        <v>26</v>
      </c>
      <c r="D1955">
        <v>6678</v>
      </c>
      <c r="E1955">
        <v>708</v>
      </c>
      <c r="F1955" s="1">
        <v>44578</v>
      </c>
      <c r="G1955" t="str">
        <f>IF(COUNTIFS(Table1_3[Country],Table1_3[[#This Row],[Country]],Table1_3[Product],Table1_3[[#This Row],[Product]],Table1_3[Sales Person],Table1_3[[#This Row],[Sales Person]],Table1_3[Amount],"&lt;=100")&gt;=2,"Contract","Deal")</f>
        <v>Deal</v>
      </c>
    </row>
    <row r="1956" spans="1:7" x14ac:dyDescent="0.3">
      <c r="A1956" t="s">
        <v>37</v>
      </c>
      <c r="B1956" t="s">
        <v>15</v>
      </c>
      <c r="C1956" t="s">
        <v>26</v>
      </c>
      <c r="D1956">
        <v>7355.77</v>
      </c>
      <c r="E1956">
        <v>772</v>
      </c>
      <c r="F1956" s="1">
        <v>44943</v>
      </c>
      <c r="G1956" t="str">
        <f>IF(COUNTIFS(Table1_3[Country],Table1_3[[#This Row],[Country]],Table1_3[Product],Table1_3[[#This Row],[Product]],Table1_3[Sales Person],Table1_3[[#This Row],[Sales Person]],Table1_3[Amount],"&lt;=100")&gt;=2,"Contract","Deal")</f>
        <v>Deal</v>
      </c>
    </row>
    <row r="1957" spans="1:7" x14ac:dyDescent="0.3">
      <c r="A1957" t="s">
        <v>37</v>
      </c>
      <c r="B1957" t="s">
        <v>15</v>
      </c>
      <c r="C1957" t="s">
        <v>26</v>
      </c>
      <c r="D1957">
        <v>7642.94</v>
      </c>
      <c r="E1957">
        <v>778</v>
      </c>
      <c r="F1957" s="1">
        <v>45308</v>
      </c>
      <c r="G1957" t="str">
        <f>IF(COUNTIFS(Table1_3[Country],Table1_3[[#This Row],[Country]],Table1_3[Product],Table1_3[[#This Row],[Product]],Table1_3[Sales Person],Table1_3[[#This Row],[Sales Person]],Table1_3[Amount],"&lt;=100")&gt;=2,"Contract","Deal")</f>
        <v>Deal</v>
      </c>
    </row>
    <row r="1958" spans="1:7" x14ac:dyDescent="0.3">
      <c r="A1958" t="s">
        <v>37</v>
      </c>
      <c r="B1958" t="s">
        <v>15</v>
      </c>
      <c r="C1958" t="s">
        <v>100</v>
      </c>
      <c r="D1958">
        <v>238</v>
      </c>
      <c r="E1958">
        <v>317</v>
      </c>
      <c r="F1958" s="1">
        <v>44736</v>
      </c>
      <c r="G1958" t="str">
        <f>IF(COUNTIFS(Table1_3[Country],Table1_3[[#This Row],[Country]],Table1_3[Product],Table1_3[[#This Row],[Product]],Table1_3[Sales Person],Table1_3[[#This Row],[Sales Person]],Table1_3[Amount],"&lt;=100")&gt;=2,"Contract","Deal")</f>
        <v>Deal</v>
      </c>
    </row>
    <row r="1959" spans="1:7" x14ac:dyDescent="0.3">
      <c r="A1959" t="s">
        <v>37</v>
      </c>
      <c r="B1959" t="s">
        <v>15</v>
      </c>
      <c r="C1959" t="s">
        <v>100</v>
      </c>
      <c r="D1959">
        <v>237.57</v>
      </c>
      <c r="E1959">
        <v>311</v>
      </c>
      <c r="F1959" s="1">
        <v>45101</v>
      </c>
      <c r="G1959" t="str">
        <f>IF(COUNTIFS(Table1_3[Country],Table1_3[[#This Row],[Country]],Table1_3[Product],Table1_3[[#This Row],[Product]],Table1_3[Sales Person],Table1_3[[#This Row],[Sales Person]],Table1_3[Amount],"&lt;=100")&gt;=2,"Contract","Deal")</f>
        <v>Deal</v>
      </c>
    </row>
    <row r="1960" spans="1:7" x14ac:dyDescent="0.3">
      <c r="A1960" t="s">
        <v>37</v>
      </c>
      <c r="B1960" t="s">
        <v>15</v>
      </c>
      <c r="C1960" t="s">
        <v>100</v>
      </c>
      <c r="D1960">
        <v>278.77999999999997</v>
      </c>
      <c r="E1960">
        <v>332</v>
      </c>
      <c r="F1960" s="1">
        <v>45467</v>
      </c>
      <c r="G1960" t="str">
        <f>IF(COUNTIFS(Table1_3[Country],Table1_3[[#This Row],[Country]],Table1_3[Product],Table1_3[[#This Row],[Product]],Table1_3[Sales Person],Table1_3[[#This Row],[Sales Person]],Table1_3[Amount],"&lt;=100")&gt;=2,"Contract","Deal")</f>
        <v>Deal</v>
      </c>
    </row>
    <row r="1961" spans="1:7" x14ac:dyDescent="0.3">
      <c r="A1961" t="s">
        <v>37</v>
      </c>
      <c r="B1961" t="s">
        <v>15</v>
      </c>
      <c r="C1961" t="s">
        <v>20</v>
      </c>
      <c r="D1961">
        <v>10822</v>
      </c>
      <c r="E1961">
        <v>168</v>
      </c>
      <c r="F1961" s="1">
        <v>44587</v>
      </c>
      <c r="G1961" t="str">
        <f>IF(COUNTIFS(Table1_3[Country],Table1_3[[#This Row],[Country]],Table1_3[Product],Table1_3[[#This Row],[Product]],Table1_3[Sales Person],Table1_3[[#This Row],[Sales Person]],Table1_3[Amount],"&lt;=100")&gt;=2,"Contract","Deal")</f>
        <v>Deal</v>
      </c>
    </row>
    <row r="1962" spans="1:7" x14ac:dyDescent="0.3">
      <c r="A1962" t="s">
        <v>37</v>
      </c>
      <c r="B1962" t="s">
        <v>15</v>
      </c>
      <c r="C1962" t="s">
        <v>20</v>
      </c>
      <c r="D1962">
        <v>11303.07</v>
      </c>
      <c r="E1962">
        <v>166</v>
      </c>
      <c r="F1962" s="1">
        <v>44952</v>
      </c>
      <c r="G1962" t="str">
        <f>IF(COUNTIFS(Table1_3[Country],Table1_3[[#This Row],[Country]],Table1_3[Product],Table1_3[[#This Row],[Product]],Table1_3[Sales Person],Table1_3[[#This Row],[Sales Person]],Table1_3[Amount],"&lt;=100")&gt;=2,"Contract","Deal")</f>
        <v>Deal</v>
      </c>
    </row>
    <row r="1963" spans="1:7" x14ac:dyDescent="0.3">
      <c r="A1963" t="s">
        <v>37</v>
      </c>
      <c r="B1963" t="s">
        <v>15</v>
      </c>
      <c r="C1963" t="s">
        <v>20</v>
      </c>
      <c r="D1963">
        <v>12285.41</v>
      </c>
      <c r="E1963">
        <v>175</v>
      </c>
      <c r="F1963" s="1">
        <v>45317</v>
      </c>
      <c r="G1963" t="str">
        <f>IF(COUNTIFS(Table1_3[Country],Table1_3[[#This Row],[Country]],Table1_3[Product],Table1_3[[#This Row],[Product]],Table1_3[Sales Person],Table1_3[[#This Row],[Sales Person]],Table1_3[Amount],"&lt;=100")&gt;=2,"Contract","Deal")</f>
        <v>Deal</v>
      </c>
    </row>
    <row r="1964" spans="1:7" x14ac:dyDescent="0.3">
      <c r="A1964" t="s">
        <v>37</v>
      </c>
      <c r="B1964" t="s">
        <v>15</v>
      </c>
      <c r="C1964" t="s">
        <v>23</v>
      </c>
      <c r="D1964">
        <v>2303</v>
      </c>
      <c r="E1964">
        <v>67</v>
      </c>
      <c r="F1964" s="1">
        <v>44784</v>
      </c>
      <c r="G1964" t="str">
        <f>IF(COUNTIFS(Table1_3[Country],Table1_3[[#This Row],[Country]],Table1_3[Product],Table1_3[[#This Row],[Product]],Table1_3[Sales Person],Table1_3[[#This Row],[Sales Person]],Table1_3[Amount],"&lt;=100")&gt;=2,"Contract","Deal")</f>
        <v>Deal</v>
      </c>
    </row>
    <row r="1965" spans="1:7" x14ac:dyDescent="0.3">
      <c r="A1965" t="s">
        <v>37</v>
      </c>
      <c r="B1965" t="s">
        <v>15</v>
      </c>
      <c r="C1965" t="s">
        <v>23</v>
      </c>
      <c r="D1965">
        <v>2483.3200000000002</v>
      </c>
      <c r="E1965">
        <v>65</v>
      </c>
      <c r="F1965" s="1">
        <v>45149</v>
      </c>
      <c r="G1965" t="str">
        <f>IF(COUNTIFS(Table1_3[Country],Table1_3[[#This Row],[Country]],Table1_3[Product],Table1_3[[#This Row],[Product]],Table1_3[Sales Person],Table1_3[[#This Row],[Sales Person]],Table1_3[Amount],"&lt;=100")&gt;=2,"Contract","Deal")</f>
        <v>Deal</v>
      </c>
    </row>
    <row r="1966" spans="1:7" x14ac:dyDescent="0.3">
      <c r="A1966" t="s">
        <v>37</v>
      </c>
      <c r="B1966" t="s">
        <v>15</v>
      </c>
      <c r="C1966" t="s">
        <v>23</v>
      </c>
      <c r="D1966">
        <v>2528.14</v>
      </c>
      <c r="E1966">
        <v>67</v>
      </c>
      <c r="F1966" s="1">
        <v>45515</v>
      </c>
      <c r="G1966" t="str">
        <f>IF(COUNTIFS(Table1_3[Country],Table1_3[[#This Row],[Country]],Table1_3[Product],Table1_3[[#This Row],[Product]],Table1_3[Sales Person],Table1_3[[#This Row],[Sales Person]],Table1_3[Amount],"&lt;=100")&gt;=2,"Contract","Deal")</f>
        <v>Deal</v>
      </c>
    </row>
    <row r="1967" spans="1:7" x14ac:dyDescent="0.3">
      <c r="A1967" t="s">
        <v>37</v>
      </c>
      <c r="B1967" t="s">
        <v>15</v>
      </c>
      <c r="C1967" t="s">
        <v>65</v>
      </c>
      <c r="D1967">
        <v>7294</v>
      </c>
      <c r="E1967">
        <v>128</v>
      </c>
      <c r="F1967" s="1">
        <v>44750</v>
      </c>
      <c r="G1967" t="str">
        <f>IF(COUNTIFS(Table1_3[Country],Table1_3[[#This Row],[Country]],Table1_3[Product],Table1_3[[#This Row],[Product]],Table1_3[Sales Person],Table1_3[[#This Row],[Sales Person]],Table1_3[Amount],"&lt;=100")&gt;=2,"Contract","Deal")</f>
        <v>Deal</v>
      </c>
    </row>
    <row r="1968" spans="1:7" x14ac:dyDescent="0.3">
      <c r="A1968" t="s">
        <v>37</v>
      </c>
      <c r="B1968" t="s">
        <v>15</v>
      </c>
      <c r="C1968" t="s">
        <v>65</v>
      </c>
      <c r="D1968">
        <v>7936.84</v>
      </c>
      <c r="E1968">
        <v>138</v>
      </c>
      <c r="F1968" s="1">
        <v>45115</v>
      </c>
      <c r="G1968" t="str">
        <f>IF(COUNTIFS(Table1_3[Country],Table1_3[[#This Row],[Country]],Table1_3[Product],Table1_3[[#This Row],[Product]],Table1_3[Sales Person],Table1_3[[#This Row],[Sales Person]],Table1_3[Amount],"&lt;=100")&gt;=2,"Contract","Deal")</f>
        <v>Deal</v>
      </c>
    </row>
    <row r="1969" spans="1:7" x14ac:dyDescent="0.3">
      <c r="A1969" t="s">
        <v>37</v>
      </c>
      <c r="B1969" t="s">
        <v>15</v>
      </c>
      <c r="C1969" t="s">
        <v>65</v>
      </c>
      <c r="D1969">
        <v>8130.06</v>
      </c>
      <c r="E1969">
        <v>140</v>
      </c>
      <c r="F1969" s="1">
        <v>45481</v>
      </c>
      <c r="G1969" t="str">
        <f>IF(COUNTIFS(Table1_3[Country],Table1_3[[#This Row],[Country]],Table1_3[Product],Table1_3[[#This Row],[Product]],Table1_3[Sales Person],Table1_3[[#This Row],[Sales Person]],Table1_3[Amount],"&lt;=100")&gt;=2,"Contract","Deal")</f>
        <v>Deal</v>
      </c>
    </row>
    <row r="1970" spans="1:7" x14ac:dyDescent="0.3">
      <c r="A1970" t="s">
        <v>37</v>
      </c>
      <c r="B1970" t="s">
        <v>15</v>
      </c>
      <c r="C1970" t="s">
        <v>73</v>
      </c>
      <c r="D1970">
        <v>994</v>
      </c>
      <c r="E1970">
        <v>57</v>
      </c>
      <c r="F1970" s="1">
        <v>44796</v>
      </c>
      <c r="G1970" t="str">
        <f>IF(COUNTIFS(Table1_3[Country],Table1_3[[#This Row],[Country]],Table1_3[Product],Table1_3[[#This Row],[Product]],Table1_3[Sales Person],Table1_3[[#This Row],[Sales Person]],Table1_3[Amount],"&lt;=100")&gt;=2,"Contract","Deal")</f>
        <v>Deal</v>
      </c>
    </row>
    <row r="1971" spans="1:7" x14ac:dyDescent="0.3">
      <c r="A1971" t="s">
        <v>37</v>
      </c>
      <c r="B1971" t="s">
        <v>15</v>
      </c>
      <c r="C1971" t="s">
        <v>73</v>
      </c>
      <c r="D1971">
        <v>1145.72</v>
      </c>
      <c r="E1971">
        <v>60</v>
      </c>
      <c r="F1971" s="1">
        <v>45161</v>
      </c>
      <c r="G1971" t="str">
        <f>IF(COUNTIFS(Table1_3[Country],Table1_3[[#This Row],[Country]],Table1_3[Product],Table1_3[[#This Row],[Product]],Table1_3[Sales Person],Table1_3[[#This Row],[Sales Person]],Table1_3[Amount],"&lt;=100")&gt;=2,"Contract","Deal")</f>
        <v>Deal</v>
      </c>
    </row>
    <row r="1972" spans="1:7" x14ac:dyDescent="0.3">
      <c r="A1972" t="s">
        <v>37</v>
      </c>
      <c r="B1972" t="s">
        <v>15</v>
      </c>
      <c r="C1972" t="s">
        <v>73</v>
      </c>
      <c r="D1972">
        <v>1061.03</v>
      </c>
      <c r="E1972">
        <v>58</v>
      </c>
      <c r="F1972" s="1">
        <v>45527</v>
      </c>
      <c r="G1972" t="str">
        <f>IF(COUNTIFS(Table1_3[Country],Table1_3[[#This Row],[Country]],Table1_3[Product],Table1_3[[#This Row],[Product]],Table1_3[Sales Person],Table1_3[[#This Row],[Sales Person]],Table1_3[Amount],"&lt;=100")&gt;=2,"Contract","Deal")</f>
        <v>Deal</v>
      </c>
    </row>
    <row r="1973" spans="1:7" x14ac:dyDescent="0.3">
      <c r="A1973" t="s">
        <v>37</v>
      </c>
      <c r="B1973" t="s">
        <v>15</v>
      </c>
      <c r="C1973" t="s">
        <v>50</v>
      </c>
      <c r="D1973">
        <v>4410</v>
      </c>
      <c r="E1973">
        <v>323</v>
      </c>
      <c r="F1973" s="1">
        <v>44698</v>
      </c>
      <c r="G1973" t="str">
        <f>IF(COUNTIFS(Table1_3[Country],Table1_3[[#This Row],[Country]],Table1_3[Product],Table1_3[[#This Row],[Product]],Table1_3[Sales Person],Table1_3[[#This Row],[Sales Person]],Table1_3[Amount],"&lt;=100")&gt;=2,"Contract","Deal")</f>
        <v>Deal</v>
      </c>
    </row>
    <row r="1974" spans="1:7" x14ac:dyDescent="0.3">
      <c r="A1974" t="s">
        <v>37</v>
      </c>
      <c r="B1974" t="s">
        <v>15</v>
      </c>
      <c r="C1974" t="s">
        <v>50</v>
      </c>
      <c r="D1974">
        <v>4791.2</v>
      </c>
      <c r="E1974">
        <v>335</v>
      </c>
      <c r="F1974" s="1">
        <v>45063</v>
      </c>
      <c r="G1974" t="str">
        <f>IF(COUNTIFS(Table1_3[Country],Table1_3[[#This Row],[Country]],Table1_3[Product],Table1_3[[#This Row],[Product]],Table1_3[Sales Person],Table1_3[[#This Row],[Sales Person]],Table1_3[Amount],"&lt;=100")&gt;=2,"Contract","Deal")</f>
        <v>Deal</v>
      </c>
    </row>
    <row r="1975" spans="1:7" x14ac:dyDescent="0.3">
      <c r="A1975" t="s">
        <v>37</v>
      </c>
      <c r="B1975" t="s">
        <v>15</v>
      </c>
      <c r="C1975" t="s">
        <v>50</v>
      </c>
      <c r="D1975">
        <v>5303.58</v>
      </c>
      <c r="E1975">
        <v>354</v>
      </c>
      <c r="F1975" s="1">
        <v>45429</v>
      </c>
      <c r="G1975" t="str">
        <f>IF(COUNTIFS(Table1_3[Country],Table1_3[[#This Row],[Country]],Table1_3[Product],Table1_3[[#This Row],[Product]],Table1_3[Sales Person],Table1_3[[#This Row],[Sales Person]],Table1_3[Amount],"&lt;=100")&gt;=2,"Contract","Deal")</f>
        <v>Deal</v>
      </c>
    </row>
    <row r="1976" spans="1:7" x14ac:dyDescent="0.3">
      <c r="A1976" t="s">
        <v>37</v>
      </c>
      <c r="B1976" t="s">
        <v>15</v>
      </c>
      <c r="C1976" t="s">
        <v>59</v>
      </c>
      <c r="D1976">
        <v>7357</v>
      </c>
      <c r="E1976">
        <v>48</v>
      </c>
      <c r="F1976" s="1">
        <v>44566</v>
      </c>
      <c r="G1976" t="str">
        <f>IF(COUNTIFS(Table1_3[Country],Table1_3[[#This Row],[Country]],Table1_3[Product],Table1_3[[#This Row],[Product]],Table1_3[Sales Person],Table1_3[[#This Row],[Sales Person]],Table1_3[Amount],"&lt;=100")&gt;=2,"Contract","Deal")</f>
        <v>Deal</v>
      </c>
    </row>
    <row r="1977" spans="1:7" x14ac:dyDescent="0.3">
      <c r="A1977" t="s">
        <v>37</v>
      </c>
      <c r="B1977" t="s">
        <v>15</v>
      </c>
      <c r="C1977" t="s">
        <v>59</v>
      </c>
      <c r="D1977">
        <v>8448.39</v>
      </c>
      <c r="E1977">
        <v>52</v>
      </c>
      <c r="F1977" s="1">
        <v>44931</v>
      </c>
      <c r="G1977" t="str">
        <f>IF(COUNTIFS(Table1_3[Country],Table1_3[[#This Row],[Country]],Table1_3[Product],Table1_3[[#This Row],[Product]],Table1_3[Sales Person],Table1_3[[#This Row],[Sales Person]],Table1_3[Amount],"&lt;=100")&gt;=2,"Contract","Deal")</f>
        <v>Deal</v>
      </c>
    </row>
    <row r="1978" spans="1:7" x14ac:dyDescent="0.3">
      <c r="A1978" t="s">
        <v>37</v>
      </c>
      <c r="B1978" t="s">
        <v>15</v>
      </c>
      <c r="C1978" t="s">
        <v>59</v>
      </c>
      <c r="D1978">
        <v>8857.15</v>
      </c>
      <c r="E1978">
        <v>50</v>
      </c>
      <c r="F1978" s="1">
        <v>45296</v>
      </c>
      <c r="G1978" t="str">
        <f>IF(COUNTIFS(Table1_3[Country],Table1_3[[#This Row],[Country]],Table1_3[Product],Table1_3[[#This Row],[Product]],Table1_3[Sales Person],Table1_3[[#This Row],[Sales Person]],Table1_3[Amount],"&lt;=100")&gt;=2,"Contract","Deal")</f>
        <v>Deal</v>
      </c>
    </row>
    <row r="1979" spans="1:7" x14ac:dyDescent="0.3">
      <c r="A1979" t="s">
        <v>37</v>
      </c>
      <c r="B1979" t="s">
        <v>35</v>
      </c>
      <c r="C1979" t="s">
        <v>26</v>
      </c>
      <c r="D1979">
        <v>2919</v>
      </c>
      <c r="E1979">
        <v>65</v>
      </c>
      <c r="F1979" s="1">
        <v>44757</v>
      </c>
      <c r="G1979" t="str">
        <f>IF(COUNTIFS(Table1_3[Country],Table1_3[[#This Row],[Country]],Table1_3[Product],Table1_3[[#This Row],[Product]],Table1_3[Sales Person],Table1_3[[#This Row],[Sales Person]],Table1_3[Amount],"&lt;=100")&gt;=2,"Contract","Deal")</f>
        <v>Deal</v>
      </c>
    </row>
    <row r="1980" spans="1:7" x14ac:dyDescent="0.3">
      <c r="A1980" t="s">
        <v>37</v>
      </c>
      <c r="B1980" t="s">
        <v>35</v>
      </c>
      <c r="C1980" t="s">
        <v>26</v>
      </c>
      <c r="D1980">
        <v>2966.83</v>
      </c>
      <c r="E1980">
        <v>65</v>
      </c>
      <c r="F1980" s="1">
        <v>45122</v>
      </c>
      <c r="G1980" t="str">
        <f>IF(COUNTIFS(Table1_3[Country],Table1_3[[#This Row],[Country]],Table1_3[Product],Table1_3[[#This Row],[Product]],Table1_3[Sales Person],Table1_3[[#This Row],[Sales Person]],Table1_3[Amount],"&lt;=100")&gt;=2,"Contract","Deal")</f>
        <v>Deal</v>
      </c>
    </row>
    <row r="1981" spans="1:7" x14ac:dyDescent="0.3">
      <c r="A1981" t="s">
        <v>37</v>
      </c>
      <c r="B1981" t="s">
        <v>35</v>
      </c>
      <c r="C1981" t="s">
        <v>26</v>
      </c>
      <c r="D1981">
        <v>3248</v>
      </c>
      <c r="E1981">
        <v>64</v>
      </c>
      <c r="F1981" s="1">
        <v>45488</v>
      </c>
      <c r="G1981" t="str">
        <f>IF(COUNTIFS(Table1_3[Country],Table1_3[[#This Row],[Country]],Table1_3[Product],Table1_3[[#This Row],[Product]],Table1_3[Sales Person],Table1_3[[#This Row],[Sales Person]],Table1_3[Amount],"&lt;=100")&gt;=2,"Contract","Deal")</f>
        <v>Deal</v>
      </c>
    </row>
    <row r="1982" spans="1:7" x14ac:dyDescent="0.3">
      <c r="A1982" t="s">
        <v>37</v>
      </c>
      <c r="B1982" t="s">
        <v>35</v>
      </c>
      <c r="C1982" t="s">
        <v>100</v>
      </c>
      <c r="D1982">
        <v>7714</v>
      </c>
      <c r="E1982">
        <v>597</v>
      </c>
      <c r="F1982" s="1">
        <v>44736</v>
      </c>
      <c r="G1982" t="str">
        <f>IF(COUNTIFS(Table1_3[Country],Table1_3[[#This Row],[Country]],Table1_3[Product],Table1_3[[#This Row],[Product]],Table1_3[Sales Person],Table1_3[[#This Row],[Sales Person]],Table1_3[Amount],"&lt;=100")&gt;=2,"Contract","Deal")</f>
        <v>Deal</v>
      </c>
    </row>
    <row r="1983" spans="1:7" x14ac:dyDescent="0.3">
      <c r="A1983" t="s">
        <v>37</v>
      </c>
      <c r="B1983" t="s">
        <v>35</v>
      </c>
      <c r="C1983" t="s">
        <v>100</v>
      </c>
      <c r="D1983">
        <v>8376.69</v>
      </c>
      <c r="E1983">
        <v>646</v>
      </c>
      <c r="F1983" s="1">
        <v>45101</v>
      </c>
      <c r="G1983" t="str">
        <f>IF(COUNTIFS(Table1_3[Country],Table1_3[[#This Row],[Country]],Table1_3[Product],Table1_3[[#This Row],[Product]],Table1_3[Sales Person],Table1_3[[#This Row],[Sales Person]],Table1_3[Amount],"&lt;=100")&gt;=2,"Contract","Deal")</f>
        <v>Deal</v>
      </c>
    </row>
    <row r="1984" spans="1:7" x14ac:dyDescent="0.3">
      <c r="A1984" t="s">
        <v>37</v>
      </c>
      <c r="B1984" t="s">
        <v>35</v>
      </c>
      <c r="C1984" t="s">
        <v>100</v>
      </c>
      <c r="D1984">
        <v>9089.2099999999991</v>
      </c>
      <c r="E1984">
        <v>602</v>
      </c>
      <c r="F1984" s="1">
        <v>45467</v>
      </c>
      <c r="G1984" t="str">
        <f>IF(COUNTIFS(Table1_3[Country],Table1_3[[#This Row],[Country]],Table1_3[Product],Table1_3[[#This Row],[Product]],Table1_3[Sales Person],Table1_3[[#This Row],[Sales Person]],Table1_3[Amount],"&lt;=100")&gt;=2,"Contract","Deal")</f>
        <v>Deal</v>
      </c>
    </row>
    <row r="1985" spans="1:7" x14ac:dyDescent="0.3">
      <c r="A1985" t="s">
        <v>37</v>
      </c>
      <c r="B1985" t="s">
        <v>35</v>
      </c>
      <c r="C1985" t="s">
        <v>90</v>
      </c>
      <c r="D1985">
        <v>3346</v>
      </c>
      <c r="E1985">
        <v>304</v>
      </c>
      <c r="F1985" s="1">
        <v>44622</v>
      </c>
      <c r="G1985" t="str">
        <f>IF(COUNTIFS(Table1_3[Country],Table1_3[[#This Row],[Country]],Table1_3[Product],Table1_3[[#This Row],[Product]],Table1_3[Sales Person],Table1_3[[#This Row],[Sales Person]],Table1_3[Amount],"&lt;=100")&gt;=2,"Contract","Deal")</f>
        <v>Deal</v>
      </c>
    </row>
    <row r="1986" spans="1:7" x14ac:dyDescent="0.3">
      <c r="A1986" t="s">
        <v>37</v>
      </c>
      <c r="B1986" t="s">
        <v>35</v>
      </c>
      <c r="C1986" t="s">
        <v>90</v>
      </c>
      <c r="D1986">
        <v>3357.3</v>
      </c>
      <c r="E1986">
        <v>308</v>
      </c>
      <c r="F1986" s="1">
        <v>44987</v>
      </c>
      <c r="G1986" t="str">
        <f>IF(COUNTIFS(Table1_3[Country],Table1_3[[#This Row],[Country]],Table1_3[Product],Table1_3[[#This Row],[Product]],Table1_3[Sales Person],Table1_3[[#This Row],[Sales Person]],Table1_3[Amount],"&lt;=100")&gt;=2,"Contract","Deal")</f>
        <v>Deal</v>
      </c>
    </row>
    <row r="1987" spans="1:7" x14ac:dyDescent="0.3">
      <c r="A1987" t="s">
        <v>37</v>
      </c>
      <c r="B1987" t="s">
        <v>35</v>
      </c>
      <c r="C1987" t="s">
        <v>90</v>
      </c>
      <c r="D1987">
        <v>3653.33</v>
      </c>
      <c r="E1987">
        <v>327</v>
      </c>
      <c r="F1987" s="1">
        <v>45353</v>
      </c>
      <c r="G1987" t="str">
        <f>IF(COUNTIFS(Table1_3[Country],Table1_3[[#This Row],[Country]],Table1_3[Product],Table1_3[[#This Row],[Product]],Table1_3[Sales Person],Table1_3[[#This Row],[Sales Person]],Table1_3[Amount],"&lt;=100")&gt;=2,"Contract","Deal")</f>
        <v>Deal</v>
      </c>
    </row>
    <row r="1988" spans="1:7" x14ac:dyDescent="0.3">
      <c r="A1988" t="s">
        <v>37</v>
      </c>
      <c r="B1988" t="s">
        <v>35</v>
      </c>
      <c r="C1988" t="s">
        <v>36</v>
      </c>
      <c r="D1988">
        <v>3479</v>
      </c>
      <c r="E1988">
        <v>358</v>
      </c>
      <c r="F1988" s="1">
        <v>44671</v>
      </c>
      <c r="G1988" t="str">
        <f>IF(COUNTIFS(Table1_3[Country],Table1_3[[#This Row],[Country]],Table1_3[Product],Table1_3[[#This Row],[Product]],Table1_3[Sales Person],Table1_3[[#This Row],[Sales Person]],Table1_3[Amount],"&lt;=100")&gt;=2,"Contract","Deal")</f>
        <v>Deal</v>
      </c>
    </row>
    <row r="1989" spans="1:7" x14ac:dyDescent="0.3">
      <c r="A1989" t="s">
        <v>37</v>
      </c>
      <c r="B1989" t="s">
        <v>35</v>
      </c>
      <c r="C1989" t="s">
        <v>36</v>
      </c>
      <c r="D1989">
        <v>3850.87</v>
      </c>
      <c r="E1989">
        <v>372</v>
      </c>
      <c r="F1989" s="1">
        <v>45036</v>
      </c>
      <c r="G1989" t="str">
        <f>IF(COUNTIFS(Table1_3[Country],Table1_3[[#This Row],[Country]],Table1_3[Product],Table1_3[[#This Row],[Product]],Table1_3[Sales Person],Table1_3[[#This Row],[Sales Person]],Table1_3[Amount],"&lt;=100")&gt;=2,"Contract","Deal")</f>
        <v>Deal</v>
      </c>
    </row>
    <row r="1990" spans="1:7" x14ac:dyDescent="0.3">
      <c r="A1990" t="s">
        <v>37</v>
      </c>
      <c r="B1990" t="s">
        <v>35</v>
      </c>
      <c r="C1990" t="s">
        <v>36</v>
      </c>
      <c r="D1990">
        <v>3713.66</v>
      </c>
      <c r="E1990">
        <v>352</v>
      </c>
      <c r="F1990" s="1">
        <v>45402</v>
      </c>
      <c r="G1990" t="str">
        <f>IF(COUNTIFS(Table1_3[Country],Table1_3[[#This Row],[Country]],Table1_3[Product],Table1_3[[#This Row],[Product]],Table1_3[Sales Person],Table1_3[[#This Row],[Sales Person]],Table1_3[Amount],"&lt;=100")&gt;=2,"Contract","Deal")</f>
        <v>Deal</v>
      </c>
    </row>
    <row r="1991" spans="1:7" x14ac:dyDescent="0.3">
      <c r="A1991" t="s">
        <v>37</v>
      </c>
      <c r="B1991" t="s">
        <v>35</v>
      </c>
      <c r="C1991" t="s">
        <v>57</v>
      </c>
      <c r="D1991">
        <v>210</v>
      </c>
      <c r="E1991">
        <v>16</v>
      </c>
      <c r="F1991" s="1">
        <v>44714</v>
      </c>
      <c r="G1991" t="str">
        <f>IF(COUNTIFS(Table1_3[Country],Table1_3[[#This Row],[Country]],Table1_3[Product],Table1_3[[#This Row],[Product]],Table1_3[Sales Person],Table1_3[[#This Row],[Sales Person]],Table1_3[Amount],"&lt;=100")&gt;=2,"Contract","Deal")</f>
        <v>Deal</v>
      </c>
    </row>
    <row r="1992" spans="1:7" x14ac:dyDescent="0.3">
      <c r="A1992" t="s">
        <v>37</v>
      </c>
      <c r="B1992" t="s">
        <v>35</v>
      </c>
      <c r="C1992" t="s">
        <v>57</v>
      </c>
      <c r="D1992">
        <v>213.45</v>
      </c>
      <c r="E1992">
        <v>17</v>
      </c>
      <c r="F1992" s="1">
        <v>45079</v>
      </c>
      <c r="G1992" t="str">
        <f>IF(COUNTIFS(Table1_3[Country],Table1_3[[#This Row],[Country]],Table1_3[Product],Table1_3[[#This Row],[Product]],Table1_3[Sales Person],Table1_3[[#This Row],[Sales Person]],Table1_3[Amount],"&lt;=100")&gt;=2,"Contract","Deal")</f>
        <v>Deal</v>
      </c>
    </row>
    <row r="1993" spans="1:7" x14ac:dyDescent="0.3">
      <c r="A1993" t="s">
        <v>37</v>
      </c>
      <c r="B1993" t="s">
        <v>35</v>
      </c>
      <c r="C1993" t="s">
        <v>57</v>
      </c>
      <c r="D1993">
        <v>241.36</v>
      </c>
      <c r="E1993">
        <v>17</v>
      </c>
      <c r="F1993" s="1">
        <v>45445</v>
      </c>
      <c r="G1993" t="str">
        <f>IF(COUNTIFS(Table1_3[Country],Table1_3[[#This Row],[Country]],Table1_3[Product],Table1_3[[#This Row],[Product]],Table1_3[Sales Person],Table1_3[[#This Row],[Sales Person]],Table1_3[Amount],"&lt;=100")&gt;=2,"Contract","Deal")</f>
        <v>Deal</v>
      </c>
    </row>
    <row r="1994" spans="1:7" x14ac:dyDescent="0.3">
      <c r="A1994" t="s">
        <v>37</v>
      </c>
      <c r="B1994" t="s">
        <v>35</v>
      </c>
      <c r="C1994" t="s">
        <v>42</v>
      </c>
      <c r="D1994">
        <v>2415</v>
      </c>
      <c r="E1994">
        <v>312</v>
      </c>
      <c r="F1994" s="1">
        <v>44757</v>
      </c>
      <c r="G1994" t="str">
        <f>IF(COUNTIFS(Table1_3[Country],Table1_3[[#This Row],[Country]],Table1_3[Product],Table1_3[[#This Row],[Product]],Table1_3[Sales Person],Table1_3[[#This Row],[Sales Person]],Table1_3[Amount],"&lt;=100")&gt;=2,"Contract","Deal")</f>
        <v>Deal</v>
      </c>
    </row>
    <row r="1995" spans="1:7" x14ac:dyDescent="0.3">
      <c r="A1995" t="s">
        <v>37</v>
      </c>
      <c r="B1995" t="s">
        <v>35</v>
      </c>
      <c r="C1995" t="s">
        <v>42</v>
      </c>
      <c r="D1995">
        <v>2466.59</v>
      </c>
      <c r="E1995">
        <v>309</v>
      </c>
      <c r="F1995" s="1">
        <v>45122</v>
      </c>
      <c r="G1995" t="str">
        <f>IF(COUNTIFS(Table1_3[Country],Table1_3[[#This Row],[Country]],Table1_3[Product],Table1_3[[#This Row],[Product]],Table1_3[Sales Person],Table1_3[[#This Row],[Sales Person]],Table1_3[Amount],"&lt;=100")&gt;=2,"Contract","Deal")</f>
        <v>Deal</v>
      </c>
    </row>
    <row r="1996" spans="1:7" x14ac:dyDescent="0.3">
      <c r="A1996" t="s">
        <v>37</v>
      </c>
      <c r="B1996" t="s">
        <v>35</v>
      </c>
      <c r="C1996" t="s">
        <v>42</v>
      </c>
      <c r="D1996">
        <v>2769.94</v>
      </c>
      <c r="E1996">
        <v>302</v>
      </c>
      <c r="F1996" s="1">
        <v>45488</v>
      </c>
      <c r="G1996" t="str">
        <f>IF(COUNTIFS(Table1_3[Country],Table1_3[[#This Row],[Country]],Table1_3[Product],Table1_3[[#This Row],[Product]],Table1_3[Sales Person],Table1_3[[#This Row],[Sales Person]],Table1_3[Amount],"&lt;=100")&gt;=2,"Contract","Deal")</f>
        <v>Deal</v>
      </c>
    </row>
    <row r="1997" spans="1:7" x14ac:dyDescent="0.3">
      <c r="A1997" t="s">
        <v>37</v>
      </c>
      <c r="B1997" t="s">
        <v>35</v>
      </c>
      <c r="C1997" t="s">
        <v>13</v>
      </c>
      <c r="D1997">
        <v>3094</v>
      </c>
      <c r="E1997">
        <v>159</v>
      </c>
      <c r="F1997" s="1">
        <v>44785</v>
      </c>
      <c r="G1997" t="str">
        <f>IF(COUNTIFS(Table1_3[Country],Table1_3[[#This Row],[Country]],Table1_3[Product],Table1_3[[#This Row],[Product]],Table1_3[Sales Person],Table1_3[[#This Row],[Sales Person]],Table1_3[Amount],"&lt;=100")&gt;=2,"Contract","Deal")</f>
        <v>Deal</v>
      </c>
    </row>
    <row r="1998" spans="1:7" x14ac:dyDescent="0.3">
      <c r="A1998" t="s">
        <v>37</v>
      </c>
      <c r="B1998" t="s">
        <v>35</v>
      </c>
      <c r="C1998" t="s">
        <v>13</v>
      </c>
      <c r="D1998">
        <v>3473.62</v>
      </c>
      <c r="E1998">
        <v>170</v>
      </c>
      <c r="F1998" s="1">
        <v>45150</v>
      </c>
      <c r="G1998" t="str">
        <f>IF(COUNTIFS(Table1_3[Country],Table1_3[[#This Row],[Country]],Table1_3[Product],Table1_3[[#This Row],[Product]],Table1_3[Sales Person],Table1_3[[#This Row],[Sales Person]],Table1_3[Amount],"&lt;=100")&gt;=2,"Contract","Deal")</f>
        <v>Deal</v>
      </c>
    </row>
    <row r="1999" spans="1:7" x14ac:dyDescent="0.3">
      <c r="A1999" t="s">
        <v>37</v>
      </c>
      <c r="B1999" t="s">
        <v>35</v>
      </c>
      <c r="C1999" t="s">
        <v>13</v>
      </c>
      <c r="D1999">
        <v>3691.6</v>
      </c>
      <c r="E1999">
        <v>154</v>
      </c>
      <c r="F1999" s="1">
        <v>45516</v>
      </c>
      <c r="G1999" t="str">
        <f>IF(COUNTIFS(Table1_3[Country],Table1_3[[#This Row],[Country]],Table1_3[Product],Table1_3[[#This Row],[Product]],Table1_3[Sales Person],Table1_3[[#This Row],[Sales Person]],Table1_3[Amount],"&lt;=100")&gt;=2,"Contract","Deal")</f>
        <v>Deal</v>
      </c>
    </row>
    <row r="2000" spans="1:7" x14ac:dyDescent="0.3">
      <c r="A2000" t="s">
        <v>37</v>
      </c>
      <c r="B2000" t="s">
        <v>35</v>
      </c>
      <c r="C2000" t="s">
        <v>73</v>
      </c>
      <c r="D2000">
        <v>651</v>
      </c>
      <c r="E2000">
        <v>224</v>
      </c>
      <c r="F2000" s="1">
        <v>44690</v>
      </c>
      <c r="G2000" t="str">
        <f>IF(COUNTIFS(Table1_3[Country],Table1_3[[#This Row],[Country]],Table1_3[Product],Table1_3[[#This Row],[Product]],Table1_3[Sales Person],Table1_3[[#This Row],[Sales Person]],Table1_3[Amount],"&lt;=100")&gt;=2,"Contract","Deal")</f>
        <v>Deal</v>
      </c>
    </row>
    <row r="2001" spans="1:7" x14ac:dyDescent="0.3">
      <c r="A2001" t="s">
        <v>37</v>
      </c>
      <c r="B2001" t="s">
        <v>35</v>
      </c>
      <c r="C2001" t="s">
        <v>73</v>
      </c>
      <c r="D2001">
        <v>717.9</v>
      </c>
      <c r="E2001">
        <v>213</v>
      </c>
      <c r="F2001" s="1">
        <v>45055</v>
      </c>
      <c r="G2001" t="str">
        <f>IF(COUNTIFS(Table1_3[Country],Table1_3[[#This Row],[Country]],Table1_3[Product],Table1_3[[#This Row],[Product]],Table1_3[Sales Person],Table1_3[[#This Row],[Sales Person]],Table1_3[Amount],"&lt;=100")&gt;=2,"Contract","Deal")</f>
        <v>Deal</v>
      </c>
    </row>
    <row r="2002" spans="1:7" x14ac:dyDescent="0.3">
      <c r="A2002" t="s">
        <v>37</v>
      </c>
      <c r="B2002" t="s">
        <v>35</v>
      </c>
      <c r="C2002" t="s">
        <v>73</v>
      </c>
      <c r="D2002">
        <v>773.7</v>
      </c>
      <c r="E2002">
        <v>217</v>
      </c>
      <c r="F2002" s="1">
        <v>45421</v>
      </c>
      <c r="G2002" t="str">
        <f>IF(COUNTIFS(Table1_3[Country],Table1_3[[#This Row],[Country]],Table1_3[Product],Table1_3[[#This Row],[Product]],Table1_3[Sales Person],Table1_3[[#This Row],[Sales Person]],Table1_3[Amount],"&lt;=100")&gt;=2,"Contract","Deal")</f>
        <v>Deal</v>
      </c>
    </row>
    <row r="2003" spans="1:7" x14ac:dyDescent="0.3">
      <c r="A2003" t="s">
        <v>37</v>
      </c>
      <c r="B2003" t="s">
        <v>35</v>
      </c>
      <c r="C2003" t="s">
        <v>18</v>
      </c>
      <c r="D2003">
        <v>3017</v>
      </c>
      <c r="E2003">
        <v>184</v>
      </c>
      <c r="F2003" s="1">
        <v>44580</v>
      </c>
      <c r="G2003" t="str">
        <f>IF(COUNTIFS(Table1_3[Country],Table1_3[[#This Row],[Country]],Table1_3[Product],Table1_3[[#This Row],[Product]],Table1_3[Sales Person],Table1_3[[#This Row],[Sales Person]],Table1_3[Amount],"&lt;=100")&gt;=2,"Contract","Deal")</f>
        <v>Deal</v>
      </c>
    </row>
    <row r="2004" spans="1:7" x14ac:dyDescent="0.3">
      <c r="A2004" t="s">
        <v>37</v>
      </c>
      <c r="B2004" t="s">
        <v>35</v>
      </c>
      <c r="C2004" t="s">
        <v>18</v>
      </c>
      <c r="D2004">
        <v>3283.44</v>
      </c>
      <c r="E2004">
        <v>186</v>
      </c>
      <c r="F2004" s="1">
        <v>44945</v>
      </c>
      <c r="G2004" t="str">
        <f>IF(COUNTIFS(Table1_3[Country],Table1_3[[#This Row],[Country]],Table1_3[Product],Table1_3[[#This Row],[Product]],Table1_3[Sales Person],Table1_3[[#This Row],[Sales Person]],Table1_3[Amount],"&lt;=100")&gt;=2,"Contract","Deal")</f>
        <v>Deal</v>
      </c>
    </row>
    <row r="2005" spans="1:7" x14ac:dyDescent="0.3">
      <c r="A2005" t="s">
        <v>37</v>
      </c>
      <c r="B2005" t="s">
        <v>35</v>
      </c>
      <c r="C2005" t="s">
        <v>18</v>
      </c>
      <c r="D2005">
        <v>3368.63</v>
      </c>
      <c r="E2005">
        <v>180</v>
      </c>
      <c r="F2005" s="1">
        <v>45310</v>
      </c>
      <c r="G2005" t="str">
        <f>IF(COUNTIFS(Table1_3[Country],Table1_3[[#This Row],[Country]],Table1_3[Product],Table1_3[[#This Row],[Product]],Table1_3[Sales Person],Table1_3[[#This Row],[Sales Person]],Table1_3[Amount],"&lt;=100")&gt;=2,"Contract","Deal")</f>
        <v>Deal</v>
      </c>
    </row>
    <row r="2006" spans="1:7" x14ac:dyDescent="0.3">
      <c r="A2006" t="s">
        <v>37</v>
      </c>
      <c r="B2006" t="s">
        <v>35</v>
      </c>
      <c r="C2006" t="s">
        <v>50</v>
      </c>
      <c r="D2006">
        <v>6328</v>
      </c>
      <c r="E2006">
        <v>47</v>
      </c>
      <c r="F2006" s="1">
        <v>44775</v>
      </c>
      <c r="G2006" t="str">
        <f>IF(COUNTIFS(Table1_3[Country],Table1_3[[#This Row],[Country]],Table1_3[Product],Table1_3[[#This Row],[Product]],Table1_3[Sales Person],Table1_3[[#This Row],[Sales Person]],Table1_3[Amount],"&lt;=100")&gt;=2,"Contract","Deal")</f>
        <v>Deal</v>
      </c>
    </row>
    <row r="2007" spans="1:7" x14ac:dyDescent="0.3">
      <c r="A2007" t="s">
        <v>37</v>
      </c>
      <c r="B2007" t="s">
        <v>35</v>
      </c>
      <c r="C2007" t="s">
        <v>50</v>
      </c>
      <c r="D2007">
        <v>6315.53</v>
      </c>
      <c r="E2007">
        <v>51</v>
      </c>
      <c r="F2007" s="1">
        <v>45140</v>
      </c>
      <c r="G2007" t="str">
        <f>IF(COUNTIFS(Table1_3[Country],Table1_3[[#This Row],[Country]],Table1_3[Product],Table1_3[[#This Row],[Product]],Table1_3[Sales Person],Table1_3[[#This Row],[Sales Person]],Table1_3[Amount],"&lt;=100")&gt;=2,"Contract","Deal")</f>
        <v>Deal</v>
      </c>
    </row>
    <row r="2008" spans="1:7" x14ac:dyDescent="0.3">
      <c r="A2008" t="s">
        <v>37</v>
      </c>
      <c r="B2008" t="s">
        <v>35</v>
      </c>
      <c r="C2008" t="s">
        <v>50</v>
      </c>
      <c r="D2008">
        <v>6779.99</v>
      </c>
      <c r="E2008">
        <v>46</v>
      </c>
      <c r="F2008" s="1">
        <v>45506</v>
      </c>
      <c r="G2008" t="str">
        <f>IF(COUNTIFS(Table1_3[Country],Table1_3[[#This Row],[Country]],Table1_3[Product],Table1_3[[#This Row],[Product]],Table1_3[Sales Person],Table1_3[[#This Row],[Sales Person]],Table1_3[Amount],"&lt;=100")&gt;=2,"Contract","Deal")</f>
        <v>Deal</v>
      </c>
    </row>
    <row r="2009" spans="1:7" x14ac:dyDescent="0.3">
      <c r="A2009" t="s">
        <v>37</v>
      </c>
      <c r="B2009" t="s">
        <v>10</v>
      </c>
      <c r="C2009" t="s">
        <v>100</v>
      </c>
      <c r="D2009">
        <v>5075</v>
      </c>
      <c r="E2009">
        <v>344</v>
      </c>
      <c r="F2009" s="1">
        <v>44704</v>
      </c>
      <c r="G2009" t="str">
        <f>IF(COUNTIFS(Table1_3[Country],Table1_3[[#This Row],[Country]],Table1_3[Product],Table1_3[[#This Row],[Product]],Table1_3[Sales Person],Table1_3[[#This Row],[Sales Person]],Table1_3[Amount],"&lt;=100")&gt;=2,"Contract","Deal")</f>
        <v>Deal</v>
      </c>
    </row>
    <row r="2010" spans="1:7" x14ac:dyDescent="0.3">
      <c r="A2010" t="s">
        <v>37</v>
      </c>
      <c r="B2010" t="s">
        <v>10</v>
      </c>
      <c r="C2010" t="s">
        <v>100</v>
      </c>
      <c r="D2010">
        <v>5083.07</v>
      </c>
      <c r="E2010">
        <v>368</v>
      </c>
      <c r="F2010" s="1">
        <v>45069</v>
      </c>
      <c r="G2010" t="str">
        <f>IF(COUNTIFS(Table1_3[Country],Table1_3[[#This Row],[Country]],Table1_3[Product],Table1_3[[#This Row],[Product]],Table1_3[Sales Person],Table1_3[[#This Row],[Sales Person]],Table1_3[Amount],"&lt;=100")&gt;=2,"Contract","Deal")</f>
        <v>Deal</v>
      </c>
    </row>
    <row r="2011" spans="1:7" x14ac:dyDescent="0.3">
      <c r="A2011" t="s">
        <v>37</v>
      </c>
      <c r="B2011" t="s">
        <v>10</v>
      </c>
      <c r="C2011" t="s">
        <v>100</v>
      </c>
      <c r="D2011">
        <v>5915.87</v>
      </c>
      <c r="E2011">
        <v>355</v>
      </c>
      <c r="F2011" s="1">
        <v>45435</v>
      </c>
      <c r="G2011" t="str">
        <f>IF(COUNTIFS(Table1_3[Country],Table1_3[[#This Row],[Country]],Table1_3[Product],Table1_3[[#This Row],[Product]],Table1_3[Sales Person],Table1_3[[#This Row],[Sales Person]],Table1_3[Amount],"&lt;=100")&gt;=2,"Contract","Deal")</f>
        <v>Deal</v>
      </c>
    </row>
    <row r="2012" spans="1:7" x14ac:dyDescent="0.3">
      <c r="A2012" t="s">
        <v>37</v>
      </c>
      <c r="B2012" t="s">
        <v>10</v>
      </c>
      <c r="C2012" t="s">
        <v>11</v>
      </c>
      <c r="D2012">
        <v>945</v>
      </c>
      <c r="E2012">
        <v>83</v>
      </c>
      <c r="F2012" s="1">
        <v>44650</v>
      </c>
      <c r="G2012" t="str">
        <f>IF(COUNTIFS(Table1_3[Country],Table1_3[[#This Row],[Country]],Table1_3[Product],Table1_3[[#This Row],[Product]],Table1_3[Sales Person],Table1_3[[#This Row],[Sales Person]],Table1_3[Amount],"&lt;=100")&gt;=2,"Contract","Deal")</f>
        <v>Deal</v>
      </c>
    </row>
    <row r="2013" spans="1:7" x14ac:dyDescent="0.3">
      <c r="A2013" t="s">
        <v>37</v>
      </c>
      <c r="B2013" t="s">
        <v>10</v>
      </c>
      <c r="C2013" t="s">
        <v>11</v>
      </c>
      <c r="D2013">
        <v>1036.77</v>
      </c>
      <c r="E2013">
        <v>82</v>
      </c>
      <c r="F2013" s="1">
        <v>45015</v>
      </c>
      <c r="G2013" t="str">
        <f>IF(COUNTIFS(Table1_3[Country],Table1_3[[#This Row],[Country]],Table1_3[Product],Table1_3[[#This Row],[Product]],Table1_3[Sales Person],Table1_3[[#This Row],[Sales Person]],Table1_3[Amount],"&lt;=100")&gt;=2,"Contract","Deal")</f>
        <v>Deal</v>
      </c>
    </row>
    <row r="2014" spans="1:7" x14ac:dyDescent="0.3">
      <c r="A2014" t="s">
        <v>37</v>
      </c>
      <c r="B2014" t="s">
        <v>10</v>
      </c>
      <c r="C2014" t="s">
        <v>11</v>
      </c>
      <c r="D2014">
        <v>1108.8499999999999</v>
      </c>
      <c r="E2014">
        <v>87</v>
      </c>
      <c r="F2014" s="1">
        <v>45381</v>
      </c>
      <c r="G2014" t="str">
        <f>IF(COUNTIFS(Table1_3[Country],Table1_3[[#This Row],[Country]],Table1_3[Product],Table1_3[[#This Row],[Product]],Table1_3[Sales Person],Table1_3[[#This Row],[Sales Person]],Table1_3[Amount],"&lt;=100")&gt;=2,"Contract","Deal")</f>
        <v>Deal</v>
      </c>
    </row>
    <row r="2015" spans="1:7" x14ac:dyDescent="0.3">
      <c r="A2015" t="s">
        <v>37</v>
      </c>
      <c r="B2015" t="s">
        <v>10</v>
      </c>
      <c r="C2015" t="s">
        <v>65</v>
      </c>
      <c r="D2015">
        <v>6090</v>
      </c>
      <c r="E2015">
        <v>149</v>
      </c>
      <c r="F2015" s="1">
        <v>44748</v>
      </c>
      <c r="G2015" t="str">
        <f>IF(COUNTIFS(Table1_3[Country],Table1_3[[#This Row],[Country]],Table1_3[Product],Table1_3[[#This Row],[Product]],Table1_3[Sales Person],Table1_3[[#This Row],[Sales Person]],Table1_3[Amount],"&lt;=100")&gt;=2,"Contract","Deal")</f>
        <v>Deal</v>
      </c>
    </row>
    <row r="2016" spans="1:7" x14ac:dyDescent="0.3">
      <c r="A2016" t="s">
        <v>37</v>
      </c>
      <c r="B2016" t="s">
        <v>10</v>
      </c>
      <c r="C2016" t="s">
        <v>65</v>
      </c>
      <c r="D2016">
        <v>6188.62</v>
      </c>
      <c r="E2016">
        <v>157</v>
      </c>
      <c r="F2016" s="1">
        <v>45113</v>
      </c>
      <c r="G2016" t="str">
        <f>IF(COUNTIFS(Table1_3[Country],Table1_3[[#This Row],[Country]],Table1_3[Product],Table1_3[[#This Row],[Product]],Table1_3[Sales Person],Table1_3[[#This Row],[Sales Person]],Table1_3[Amount],"&lt;=100")&gt;=2,"Contract","Deal")</f>
        <v>Deal</v>
      </c>
    </row>
    <row r="2017" spans="1:7" x14ac:dyDescent="0.3">
      <c r="A2017" t="s">
        <v>37</v>
      </c>
      <c r="B2017" t="s">
        <v>10</v>
      </c>
      <c r="C2017" t="s">
        <v>65</v>
      </c>
      <c r="D2017">
        <v>6580.43</v>
      </c>
      <c r="E2017">
        <v>147</v>
      </c>
      <c r="F2017" s="1">
        <v>45479</v>
      </c>
      <c r="G2017" t="str">
        <f>IF(COUNTIFS(Table1_3[Country],Table1_3[[#This Row],[Country]],Table1_3[Product],Table1_3[[#This Row],[Product]],Table1_3[Sales Person],Table1_3[[#This Row],[Sales Person]],Table1_3[Amount],"&lt;=100")&gt;=2,"Contract","Deal")</f>
        <v>Deal</v>
      </c>
    </row>
    <row r="2018" spans="1:7" x14ac:dyDescent="0.3">
      <c r="A2018" t="s">
        <v>37</v>
      </c>
      <c r="B2018" t="s">
        <v>10</v>
      </c>
      <c r="C2018" t="s">
        <v>38</v>
      </c>
      <c r="D2018">
        <v>4795</v>
      </c>
      <c r="E2018">
        <v>233</v>
      </c>
      <c r="F2018" s="1">
        <v>44712</v>
      </c>
      <c r="G2018" t="str">
        <f>IF(COUNTIFS(Table1_3[Country],Table1_3[[#This Row],[Country]],Table1_3[Product],Table1_3[[#This Row],[Product]],Table1_3[Sales Person],Table1_3[[#This Row],[Sales Person]],Table1_3[Amount],"&lt;=100")&gt;=2,"Contract","Deal")</f>
        <v>Deal</v>
      </c>
    </row>
    <row r="2019" spans="1:7" x14ac:dyDescent="0.3">
      <c r="A2019" t="s">
        <v>37</v>
      </c>
      <c r="B2019" t="s">
        <v>10</v>
      </c>
      <c r="C2019" t="s">
        <v>38</v>
      </c>
      <c r="D2019">
        <v>5064.88</v>
      </c>
      <c r="E2019">
        <v>251</v>
      </c>
      <c r="F2019" s="1">
        <v>45077</v>
      </c>
      <c r="G2019" t="str">
        <f>IF(COUNTIFS(Table1_3[Country],Table1_3[[#This Row],[Country]],Table1_3[Product],Table1_3[[#This Row],[Product]],Table1_3[Sales Person],Table1_3[[#This Row],[Sales Person]],Table1_3[Amount],"&lt;=100")&gt;=2,"Contract","Deal")</f>
        <v>Deal</v>
      </c>
    </row>
    <row r="2020" spans="1:7" x14ac:dyDescent="0.3">
      <c r="A2020" t="s">
        <v>37</v>
      </c>
      <c r="B2020" t="s">
        <v>10</v>
      </c>
      <c r="C2020" t="s">
        <v>38</v>
      </c>
      <c r="D2020">
        <v>5055.05</v>
      </c>
      <c r="E2020">
        <v>241</v>
      </c>
      <c r="F2020" s="1">
        <v>45443</v>
      </c>
      <c r="G2020" t="str">
        <f>IF(COUNTIFS(Table1_3[Country],Table1_3[[#This Row],[Country]],Table1_3[Product],Table1_3[[#This Row],[Product]],Table1_3[Sales Person],Table1_3[[#This Row],[Sales Person]],Table1_3[Amount],"&lt;=100")&gt;=2,"Contract","Deal")</f>
        <v>Deal</v>
      </c>
    </row>
    <row r="2021" spans="1:7" x14ac:dyDescent="0.3">
      <c r="A2021" t="s">
        <v>37</v>
      </c>
      <c r="B2021" t="s">
        <v>10</v>
      </c>
      <c r="C2021" t="s">
        <v>57</v>
      </c>
      <c r="D2021">
        <v>168</v>
      </c>
      <c r="E2021">
        <v>321</v>
      </c>
      <c r="F2021" s="1">
        <v>44587</v>
      </c>
      <c r="G2021" t="str">
        <f>IF(COUNTIFS(Table1_3[Country],Table1_3[[#This Row],[Country]],Table1_3[Product],Table1_3[[#This Row],[Product]],Table1_3[Sales Person],Table1_3[[#This Row],[Sales Person]],Table1_3[Amount],"&lt;=100")&gt;=2,"Contract","Deal")</f>
        <v>Deal</v>
      </c>
    </row>
    <row r="2022" spans="1:7" x14ac:dyDescent="0.3">
      <c r="A2022" t="s">
        <v>37</v>
      </c>
      <c r="B2022" t="s">
        <v>10</v>
      </c>
      <c r="C2022" t="s">
        <v>57</v>
      </c>
      <c r="D2022">
        <v>189.37</v>
      </c>
      <c r="E2022">
        <v>315</v>
      </c>
      <c r="F2022" s="1">
        <v>44952</v>
      </c>
      <c r="G2022" t="str">
        <f>IF(COUNTIFS(Table1_3[Country],Table1_3[[#This Row],[Country]],Table1_3[Product],Table1_3[[#This Row],[Product]],Table1_3[Sales Person],Table1_3[[#This Row],[Sales Person]],Table1_3[Amount],"&lt;=100")&gt;=2,"Contract","Deal")</f>
        <v>Deal</v>
      </c>
    </row>
    <row r="2023" spans="1:7" x14ac:dyDescent="0.3">
      <c r="A2023" t="s">
        <v>37</v>
      </c>
      <c r="B2023" t="s">
        <v>10</v>
      </c>
      <c r="C2023" t="s">
        <v>57</v>
      </c>
      <c r="D2023">
        <v>181.31</v>
      </c>
      <c r="E2023">
        <v>330</v>
      </c>
      <c r="F2023" s="1">
        <v>45317</v>
      </c>
      <c r="G2023" t="str">
        <f>IF(COUNTIFS(Table1_3[Country],Table1_3[[#This Row],[Country]],Table1_3[Product],Table1_3[[#This Row],[Product]],Table1_3[Sales Person],Table1_3[[#This Row],[Sales Person]],Table1_3[Amount],"&lt;=100")&gt;=2,"Contract","Deal")</f>
        <v>Deal</v>
      </c>
    </row>
    <row r="2024" spans="1:7" x14ac:dyDescent="0.3">
      <c r="A2024" t="s">
        <v>37</v>
      </c>
      <c r="B2024" t="s">
        <v>10</v>
      </c>
      <c r="C2024" t="s">
        <v>60</v>
      </c>
      <c r="D2024">
        <v>2443</v>
      </c>
      <c r="E2024">
        <v>581</v>
      </c>
      <c r="F2024" s="1">
        <v>44746</v>
      </c>
      <c r="G2024" t="str">
        <f>IF(COUNTIFS(Table1_3[Country],Table1_3[[#This Row],[Country]],Table1_3[Product],Table1_3[[#This Row],[Product]],Table1_3[Sales Person],Table1_3[[#This Row],[Sales Person]],Table1_3[Amount],"&lt;=100")&gt;=2,"Contract","Deal")</f>
        <v>Deal</v>
      </c>
    </row>
    <row r="2025" spans="1:7" x14ac:dyDescent="0.3">
      <c r="A2025" t="s">
        <v>37</v>
      </c>
      <c r="B2025" t="s">
        <v>10</v>
      </c>
      <c r="C2025" t="s">
        <v>60</v>
      </c>
      <c r="D2025">
        <v>2487.19</v>
      </c>
      <c r="E2025">
        <v>583</v>
      </c>
      <c r="F2025" s="1">
        <v>45111</v>
      </c>
      <c r="G2025" t="str">
        <f>IF(COUNTIFS(Table1_3[Country],Table1_3[[#This Row],[Country]],Table1_3[Product],Table1_3[[#This Row],[Product]],Table1_3[Sales Person],Table1_3[[#This Row],[Sales Person]],Table1_3[Amount],"&lt;=100")&gt;=2,"Contract","Deal")</f>
        <v>Deal</v>
      </c>
    </row>
    <row r="2026" spans="1:7" x14ac:dyDescent="0.3">
      <c r="A2026" t="s">
        <v>37</v>
      </c>
      <c r="B2026" t="s">
        <v>10</v>
      </c>
      <c r="C2026" t="s">
        <v>60</v>
      </c>
      <c r="D2026">
        <v>2696.1</v>
      </c>
      <c r="E2026">
        <v>605</v>
      </c>
      <c r="F2026" s="1">
        <v>45477</v>
      </c>
      <c r="G2026" t="str">
        <f>IF(COUNTIFS(Table1_3[Country],Table1_3[[#This Row],[Country]],Table1_3[Product],Table1_3[[#This Row],[Product]],Table1_3[Sales Person],Table1_3[[#This Row],[Sales Person]],Table1_3[Amount],"&lt;=100")&gt;=2,"Contract","Deal")</f>
        <v>Deal</v>
      </c>
    </row>
    <row r="2027" spans="1:7" x14ac:dyDescent="0.3">
      <c r="A2027" t="s">
        <v>37</v>
      </c>
      <c r="B2027" t="s">
        <v>10</v>
      </c>
      <c r="C2027" t="s">
        <v>8</v>
      </c>
      <c r="D2027">
        <v>10990</v>
      </c>
      <c r="E2027">
        <v>184</v>
      </c>
      <c r="F2027" s="1">
        <v>44757</v>
      </c>
      <c r="G2027" t="str">
        <f>IF(COUNTIFS(Table1_3[Country],Table1_3[[#This Row],[Country]],Table1_3[Product],Table1_3[[#This Row],[Product]],Table1_3[Sales Person],Table1_3[[#This Row],[Sales Person]],Table1_3[Amount],"&lt;=100")&gt;=2,"Contract","Deal")</f>
        <v>Deal</v>
      </c>
    </row>
    <row r="2028" spans="1:7" x14ac:dyDescent="0.3">
      <c r="A2028" t="s">
        <v>37</v>
      </c>
      <c r="B2028" t="s">
        <v>10</v>
      </c>
      <c r="C2028" t="s">
        <v>8</v>
      </c>
      <c r="D2028">
        <v>11380.7</v>
      </c>
      <c r="E2028">
        <v>192</v>
      </c>
      <c r="F2028" s="1">
        <v>45122</v>
      </c>
      <c r="G2028" t="str">
        <f>IF(COUNTIFS(Table1_3[Country],Table1_3[[#This Row],[Country]],Table1_3[Product],Table1_3[[#This Row],[Product]],Table1_3[Sales Person],Table1_3[[#This Row],[Sales Person]],Table1_3[Amount],"&lt;=100")&gt;=2,"Contract","Deal")</f>
        <v>Deal</v>
      </c>
    </row>
    <row r="2029" spans="1:7" x14ac:dyDescent="0.3">
      <c r="A2029" t="s">
        <v>37</v>
      </c>
      <c r="B2029" t="s">
        <v>10</v>
      </c>
      <c r="C2029" t="s">
        <v>8</v>
      </c>
      <c r="D2029">
        <v>11650.88</v>
      </c>
      <c r="E2029">
        <v>192</v>
      </c>
      <c r="F2029" s="1">
        <v>45488</v>
      </c>
      <c r="G2029" t="str">
        <f>IF(COUNTIFS(Table1_3[Country],Table1_3[[#This Row],[Country]],Table1_3[Product],Table1_3[[#This Row],[Product]],Table1_3[Sales Person],Table1_3[[#This Row],[Sales Person]],Table1_3[Amount],"&lt;=100")&gt;=2,"Contract","Deal")</f>
        <v>Deal</v>
      </c>
    </row>
    <row r="2030" spans="1:7" x14ac:dyDescent="0.3">
      <c r="A2030" t="s">
        <v>37</v>
      </c>
      <c r="B2030" t="s">
        <v>10</v>
      </c>
      <c r="C2030" t="s">
        <v>33</v>
      </c>
      <c r="D2030">
        <v>3122</v>
      </c>
      <c r="E2030">
        <v>149</v>
      </c>
      <c r="F2030" s="1">
        <v>44739</v>
      </c>
      <c r="G2030" t="str">
        <f>IF(COUNTIFS(Table1_3[Country],Table1_3[[#This Row],[Country]],Table1_3[Product],Table1_3[[#This Row],[Product]],Table1_3[Sales Person],Table1_3[[#This Row],[Sales Person]],Table1_3[Amount],"&lt;=100")&gt;=2,"Contract","Deal")</f>
        <v>Deal</v>
      </c>
    </row>
    <row r="2031" spans="1:7" x14ac:dyDescent="0.3">
      <c r="A2031" t="s">
        <v>37</v>
      </c>
      <c r="B2031" t="s">
        <v>10</v>
      </c>
      <c r="C2031" t="s">
        <v>33</v>
      </c>
      <c r="D2031">
        <v>3172.08</v>
      </c>
      <c r="E2031">
        <v>153</v>
      </c>
      <c r="F2031" s="1">
        <v>45104</v>
      </c>
      <c r="G2031" t="str">
        <f>IF(COUNTIFS(Table1_3[Country],Table1_3[[#This Row],[Country]],Table1_3[Product],Table1_3[[#This Row],[Product]],Table1_3[Sales Person],Table1_3[[#This Row],[Sales Person]],Table1_3[Amount],"&lt;=100")&gt;=2,"Contract","Deal")</f>
        <v>Deal</v>
      </c>
    </row>
    <row r="2032" spans="1:7" x14ac:dyDescent="0.3">
      <c r="A2032" t="s">
        <v>37</v>
      </c>
      <c r="B2032" t="s">
        <v>10</v>
      </c>
      <c r="C2032" t="s">
        <v>33</v>
      </c>
      <c r="D2032">
        <v>3745.21</v>
      </c>
      <c r="E2032">
        <v>161</v>
      </c>
      <c r="F2032" s="1">
        <v>45470</v>
      </c>
      <c r="G2032" t="str">
        <f>IF(COUNTIFS(Table1_3[Country],Table1_3[[#This Row],[Country]],Table1_3[Product],Table1_3[[#This Row],[Product]],Table1_3[Sales Person],Table1_3[[#This Row],[Sales Person]],Table1_3[Amount],"&lt;=100")&gt;=2,"Contract","Deal")</f>
        <v>Deal</v>
      </c>
    </row>
    <row r="2033" spans="1:7" x14ac:dyDescent="0.3">
      <c r="A2033" t="s">
        <v>37</v>
      </c>
      <c r="B2033" t="s">
        <v>10</v>
      </c>
      <c r="C2033" t="s">
        <v>59</v>
      </c>
      <c r="D2033">
        <v>7483</v>
      </c>
      <c r="E2033">
        <v>232</v>
      </c>
      <c r="F2033" s="1">
        <v>44578</v>
      </c>
      <c r="G2033" t="str">
        <f>IF(COUNTIFS(Table1_3[Country],Table1_3[[#This Row],[Country]],Table1_3[Product],Table1_3[[#This Row],[Product]],Table1_3[Sales Person],Table1_3[[#This Row],[Sales Person]],Table1_3[Amount],"&lt;=100")&gt;=2,"Contract","Deal")</f>
        <v>Deal</v>
      </c>
    </row>
    <row r="2034" spans="1:7" x14ac:dyDescent="0.3">
      <c r="A2034" t="s">
        <v>37</v>
      </c>
      <c r="B2034" t="s">
        <v>10</v>
      </c>
      <c r="C2034" t="s">
        <v>59</v>
      </c>
      <c r="D2034">
        <v>8361.4699999999993</v>
      </c>
      <c r="E2034">
        <v>231</v>
      </c>
      <c r="F2034" s="1">
        <v>44943</v>
      </c>
      <c r="G2034" t="str">
        <f>IF(COUNTIFS(Table1_3[Country],Table1_3[[#This Row],[Country]],Table1_3[Product],Table1_3[[#This Row],[Product]],Table1_3[Sales Person],Table1_3[[#This Row],[Sales Person]],Table1_3[Amount],"&lt;=100")&gt;=2,"Contract","Deal")</f>
        <v>Deal</v>
      </c>
    </row>
    <row r="2035" spans="1:7" x14ac:dyDescent="0.3">
      <c r="A2035" t="s">
        <v>37</v>
      </c>
      <c r="B2035" t="s">
        <v>10</v>
      </c>
      <c r="C2035" t="s">
        <v>59</v>
      </c>
      <c r="D2035">
        <v>8265.32</v>
      </c>
      <c r="E2035">
        <v>251</v>
      </c>
      <c r="F2035" s="1">
        <v>45308</v>
      </c>
      <c r="G2035" t="str">
        <f>IF(COUNTIFS(Table1_3[Country],Table1_3[[#This Row],[Country]],Table1_3[Product],Table1_3[[#This Row],[Product]],Table1_3[Sales Person],Table1_3[[#This Row],[Sales Person]],Table1_3[Amount],"&lt;=100")&gt;=2,"Contract","Deal")</f>
        <v>Deal</v>
      </c>
    </row>
    <row r="2036" spans="1:7" x14ac:dyDescent="0.3">
      <c r="A2036" t="s">
        <v>37</v>
      </c>
      <c r="B2036" t="s">
        <v>25</v>
      </c>
      <c r="C2036" t="s">
        <v>100</v>
      </c>
      <c r="D2036">
        <v>126</v>
      </c>
      <c r="E2036">
        <v>40</v>
      </c>
      <c r="F2036" s="1">
        <v>44775</v>
      </c>
      <c r="G2036" t="str">
        <f>IF(COUNTIFS(Table1_3[Country],Table1_3[[#This Row],[Country]],Table1_3[Product],Table1_3[[#This Row],[Product]],Table1_3[Sales Person],Table1_3[[#This Row],[Sales Person]],Table1_3[Amount],"&lt;=100")&gt;=2,"Contract","Deal")</f>
        <v>Deal</v>
      </c>
    </row>
    <row r="2037" spans="1:7" x14ac:dyDescent="0.3">
      <c r="A2037" t="s">
        <v>37</v>
      </c>
      <c r="B2037" t="s">
        <v>25</v>
      </c>
      <c r="C2037" t="s">
        <v>100</v>
      </c>
      <c r="D2037">
        <v>141.22999999999999</v>
      </c>
      <c r="E2037">
        <v>38</v>
      </c>
      <c r="F2037" s="1">
        <v>45140</v>
      </c>
      <c r="G2037" t="str">
        <f>IF(COUNTIFS(Table1_3[Country],Table1_3[[#This Row],[Country]],Table1_3[Product],Table1_3[[#This Row],[Product]],Table1_3[Sales Person],Table1_3[[#This Row],[Sales Person]],Table1_3[Amount],"&lt;=100")&gt;=2,"Contract","Deal")</f>
        <v>Deal</v>
      </c>
    </row>
    <row r="2038" spans="1:7" x14ac:dyDescent="0.3">
      <c r="A2038" t="s">
        <v>37</v>
      </c>
      <c r="B2038" t="s">
        <v>25</v>
      </c>
      <c r="C2038" t="s">
        <v>100</v>
      </c>
      <c r="D2038">
        <v>150.41999999999999</v>
      </c>
      <c r="E2038">
        <v>40</v>
      </c>
      <c r="F2038" s="1">
        <v>45506</v>
      </c>
      <c r="G2038" t="str">
        <f>IF(COUNTIFS(Table1_3[Country],Table1_3[[#This Row],[Country]],Table1_3[Product],Table1_3[[#This Row],[Product]],Table1_3[Sales Person],Table1_3[[#This Row],[Sales Person]],Table1_3[Amount],"&lt;=100")&gt;=2,"Contract","Deal")</f>
        <v>Deal</v>
      </c>
    </row>
    <row r="2039" spans="1:7" x14ac:dyDescent="0.3">
      <c r="A2039" t="s">
        <v>37</v>
      </c>
      <c r="B2039" t="s">
        <v>25</v>
      </c>
      <c r="C2039" t="s">
        <v>11</v>
      </c>
      <c r="D2039">
        <v>6069</v>
      </c>
      <c r="E2039">
        <v>55</v>
      </c>
      <c r="F2039" s="1">
        <v>44740</v>
      </c>
      <c r="G2039" t="str">
        <f>IF(COUNTIFS(Table1_3[Country],Table1_3[[#This Row],[Country]],Table1_3[Product],Table1_3[[#This Row],[Product]],Table1_3[Sales Person],Table1_3[[#This Row],[Sales Person]],Table1_3[Amount],"&lt;=100")&gt;=2,"Contract","Deal")</f>
        <v>Deal</v>
      </c>
    </row>
    <row r="2040" spans="1:7" x14ac:dyDescent="0.3">
      <c r="A2040" t="s">
        <v>37</v>
      </c>
      <c r="B2040" t="s">
        <v>25</v>
      </c>
      <c r="C2040" t="s">
        <v>11</v>
      </c>
      <c r="D2040">
        <v>6312.53</v>
      </c>
      <c r="E2040">
        <v>60</v>
      </c>
      <c r="F2040" s="1">
        <v>45105</v>
      </c>
      <c r="G2040" t="str">
        <f>IF(COUNTIFS(Table1_3[Country],Table1_3[[#This Row],[Country]],Table1_3[Product],Table1_3[[#This Row],[Product]],Table1_3[Sales Person],Table1_3[[#This Row],[Sales Person]],Table1_3[Amount],"&lt;=100")&gt;=2,"Contract","Deal")</f>
        <v>Deal</v>
      </c>
    </row>
    <row r="2041" spans="1:7" x14ac:dyDescent="0.3">
      <c r="A2041" t="s">
        <v>37</v>
      </c>
      <c r="B2041" t="s">
        <v>25</v>
      </c>
      <c r="C2041" t="s">
        <v>11</v>
      </c>
      <c r="D2041">
        <v>6350.37</v>
      </c>
      <c r="E2041">
        <v>59</v>
      </c>
      <c r="F2041" s="1">
        <v>45471</v>
      </c>
      <c r="G2041" t="str">
        <f>IF(COUNTIFS(Table1_3[Country],Table1_3[[#This Row],[Country]],Table1_3[Product],Table1_3[[#This Row],[Product]],Table1_3[Sales Person],Table1_3[[#This Row],[Sales Person]],Table1_3[Amount],"&lt;=100")&gt;=2,"Contract","Deal")</f>
        <v>Deal</v>
      </c>
    </row>
    <row r="2042" spans="1:7" x14ac:dyDescent="0.3">
      <c r="A2042" t="s">
        <v>37</v>
      </c>
      <c r="B2042" t="s">
        <v>25</v>
      </c>
      <c r="C2042" t="s">
        <v>87</v>
      </c>
      <c r="D2042">
        <v>5012</v>
      </c>
      <c r="E2042">
        <v>189</v>
      </c>
      <c r="F2042" s="1">
        <v>44656</v>
      </c>
      <c r="G2042" t="str">
        <f>IF(COUNTIFS(Table1_3[Country],Table1_3[[#This Row],[Country]],Table1_3[Product],Table1_3[[#This Row],[Product]],Table1_3[Sales Person],Table1_3[[#This Row],[Sales Person]],Table1_3[Amount],"&lt;=100")&gt;=2,"Contract","Deal")</f>
        <v>Deal</v>
      </c>
    </row>
    <row r="2043" spans="1:7" x14ac:dyDescent="0.3">
      <c r="A2043" t="s">
        <v>37</v>
      </c>
      <c r="B2043" t="s">
        <v>25</v>
      </c>
      <c r="C2043" t="s">
        <v>87</v>
      </c>
      <c r="D2043">
        <v>5667.58</v>
      </c>
      <c r="E2043">
        <v>204</v>
      </c>
      <c r="F2043" s="1">
        <v>45021</v>
      </c>
      <c r="G2043" t="str">
        <f>IF(COUNTIFS(Table1_3[Country],Table1_3[[#This Row],[Country]],Table1_3[Product],Table1_3[[#This Row],[Product]],Table1_3[Sales Person],Table1_3[[#This Row],[Sales Person]],Table1_3[Amount],"&lt;=100")&gt;=2,"Contract","Deal")</f>
        <v>Deal</v>
      </c>
    </row>
    <row r="2044" spans="1:7" x14ac:dyDescent="0.3">
      <c r="A2044" t="s">
        <v>37</v>
      </c>
      <c r="B2044" t="s">
        <v>25</v>
      </c>
      <c r="C2044" t="s">
        <v>87</v>
      </c>
      <c r="D2044">
        <v>5701.35</v>
      </c>
      <c r="E2044">
        <v>201</v>
      </c>
      <c r="F2044" s="1">
        <v>45387</v>
      </c>
      <c r="G2044" t="str">
        <f>IF(COUNTIFS(Table1_3[Country],Table1_3[[#This Row],[Country]],Table1_3[Product],Table1_3[[#This Row],[Product]],Table1_3[Sales Person],Table1_3[[#This Row],[Sales Person]],Table1_3[Amount],"&lt;=100")&gt;=2,"Contract","Deal")</f>
        <v>Deal</v>
      </c>
    </row>
    <row r="2045" spans="1:7" x14ac:dyDescent="0.3">
      <c r="A2045" t="s">
        <v>37</v>
      </c>
      <c r="B2045" t="s">
        <v>25</v>
      </c>
      <c r="C2045" t="s">
        <v>90</v>
      </c>
      <c r="D2045">
        <v>5334</v>
      </c>
      <c r="E2045">
        <v>227</v>
      </c>
      <c r="F2045" s="1">
        <v>44592</v>
      </c>
      <c r="G2045" t="str">
        <f>IF(COUNTIFS(Table1_3[Country],Table1_3[[#This Row],[Country]],Table1_3[Product],Table1_3[[#This Row],[Product]],Table1_3[Sales Person],Table1_3[[#This Row],[Sales Person]],Table1_3[Amount],"&lt;=100")&gt;=2,"Contract","Deal")</f>
        <v>Deal</v>
      </c>
    </row>
    <row r="2046" spans="1:7" x14ac:dyDescent="0.3">
      <c r="A2046" t="s">
        <v>37</v>
      </c>
      <c r="B2046" t="s">
        <v>25</v>
      </c>
      <c r="C2046" t="s">
        <v>90</v>
      </c>
      <c r="D2046">
        <v>5487.3</v>
      </c>
      <c r="E2046">
        <v>219</v>
      </c>
      <c r="F2046" s="1">
        <v>44957</v>
      </c>
      <c r="G2046" t="str">
        <f>IF(COUNTIFS(Table1_3[Country],Table1_3[[#This Row],[Country]],Table1_3[Product],Table1_3[[#This Row],[Product]],Table1_3[Sales Person],Table1_3[[#This Row],[Sales Person]],Table1_3[Amount],"&lt;=100")&gt;=2,"Contract","Deal")</f>
        <v>Deal</v>
      </c>
    </row>
    <row r="2047" spans="1:7" x14ac:dyDescent="0.3">
      <c r="A2047" t="s">
        <v>37</v>
      </c>
      <c r="B2047" t="s">
        <v>25</v>
      </c>
      <c r="C2047" t="s">
        <v>90</v>
      </c>
      <c r="D2047">
        <v>6290.89</v>
      </c>
      <c r="E2047">
        <v>232</v>
      </c>
      <c r="F2047" s="1">
        <v>45322</v>
      </c>
      <c r="G2047" t="str">
        <f>IF(COUNTIFS(Table1_3[Country],Table1_3[[#This Row],[Country]],Table1_3[Product],Table1_3[[#This Row],[Product]],Table1_3[Sales Person],Table1_3[[#This Row],[Sales Person]],Table1_3[Amount],"&lt;=100")&gt;=2,"Contract","Deal")</f>
        <v>Deal</v>
      </c>
    </row>
    <row r="2048" spans="1:7" x14ac:dyDescent="0.3">
      <c r="A2048" t="s">
        <v>37</v>
      </c>
      <c r="B2048" t="s">
        <v>25</v>
      </c>
      <c r="C2048" t="s">
        <v>38</v>
      </c>
      <c r="D2048">
        <v>168</v>
      </c>
      <c r="E2048">
        <v>156</v>
      </c>
      <c r="F2048" s="1">
        <v>44770</v>
      </c>
      <c r="G2048" t="str">
        <f>IF(COUNTIFS(Table1_3[Country],Table1_3[[#This Row],[Country]],Table1_3[Product],Table1_3[[#This Row],[Product]],Table1_3[Sales Person],Table1_3[[#This Row],[Sales Person]],Table1_3[Amount],"&lt;=100")&gt;=2,"Contract","Deal")</f>
        <v>Deal</v>
      </c>
    </row>
    <row r="2049" spans="1:7" x14ac:dyDescent="0.3">
      <c r="A2049" t="s">
        <v>37</v>
      </c>
      <c r="B2049" t="s">
        <v>25</v>
      </c>
      <c r="C2049" t="s">
        <v>38</v>
      </c>
      <c r="D2049">
        <v>171.49</v>
      </c>
      <c r="E2049">
        <v>163</v>
      </c>
      <c r="F2049" s="1">
        <v>45135</v>
      </c>
      <c r="G2049" t="str">
        <f>IF(COUNTIFS(Table1_3[Country],Table1_3[[#This Row],[Country]],Table1_3[Product],Table1_3[[#This Row],[Product]],Table1_3[Sales Person],Table1_3[[#This Row],[Sales Person]],Table1_3[Amount],"&lt;=100")&gt;=2,"Contract","Deal")</f>
        <v>Deal</v>
      </c>
    </row>
    <row r="2050" spans="1:7" x14ac:dyDescent="0.3">
      <c r="A2050" t="s">
        <v>37</v>
      </c>
      <c r="B2050" t="s">
        <v>25</v>
      </c>
      <c r="C2050" t="s">
        <v>38</v>
      </c>
      <c r="D2050">
        <v>181.84</v>
      </c>
      <c r="E2050">
        <v>167</v>
      </c>
      <c r="F2050" s="1">
        <v>45501</v>
      </c>
      <c r="G2050" t="str">
        <f>IF(COUNTIFS(Table1_3[Country],Table1_3[[#This Row],[Country]],Table1_3[Product],Table1_3[[#This Row],[Product]],Table1_3[Sales Person],Table1_3[[#This Row],[Sales Person]],Table1_3[Amount],"&lt;=100")&gt;=2,"Contract","Deal")</f>
        <v>Deal</v>
      </c>
    </row>
    <row r="2051" spans="1:7" x14ac:dyDescent="0.3">
      <c r="A2051" t="s">
        <v>37</v>
      </c>
      <c r="B2051" t="s">
        <v>25</v>
      </c>
      <c r="C2051" t="s">
        <v>36</v>
      </c>
      <c r="D2051">
        <v>2597</v>
      </c>
      <c r="E2051">
        <v>177</v>
      </c>
      <c r="F2051" s="1">
        <v>44687</v>
      </c>
      <c r="G2051" t="str">
        <f>IF(COUNTIFS(Table1_3[Country],Table1_3[[#This Row],[Country]],Table1_3[Product],Table1_3[[#This Row],[Product]],Table1_3[Sales Person],Table1_3[[#This Row],[Sales Person]],Table1_3[Amount],"&lt;=100")&gt;=2,"Contract","Deal")</f>
        <v>Deal</v>
      </c>
    </row>
    <row r="2052" spans="1:7" x14ac:dyDescent="0.3">
      <c r="A2052" t="s">
        <v>37</v>
      </c>
      <c r="B2052" t="s">
        <v>25</v>
      </c>
      <c r="C2052" t="s">
        <v>36</v>
      </c>
      <c r="D2052">
        <v>2935.8</v>
      </c>
      <c r="E2052">
        <v>171</v>
      </c>
      <c r="F2052" s="1">
        <v>45052</v>
      </c>
      <c r="G2052" t="str">
        <f>IF(COUNTIFS(Table1_3[Country],Table1_3[[#This Row],[Country]],Table1_3[Product],Table1_3[[#This Row],[Product]],Table1_3[Sales Person],Table1_3[[#This Row],[Sales Person]],Table1_3[Amount],"&lt;=100")&gt;=2,"Contract","Deal")</f>
        <v>Deal</v>
      </c>
    </row>
    <row r="2053" spans="1:7" x14ac:dyDescent="0.3">
      <c r="A2053" t="s">
        <v>37</v>
      </c>
      <c r="B2053" t="s">
        <v>25</v>
      </c>
      <c r="C2053" t="s">
        <v>36</v>
      </c>
      <c r="D2053">
        <v>2817.14</v>
      </c>
      <c r="E2053">
        <v>191</v>
      </c>
      <c r="F2053" s="1">
        <v>45418</v>
      </c>
      <c r="G2053" t="str">
        <f>IF(COUNTIFS(Table1_3[Country],Table1_3[[#This Row],[Country]],Table1_3[Product],Table1_3[[#This Row],[Product]],Table1_3[Sales Person],Table1_3[[#This Row],[Sales Person]],Table1_3[Amount],"&lt;=100")&gt;=2,"Contract","Deal")</f>
        <v>Deal</v>
      </c>
    </row>
    <row r="2054" spans="1:7" x14ac:dyDescent="0.3">
      <c r="A2054" t="s">
        <v>37</v>
      </c>
      <c r="B2054" t="s">
        <v>25</v>
      </c>
      <c r="C2054" t="s">
        <v>57</v>
      </c>
      <c r="D2054">
        <v>1218</v>
      </c>
      <c r="E2054">
        <v>135</v>
      </c>
      <c r="F2054" s="1">
        <v>44599</v>
      </c>
      <c r="G2054" t="str">
        <f>IF(COUNTIFS(Table1_3[Country],Table1_3[[#This Row],[Country]],Table1_3[Product],Table1_3[[#This Row],[Product]],Table1_3[Sales Person],Table1_3[[#This Row],[Sales Person]],Table1_3[Amount],"&lt;=100")&gt;=2,"Contract","Deal")</f>
        <v>Deal</v>
      </c>
    </row>
    <row r="2055" spans="1:7" x14ac:dyDescent="0.3">
      <c r="A2055" t="s">
        <v>37</v>
      </c>
      <c r="B2055" t="s">
        <v>25</v>
      </c>
      <c r="C2055" t="s">
        <v>57</v>
      </c>
      <c r="D2055">
        <v>1365.88</v>
      </c>
      <c r="E2055">
        <v>147</v>
      </c>
      <c r="F2055" s="1">
        <v>44964</v>
      </c>
      <c r="G2055" t="str">
        <f>IF(COUNTIFS(Table1_3[Country],Table1_3[[#This Row],[Country]],Table1_3[Product],Table1_3[[#This Row],[Product]],Table1_3[Sales Person],Table1_3[[#This Row],[Sales Person]],Table1_3[Amount],"&lt;=100")&gt;=2,"Contract","Deal")</f>
        <v>Deal</v>
      </c>
    </row>
    <row r="2056" spans="1:7" x14ac:dyDescent="0.3">
      <c r="A2056" t="s">
        <v>37</v>
      </c>
      <c r="B2056" t="s">
        <v>25</v>
      </c>
      <c r="C2056" t="s">
        <v>57</v>
      </c>
      <c r="D2056">
        <v>1435.27</v>
      </c>
      <c r="E2056">
        <v>138</v>
      </c>
      <c r="F2056" s="1">
        <v>45329</v>
      </c>
      <c r="G2056" t="str">
        <f>IF(COUNTIFS(Table1_3[Country],Table1_3[[#This Row],[Country]],Table1_3[Product],Table1_3[[#This Row],[Product]],Table1_3[Sales Person],Table1_3[[#This Row],[Sales Person]],Table1_3[Amount],"&lt;=100")&gt;=2,"Contract","Deal")</f>
        <v>Deal</v>
      </c>
    </row>
    <row r="2057" spans="1:7" x14ac:dyDescent="0.3">
      <c r="A2057" t="s">
        <v>37</v>
      </c>
      <c r="B2057" t="s">
        <v>25</v>
      </c>
      <c r="C2057" t="s">
        <v>8</v>
      </c>
      <c r="D2057">
        <v>4326</v>
      </c>
      <c r="E2057">
        <v>61</v>
      </c>
      <c r="F2057" s="1">
        <v>44622</v>
      </c>
      <c r="G2057" t="str">
        <f>IF(COUNTIFS(Table1_3[Country],Table1_3[[#This Row],[Country]],Table1_3[Product],Table1_3[[#This Row],[Product]],Table1_3[Sales Person],Table1_3[[#This Row],[Sales Person]],Table1_3[Amount],"&lt;=100")&gt;=2,"Contract","Deal")</f>
        <v>Deal</v>
      </c>
    </row>
    <row r="2058" spans="1:7" x14ac:dyDescent="0.3">
      <c r="A2058" t="s">
        <v>37</v>
      </c>
      <c r="B2058" t="s">
        <v>25</v>
      </c>
      <c r="C2058" t="s">
        <v>8</v>
      </c>
      <c r="D2058">
        <v>4361.01</v>
      </c>
      <c r="E2058">
        <v>59</v>
      </c>
      <c r="F2058" s="1">
        <v>44987</v>
      </c>
      <c r="G2058" t="str">
        <f>IF(COUNTIFS(Table1_3[Country],Table1_3[[#This Row],[Country]],Table1_3[Product],Table1_3[[#This Row],[Product]],Table1_3[Sales Person],Table1_3[[#This Row],[Sales Person]],Table1_3[Amount],"&lt;=100")&gt;=2,"Contract","Deal")</f>
        <v>Deal</v>
      </c>
    </row>
    <row r="2059" spans="1:7" x14ac:dyDescent="0.3">
      <c r="A2059" t="s">
        <v>37</v>
      </c>
      <c r="B2059" t="s">
        <v>25</v>
      </c>
      <c r="C2059" t="s">
        <v>8</v>
      </c>
      <c r="D2059">
        <v>4834.51</v>
      </c>
      <c r="E2059">
        <v>63</v>
      </c>
      <c r="F2059" s="1">
        <v>45353</v>
      </c>
      <c r="G2059" t="str">
        <f>IF(COUNTIFS(Table1_3[Country],Table1_3[[#This Row],[Country]],Table1_3[Product],Table1_3[[#This Row],[Product]],Table1_3[Sales Person],Table1_3[[#This Row],[Sales Person]],Table1_3[Amount],"&lt;=100")&gt;=2,"Contract","Deal")</f>
        <v>Deal</v>
      </c>
    </row>
    <row r="2060" spans="1:7" x14ac:dyDescent="0.3">
      <c r="A2060" t="s">
        <v>37</v>
      </c>
      <c r="B2060" t="s">
        <v>7</v>
      </c>
      <c r="C2060" t="s">
        <v>26</v>
      </c>
      <c r="D2060">
        <v>3647</v>
      </c>
      <c r="E2060">
        <v>310</v>
      </c>
      <c r="F2060" s="1">
        <v>44657</v>
      </c>
      <c r="G2060" t="str">
        <f>IF(COUNTIFS(Table1_3[Country],Table1_3[[#This Row],[Country]],Table1_3[Product],Table1_3[[#This Row],[Product]],Table1_3[Sales Person],Table1_3[[#This Row],[Sales Person]],Table1_3[Amount],"&lt;=100")&gt;=2,"Contract","Deal")</f>
        <v>Deal</v>
      </c>
    </row>
    <row r="2061" spans="1:7" x14ac:dyDescent="0.3">
      <c r="A2061" t="s">
        <v>37</v>
      </c>
      <c r="B2061" t="s">
        <v>7</v>
      </c>
      <c r="C2061" t="s">
        <v>26</v>
      </c>
      <c r="D2061">
        <v>3843.01</v>
      </c>
      <c r="E2061">
        <v>295</v>
      </c>
      <c r="F2061" s="1">
        <v>45022</v>
      </c>
      <c r="G2061" t="str">
        <f>IF(COUNTIFS(Table1_3[Country],Table1_3[[#This Row],[Country]],Table1_3[Product],Table1_3[[#This Row],[Product]],Table1_3[Sales Person],Table1_3[[#This Row],[Sales Person]],Table1_3[Amount],"&lt;=100")&gt;=2,"Contract","Deal")</f>
        <v>Deal</v>
      </c>
    </row>
    <row r="2062" spans="1:7" x14ac:dyDescent="0.3">
      <c r="A2062" t="s">
        <v>37</v>
      </c>
      <c r="B2062" t="s">
        <v>7</v>
      </c>
      <c r="C2062" t="s">
        <v>26</v>
      </c>
      <c r="D2062">
        <v>3857.88</v>
      </c>
      <c r="E2062">
        <v>303</v>
      </c>
      <c r="F2062" s="1">
        <v>45388</v>
      </c>
      <c r="G2062" t="str">
        <f>IF(COUNTIFS(Table1_3[Country],Table1_3[[#This Row],[Country]],Table1_3[Product],Table1_3[[#This Row],[Product]],Table1_3[Sales Person],Table1_3[[#This Row],[Sales Person]],Table1_3[Amount],"&lt;=100")&gt;=2,"Contract","Deal")</f>
        <v>Deal</v>
      </c>
    </row>
    <row r="2063" spans="1:7" x14ac:dyDescent="0.3">
      <c r="A2063" t="s">
        <v>37</v>
      </c>
      <c r="B2063" t="s">
        <v>7</v>
      </c>
      <c r="C2063" t="s">
        <v>65</v>
      </c>
      <c r="D2063">
        <v>6839</v>
      </c>
      <c r="E2063">
        <v>133</v>
      </c>
      <c r="F2063" s="1">
        <v>44742</v>
      </c>
      <c r="G2063" t="str">
        <f>IF(COUNTIFS(Table1_3[Country],Table1_3[[#This Row],[Country]],Table1_3[Product],Table1_3[[#This Row],[Product]],Table1_3[Sales Person],Table1_3[[#This Row],[Sales Person]],Table1_3[Amount],"&lt;=100")&gt;=2,"Contract","Deal")</f>
        <v>Deal</v>
      </c>
    </row>
    <row r="2064" spans="1:7" x14ac:dyDescent="0.3">
      <c r="A2064" t="s">
        <v>37</v>
      </c>
      <c r="B2064" t="s">
        <v>7</v>
      </c>
      <c r="C2064" t="s">
        <v>65</v>
      </c>
      <c r="D2064">
        <v>7698.6</v>
      </c>
      <c r="E2064">
        <v>126</v>
      </c>
      <c r="F2064" s="1">
        <v>45107</v>
      </c>
      <c r="G2064" t="str">
        <f>IF(COUNTIFS(Table1_3[Country],Table1_3[[#This Row],[Country]],Table1_3[Product],Table1_3[[#This Row],[Product]],Table1_3[Sales Person],Table1_3[[#This Row],[Sales Person]],Table1_3[Amount],"&lt;=100")&gt;=2,"Contract","Deal")</f>
        <v>Deal</v>
      </c>
    </row>
    <row r="2065" spans="1:7" x14ac:dyDescent="0.3">
      <c r="A2065" t="s">
        <v>37</v>
      </c>
      <c r="B2065" t="s">
        <v>7</v>
      </c>
      <c r="C2065" t="s">
        <v>65</v>
      </c>
      <c r="D2065">
        <v>8101.98</v>
      </c>
      <c r="E2065">
        <v>138</v>
      </c>
      <c r="F2065" s="1">
        <v>45473</v>
      </c>
      <c r="G2065" t="str">
        <f>IF(COUNTIFS(Table1_3[Country],Table1_3[[#This Row],[Country]],Table1_3[Product],Table1_3[[#This Row],[Product]],Table1_3[Sales Person],Table1_3[[#This Row],[Sales Person]],Table1_3[Amount],"&lt;=100")&gt;=2,"Contract","Deal")</f>
        <v>Deal</v>
      </c>
    </row>
    <row r="2066" spans="1:7" x14ac:dyDescent="0.3">
      <c r="A2066" t="s">
        <v>37</v>
      </c>
      <c r="B2066" t="s">
        <v>7</v>
      </c>
      <c r="C2066" t="s">
        <v>87</v>
      </c>
      <c r="D2066">
        <v>4753</v>
      </c>
      <c r="E2066">
        <v>389</v>
      </c>
      <c r="F2066" s="1">
        <v>44599</v>
      </c>
      <c r="G2066" t="str">
        <f>IF(COUNTIFS(Table1_3[Country],Table1_3[[#This Row],[Country]],Table1_3[Product],Table1_3[[#This Row],[Product]],Table1_3[Sales Person],Table1_3[[#This Row],[Sales Person]],Table1_3[Amount],"&lt;=100")&gt;=2,"Contract","Deal")</f>
        <v>Deal</v>
      </c>
    </row>
    <row r="2067" spans="1:7" x14ac:dyDescent="0.3">
      <c r="A2067" t="s">
        <v>37</v>
      </c>
      <c r="B2067" t="s">
        <v>7</v>
      </c>
      <c r="C2067" t="s">
        <v>87</v>
      </c>
      <c r="D2067">
        <v>5094.4799999999996</v>
      </c>
      <c r="E2067">
        <v>373</v>
      </c>
      <c r="F2067" s="1">
        <v>44964</v>
      </c>
      <c r="G2067" t="str">
        <f>IF(COUNTIFS(Table1_3[Country],Table1_3[[#This Row],[Country]],Table1_3[Product],Table1_3[[#This Row],[Product]],Table1_3[Sales Person],Table1_3[[#This Row],[Sales Person]],Table1_3[Amount],"&lt;=100")&gt;=2,"Contract","Deal")</f>
        <v>Deal</v>
      </c>
    </row>
    <row r="2068" spans="1:7" x14ac:dyDescent="0.3">
      <c r="A2068" t="s">
        <v>37</v>
      </c>
      <c r="B2068" t="s">
        <v>7</v>
      </c>
      <c r="C2068" t="s">
        <v>87</v>
      </c>
      <c r="D2068">
        <v>5315.95</v>
      </c>
      <c r="E2068">
        <v>389</v>
      </c>
      <c r="F2068" s="1">
        <v>45329</v>
      </c>
      <c r="G2068" t="str">
        <f>IF(COUNTIFS(Table1_3[Country],Table1_3[[#This Row],[Country]],Table1_3[Product],Table1_3[[#This Row],[Product]],Table1_3[Sales Person],Table1_3[[#This Row],[Sales Person]],Table1_3[Amount],"&lt;=100")&gt;=2,"Contract","Deal")</f>
        <v>Deal</v>
      </c>
    </row>
    <row r="2069" spans="1:7" x14ac:dyDescent="0.3">
      <c r="A2069" t="s">
        <v>37</v>
      </c>
      <c r="B2069" t="s">
        <v>7</v>
      </c>
      <c r="C2069" t="s">
        <v>36</v>
      </c>
      <c r="D2069">
        <v>7798</v>
      </c>
      <c r="E2069">
        <v>196</v>
      </c>
      <c r="F2069" s="1">
        <v>44586</v>
      </c>
      <c r="G2069" t="str">
        <f>IF(COUNTIFS(Table1_3[Country],Table1_3[[#This Row],[Country]],Table1_3[Product],Table1_3[[#This Row],[Product]],Table1_3[Sales Person],Table1_3[[#This Row],[Sales Person]],Table1_3[Amount],"&lt;=100")&gt;=2,"Contract","Deal")</f>
        <v>Deal</v>
      </c>
    </row>
    <row r="2070" spans="1:7" x14ac:dyDescent="0.3">
      <c r="A2070" t="s">
        <v>37</v>
      </c>
      <c r="B2070" t="s">
        <v>7</v>
      </c>
      <c r="C2070" t="s">
        <v>36</v>
      </c>
      <c r="D2070">
        <v>7901.09</v>
      </c>
      <c r="E2070">
        <v>200</v>
      </c>
      <c r="F2070" s="1">
        <v>44951</v>
      </c>
      <c r="G2070" t="str">
        <f>IF(COUNTIFS(Table1_3[Country],Table1_3[[#This Row],[Country]],Table1_3[Product],Table1_3[[#This Row],[Product]],Table1_3[Sales Person],Table1_3[[#This Row],[Sales Person]],Table1_3[Amount],"&lt;=100")&gt;=2,"Contract","Deal")</f>
        <v>Deal</v>
      </c>
    </row>
    <row r="2071" spans="1:7" x14ac:dyDescent="0.3">
      <c r="A2071" t="s">
        <v>37</v>
      </c>
      <c r="B2071" t="s">
        <v>7</v>
      </c>
      <c r="C2071" t="s">
        <v>36</v>
      </c>
      <c r="D2071">
        <v>8360.11</v>
      </c>
      <c r="E2071">
        <v>203</v>
      </c>
      <c r="F2071" s="1">
        <v>45316</v>
      </c>
      <c r="G2071" t="str">
        <f>IF(COUNTIFS(Table1_3[Country],Table1_3[[#This Row],[Country]],Table1_3[Product],Table1_3[[#This Row],[Product]],Table1_3[Sales Person],Table1_3[[#This Row],[Sales Person]],Table1_3[Amount],"&lt;=100")&gt;=2,"Contract","Deal")</f>
        <v>Deal</v>
      </c>
    </row>
    <row r="2072" spans="1:7" x14ac:dyDescent="0.3">
      <c r="A2072" t="s">
        <v>37</v>
      </c>
      <c r="B2072" t="s">
        <v>32</v>
      </c>
      <c r="C2072" t="s">
        <v>38</v>
      </c>
      <c r="D2072">
        <v>112</v>
      </c>
      <c r="E2072">
        <v>223</v>
      </c>
      <c r="F2072" s="1">
        <v>44741</v>
      </c>
      <c r="G2072" t="str">
        <f>IF(COUNTIFS(Table1_3[Country],Table1_3[[#This Row],[Country]],Table1_3[Product],Table1_3[[#This Row],[Product]],Table1_3[Sales Person],Table1_3[[#This Row],[Sales Person]],Table1_3[Amount],"&lt;=100")&gt;=2,"Contract","Deal")</f>
        <v>Deal</v>
      </c>
    </row>
    <row r="2073" spans="1:7" x14ac:dyDescent="0.3">
      <c r="A2073" t="s">
        <v>37</v>
      </c>
      <c r="B2073" t="s">
        <v>32</v>
      </c>
      <c r="C2073" t="s">
        <v>38</v>
      </c>
      <c r="D2073">
        <v>114.82</v>
      </c>
      <c r="E2073">
        <v>231</v>
      </c>
      <c r="F2073" s="1">
        <v>45106</v>
      </c>
      <c r="G2073" t="str">
        <f>IF(COUNTIFS(Table1_3[Country],Table1_3[[#This Row],[Country]],Table1_3[Product],Table1_3[[#This Row],[Product]],Table1_3[Sales Person],Table1_3[[#This Row],[Sales Person]],Table1_3[Amount],"&lt;=100")&gt;=2,"Contract","Deal")</f>
        <v>Deal</v>
      </c>
    </row>
    <row r="2074" spans="1:7" x14ac:dyDescent="0.3">
      <c r="A2074" t="s">
        <v>37</v>
      </c>
      <c r="B2074" t="s">
        <v>32</v>
      </c>
      <c r="C2074" t="s">
        <v>38</v>
      </c>
      <c r="D2074">
        <v>132.68</v>
      </c>
      <c r="E2074">
        <v>243</v>
      </c>
      <c r="F2074" s="1">
        <v>45472</v>
      </c>
      <c r="G2074" t="str">
        <f>IF(COUNTIFS(Table1_3[Country],Table1_3[[#This Row],[Country]],Table1_3[Product],Table1_3[[#This Row],[Product]],Table1_3[Sales Person],Table1_3[[#This Row],[Sales Person]],Table1_3[Amount],"&lt;=100")&gt;=2,"Contract","Deal")</f>
        <v>Deal</v>
      </c>
    </row>
    <row r="2075" spans="1:7" x14ac:dyDescent="0.3">
      <c r="A2075" t="s">
        <v>37</v>
      </c>
      <c r="B2075" t="s">
        <v>32</v>
      </c>
      <c r="C2075" t="s">
        <v>36</v>
      </c>
      <c r="D2075">
        <v>868</v>
      </c>
      <c r="E2075">
        <v>125</v>
      </c>
      <c r="F2075" s="1">
        <v>44788</v>
      </c>
      <c r="G2075" t="str">
        <f>IF(COUNTIFS(Table1_3[Country],Table1_3[[#This Row],[Country]],Table1_3[Product],Table1_3[[#This Row],[Product]],Table1_3[Sales Person],Table1_3[[#This Row],[Sales Person]],Table1_3[Amount],"&lt;=100")&gt;=2,"Contract","Deal")</f>
        <v>Deal</v>
      </c>
    </row>
    <row r="2076" spans="1:7" x14ac:dyDescent="0.3">
      <c r="A2076" t="s">
        <v>37</v>
      </c>
      <c r="B2076" t="s">
        <v>32</v>
      </c>
      <c r="C2076" t="s">
        <v>36</v>
      </c>
      <c r="D2076">
        <v>991.46</v>
      </c>
      <c r="E2076">
        <v>133</v>
      </c>
      <c r="F2076" s="1">
        <v>45153</v>
      </c>
      <c r="G2076" t="str">
        <f>IF(COUNTIFS(Table1_3[Country],Table1_3[[#This Row],[Country]],Table1_3[Product],Table1_3[[#This Row],[Product]],Table1_3[Sales Person],Table1_3[[#This Row],[Sales Person]],Table1_3[Amount],"&lt;=100")&gt;=2,"Contract","Deal")</f>
        <v>Deal</v>
      </c>
    </row>
    <row r="2077" spans="1:7" x14ac:dyDescent="0.3">
      <c r="A2077" t="s">
        <v>37</v>
      </c>
      <c r="B2077" t="s">
        <v>32</v>
      </c>
      <c r="C2077" t="s">
        <v>36</v>
      </c>
      <c r="D2077">
        <v>1017.17</v>
      </c>
      <c r="E2077">
        <v>123</v>
      </c>
      <c r="F2077" s="1">
        <v>45519</v>
      </c>
      <c r="G2077" t="str">
        <f>IF(COUNTIFS(Table1_3[Country],Table1_3[[#This Row],[Country]],Table1_3[Product],Table1_3[[#This Row],[Product]],Table1_3[Sales Person],Table1_3[[#This Row],[Sales Person]],Table1_3[Amount],"&lt;=100")&gt;=2,"Contract","Deal")</f>
        <v>Deal</v>
      </c>
    </row>
    <row r="2078" spans="1:7" x14ac:dyDescent="0.3">
      <c r="A2078" t="s">
        <v>37</v>
      </c>
      <c r="B2078" t="s">
        <v>32</v>
      </c>
      <c r="C2078" t="s">
        <v>60</v>
      </c>
      <c r="D2078">
        <v>10171</v>
      </c>
      <c r="E2078">
        <v>67</v>
      </c>
      <c r="F2078" s="1">
        <v>44593</v>
      </c>
      <c r="G2078" t="str">
        <f>IF(COUNTIFS(Table1_3[Country],Table1_3[[#This Row],[Country]],Table1_3[Product],Table1_3[[#This Row],[Product]],Table1_3[Sales Person],Table1_3[[#This Row],[Sales Person]],Table1_3[Amount],"&lt;=100")&gt;=2,"Contract","Deal")</f>
        <v>Deal</v>
      </c>
    </row>
    <row r="2079" spans="1:7" x14ac:dyDescent="0.3">
      <c r="A2079" t="s">
        <v>37</v>
      </c>
      <c r="B2079" t="s">
        <v>32</v>
      </c>
      <c r="C2079" t="s">
        <v>60</v>
      </c>
      <c r="D2079">
        <v>10338.27</v>
      </c>
      <c r="E2079">
        <v>73</v>
      </c>
      <c r="F2079" s="1">
        <v>44958</v>
      </c>
      <c r="G2079" t="str">
        <f>IF(COUNTIFS(Table1_3[Country],Table1_3[[#This Row],[Country]],Table1_3[Product],Table1_3[[#This Row],[Product]],Table1_3[Sales Person],Table1_3[[#This Row],[Sales Person]],Table1_3[Amount],"&lt;=100")&gt;=2,"Contract","Deal")</f>
        <v>Deal</v>
      </c>
    </row>
    <row r="2080" spans="1:7" x14ac:dyDescent="0.3">
      <c r="A2080" t="s">
        <v>37</v>
      </c>
      <c r="B2080" t="s">
        <v>32</v>
      </c>
      <c r="C2080" t="s">
        <v>60</v>
      </c>
      <c r="D2080">
        <v>11815.59</v>
      </c>
      <c r="E2080">
        <v>68</v>
      </c>
      <c r="F2080" s="1">
        <v>45323</v>
      </c>
      <c r="G2080" t="str">
        <f>IF(COUNTIFS(Table1_3[Country],Table1_3[[#This Row],[Country]],Table1_3[Product],Table1_3[[#This Row],[Product]],Table1_3[Sales Person],Table1_3[[#This Row],[Sales Person]],Table1_3[Amount],"&lt;=100")&gt;=2,"Contract","Deal")</f>
        <v>Deal</v>
      </c>
    </row>
    <row r="2081" spans="1:7" x14ac:dyDescent="0.3">
      <c r="A2081" t="s">
        <v>37</v>
      </c>
      <c r="B2081" t="s">
        <v>32</v>
      </c>
      <c r="C2081" t="s">
        <v>46</v>
      </c>
      <c r="D2081">
        <v>4389</v>
      </c>
      <c r="E2081">
        <v>7</v>
      </c>
      <c r="F2081" s="1">
        <v>44588</v>
      </c>
      <c r="G2081" t="str">
        <f>IF(COUNTIFS(Table1_3[Country],Table1_3[[#This Row],[Country]],Table1_3[Product],Table1_3[[#This Row],[Product]],Table1_3[Sales Person],Table1_3[[#This Row],[Sales Person]],Table1_3[Amount],"&lt;=100")&gt;=2,"Contract","Deal")</f>
        <v>Deal</v>
      </c>
    </row>
    <row r="2082" spans="1:7" x14ac:dyDescent="0.3">
      <c r="A2082" t="s">
        <v>37</v>
      </c>
      <c r="B2082" t="s">
        <v>32</v>
      </c>
      <c r="C2082" t="s">
        <v>46</v>
      </c>
      <c r="D2082">
        <v>4764.5600000000004</v>
      </c>
      <c r="E2082">
        <v>7</v>
      </c>
      <c r="F2082" s="1">
        <v>44953</v>
      </c>
      <c r="G2082" t="str">
        <f>IF(COUNTIFS(Table1_3[Country],Table1_3[[#This Row],[Country]],Table1_3[Product],Table1_3[[#This Row],[Product]],Table1_3[Sales Person],Table1_3[[#This Row],[Sales Person]],Table1_3[Amount],"&lt;=100")&gt;=2,"Contract","Deal")</f>
        <v>Deal</v>
      </c>
    </row>
    <row r="2083" spans="1:7" x14ac:dyDescent="0.3">
      <c r="A2083" t="s">
        <v>37</v>
      </c>
      <c r="B2083" t="s">
        <v>32</v>
      </c>
      <c r="C2083" t="s">
        <v>46</v>
      </c>
      <c r="D2083">
        <v>5231.54</v>
      </c>
      <c r="E2083">
        <v>8</v>
      </c>
      <c r="F2083" s="1">
        <v>45318</v>
      </c>
      <c r="G2083" t="str">
        <f>IF(COUNTIFS(Table1_3[Country],Table1_3[[#This Row],[Country]],Table1_3[Product],Table1_3[[#This Row],[Product]],Table1_3[Sales Person],Table1_3[[#This Row],[Sales Person]],Table1_3[Amount],"&lt;=100")&gt;=2,"Contract","Deal")</f>
        <v>Deal</v>
      </c>
    </row>
    <row r="2084" spans="1:7" x14ac:dyDescent="0.3">
      <c r="A2084" t="s">
        <v>37</v>
      </c>
      <c r="B2084" t="s">
        <v>32</v>
      </c>
      <c r="C2084" t="s">
        <v>8</v>
      </c>
      <c r="D2084">
        <v>15652</v>
      </c>
      <c r="E2084">
        <v>53</v>
      </c>
      <c r="F2084" s="1">
        <v>44607</v>
      </c>
      <c r="G2084" t="str">
        <f>IF(COUNTIFS(Table1_3[Country],Table1_3[[#This Row],[Country]],Table1_3[Product],Table1_3[[#This Row],[Product]],Table1_3[Sales Person],Table1_3[[#This Row],[Sales Person]],Table1_3[Amount],"&lt;=100")&gt;=2,"Contract","Deal")</f>
        <v>Deal</v>
      </c>
    </row>
    <row r="2085" spans="1:7" x14ac:dyDescent="0.3">
      <c r="A2085" t="s">
        <v>37</v>
      </c>
      <c r="B2085" t="s">
        <v>32</v>
      </c>
      <c r="C2085" t="s">
        <v>8</v>
      </c>
      <c r="D2085">
        <v>16773.080000000002</v>
      </c>
      <c r="E2085">
        <v>58</v>
      </c>
      <c r="F2085" s="1">
        <v>44972</v>
      </c>
      <c r="G2085" t="str">
        <f>IF(COUNTIFS(Table1_3[Country],Table1_3[[#This Row],[Country]],Table1_3[Product],Table1_3[[#This Row],[Product]],Table1_3[Sales Person],Table1_3[[#This Row],[Sales Person]],Table1_3[Amount],"&lt;=100")&gt;=2,"Contract","Deal")</f>
        <v>Deal</v>
      </c>
    </row>
    <row r="2086" spans="1:7" x14ac:dyDescent="0.3">
      <c r="A2086" t="s">
        <v>37</v>
      </c>
      <c r="B2086" t="s">
        <v>32</v>
      </c>
      <c r="C2086" t="s">
        <v>8</v>
      </c>
      <c r="D2086">
        <v>17866.48</v>
      </c>
      <c r="E2086">
        <v>58</v>
      </c>
      <c r="F2086" s="1">
        <v>45337</v>
      </c>
      <c r="G2086" t="str">
        <f>IF(COUNTIFS(Table1_3[Country],Table1_3[[#This Row],[Country]],Table1_3[Product],Table1_3[[#This Row],[Product]],Table1_3[Sales Person],Table1_3[[#This Row],[Sales Person]],Table1_3[Amount],"&lt;=100")&gt;=2,"Contract","Deal")</f>
        <v>Deal</v>
      </c>
    </row>
    <row r="2087" spans="1:7" x14ac:dyDescent="0.3">
      <c r="A2087" t="s">
        <v>37</v>
      </c>
      <c r="B2087" t="s">
        <v>32</v>
      </c>
      <c r="C2087" t="s">
        <v>33</v>
      </c>
      <c r="D2087">
        <v>11095</v>
      </c>
      <c r="E2087">
        <v>401</v>
      </c>
      <c r="F2087" s="1">
        <v>44693</v>
      </c>
      <c r="G2087" t="str">
        <f>IF(COUNTIFS(Table1_3[Country],Table1_3[[#This Row],[Country]],Table1_3[Product],Table1_3[[#This Row],[Product]],Table1_3[Sales Person],Table1_3[[#This Row],[Sales Person]],Table1_3[Amount],"&lt;=100")&gt;=2,"Contract","Deal")</f>
        <v>Deal</v>
      </c>
    </row>
    <row r="2088" spans="1:7" x14ac:dyDescent="0.3">
      <c r="A2088" t="s">
        <v>37</v>
      </c>
      <c r="B2088" t="s">
        <v>32</v>
      </c>
      <c r="C2088" t="s">
        <v>33</v>
      </c>
      <c r="D2088">
        <v>11694.48</v>
      </c>
      <c r="E2088">
        <v>425</v>
      </c>
      <c r="F2088" s="1">
        <v>45058</v>
      </c>
      <c r="G2088" t="str">
        <f>IF(COUNTIFS(Table1_3[Country],Table1_3[[#This Row],[Country]],Table1_3[Product],Table1_3[[#This Row],[Product]],Table1_3[Sales Person],Table1_3[[#This Row],[Sales Person]],Table1_3[Amount],"&lt;=100")&gt;=2,"Contract","Deal")</f>
        <v>Deal</v>
      </c>
    </row>
    <row r="2089" spans="1:7" x14ac:dyDescent="0.3">
      <c r="A2089" t="s">
        <v>37</v>
      </c>
      <c r="B2089" t="s">
        <v>32</v>
      </c>
      <c r="C2089" t="s">
        <v>33</v>
      </c>
      <c r="D2089">
        <v>11741.46</v>
      </c>
      <c r="E2089">
        <v>433</v>
      </c>
      <c r="F2089" s="1">
        <v>45424</v>
      </c>
      <c r="G2089" t="str">
        <f>IF(COUNTIFS(Table1_3[Country],Table1_3[[#This Row],[Country]],Table1_3[Product],Table1_3[[#This Row],[Product]],Table1_3[Sales Person],Table1_3[[#This Row],[Sales Person]],Table1_3[Amount],"&lt;=100")&gt;=2,"Contract","Deal")</f>
        <v>Deal</v>
      </c>
    </row>
    <row r="2090" spans="1:7" x14ac:dyDescent="0.3">
      <c r="A2090" t="s">
        <v>37</v>
      </c>
      <c r="B2090" t="s">
        <v>32</v>
      </c>
      <c r="C2090" t="s">
        <v>73</v>
      </c>
      <c r="D2090">
        <v>14749</v>
      </c>
      <c r="E2090">
        <v>354</v>
      </c>
      <c r="F2090" s="1">
        <v>44666</v>
      </c>
      <c r="G2090" t="str">
        <f>IF(COUNTIFS(Table1_3[Country],Table1_3[[#This Row],[Country]],Table1_3[Product],Table1_3[[#This Row],[Product]],Table1_3[Sales Person],Table1_3[[#This Row],[Sales Person]],Table1_3[Amount],"&lt;=100")&gt;=2,"Contract","Deal")</f>
        <v>Deal</v>
      </c>
    </row>
    <row r="2091" spans="1:7" x14ac:dyDescent="0.3">
      <c r="A2091" t="s">
        <v>37</v>
      </c>
      <c r="B2091" t="s">
        <v>32</v>
      </c>
      <c r="C2091" t="s">
        <v>73</v>
      </c>
      <c r="D2091">
        <v>15370.06</v>
      </c>
      <c r="E2091">
        <v>353</v>
      </c>
      <c r="F2091" s="1">
        <v>45031</v>
      </c>
      <c r="G2091" t="str">
        <f>IF(COUNTIFS(Table1_3[Country],Table1_3[[#This Row],[Country]],Table1_3[Product],Table1_3[[#This Row],[Product]],Table1_3[Sales Person],Table1_3[[#This Row],[Sales Person]],Table1_3[Amount],"&lt;=100")&gt;=2,"Contract","Deal")</f>
        <v>Deal</v>
      </c>
    </row>
    <row r="2092" spans="1:7" x14ac:dyDescent="0.3">
      <c r="A2092" t="s">
        <v>37</v>
      </c>
      <c r="B2092" t="s">
        <v>32</v>
      </c>
      <c r="C2092" t="s">
        <v>73</v>
      </c>
      <c r="D2092">
        <v>17037.09</v>
      </c>
      <c r="E2092">
        <v>347</v>
      </c>
      <c r="F2092" s="1">
        <v>45397</v>
      </c>
      <c r="G2092" t="str">
        <f>IF(COUNTIFS(Table1_3[Country],Table1_3[[#This Row],[Country]],Table1_3[Product],Table1_3[[#This Row],[Product]],Table1_3[Sales Person],Table1_3[[#This Row],[Sales Person]],Table1_3[Amount],"&lt;=100")&gt;=2,"Contract","Deal")</f>
        <v>Deal</v>
      </c>
    </row>
    <row r="2093" spans="1:7" x14ac:dyDescent="0.3">
      <c r="A2093" t="s">
        <v>37</v>
      </c>
      <c r="B2093" t="s">
        <v>32</v>
      </c>
      <c r="C2093" t="s">
        <v>59</v>
      </c>
      <c r="D2093">
        <v>4592</v>
      </c>
      <c r="E2093">
        <v>2</v>
      </c>
      <c r="F2093" s="1">
        <v>44797</v>
      </c>
      <c r="G2093" t="str">
        <f>IF(COUNTIFS(Table1_3[Country],Table1_3[[#This Row],[Country]],Table1_3[Product],Table1_3[[#This Row],[Product]],Table1_3[Sales Person],Table1_3[[#This Row],[Sales Person]],Table1_3[Amount],"&lt;=100")&gt;=2,"Contract","Deal")</f>
        <v>Deal</v>
      </c>
    </row>
    <row r="2094" spans="1:7" x14ac:dyDescent="0.3">
      <c r="A2094" t="s">
        <v>37</v>
      </c>
      <c r="B2094" t="s">
        <v>32</v>
      </c>
      <c r="C2094" t="s">
        <v>59</v>
      </c>
      <c r="D2094">
        <v>5209.3999999999996</v>
      </c>
      <c r="E2094">
        <v>2</v>
      </c>
      <c r="F2094" s="1">
        <v>45162</v>
      </c>
      <c r="G2094" t="str">
        <f>IF(COUNTIFS(Table1_3[Country],Table1_3[[#This Row],[Country]],Table1_3[Product],Table1_3[[#This Row],[Product]],Table1_3[Sales Person],Table1_3[[#This Row],[Sales Person]],Table1_3[Amount],"&lt;=100")&gt;=2,"Contract","Deal")</f>
        <v>Deal</v>
      </c>
    </row>
    <row r="2095" spans="1:7" x14ac:dyDescent="0.3">
      <c r="A2095" t="s">
        <v>37</v>
      </c>
      <c r="B2095" t="s">
        <v>32</v>
      </c>
      <c r="C2095" t="s">
        <v>59</v>
      </c>
      <c r="D2095">
        <v>5158.01</v>
      </c>
      <c r="E2095">
        <v>2</v>
      </c>
      <c r="F2095" s="1">
        <v>45528</v>
      </c>
      <c r="G2095" t="str">
        <f>IF(COUNTIFS(Table1_3[Country],Table1_3[[#This Row],[Country]],Table1_3[Product],Table1_3[[#This Row],[Product]],Table1_3[Sales Person],Table1_3[[#This Row],[Sales Person]],Table1_3[Amount],"&lt;=100")&gt;=2,"Contract","Deal")</f>
        <v>Deal</v>
      </c>
    </row>
    <row r="2096" spans="1:7" x14ac:dyDescent="0.3">
      <c r="A2096" t="s">
        <v>70</v>
      </c>
      <c r="B2096" t="s">
        <v>15</v>
      </c>
      <c r="C2096" t="s">
        <v>20</v>
      </c>
      <c r="D2096">
        <v>3185</v>
      </c>
      <c r="E2096">
        <v>34</v>
      </c>
      <c r="F2096" s="1">
        <v>44742</v>
      </c>
      <c r="G2096" t="str">
        <f>IF(COUNTIFS(Table1_3[Country],Table1_3[[#This Row],[Country]],Table1_3[Product],Table1_3[[#This Row],[Product]],Table1_3[Sales Person],Table1_3[[#This Row],[Sales Person]],Table1_3[Amount],"&lt;=100")&gt;=2,"Contract","Deal")</f>
        <v>Deal</v>
      </c>
    </row>
    <row r="2097" spans="1:7" x14ac:dyDescent="0.3">
      <c r="A2097" t="s">
        <v>70</v>
      </c>
      <c r="B2097" t="s">
        <v>15</v>
      </c>
      <c r="C2097" t="s">
        <v>20</v>
      </c>
      <c r="D2097">
        <v>3272.68</v>
      </c>
      <c r="E2097">
        <v>32</v>
      </c>
      <c r="F2097" s="1">
        <v>45107</v>
      </c>
      <c r="G2097" t="str">
        <f>IF(COUNTIFS(Table1_3[Country],Table1_3[[#This Row],[Country]],Table1_3[Product],Table1_3[[#This Row],[Product]],Table1_3[Sales Person],Table1_3[[#This Row],[Sales Person]],Table1_3[Amount],"&lt;=100")&gt;=2,"Contract","Deal")</f>
        <v>Deal</v>
      </c>
    </row>
    <row r="2098" spans="1:7" x14ac:dyDescent="0.3">
      <c r="A2098" t="s">
        <v>70</v>
      </c>
      <c r="B2098" t="s">
        <v>15</v>
      </c>
      <c r="C2098" t="s">
        <v>20</v>
      </c>
      <c r="D2098">
        <v>3794.1</v>
      </c>
      <c r="E2098">
        <v>36</v>
      </c>
      <c r="F2098" s="1">
        <v>45473</v>
      </c>
      <c r="G2098" t="str">
        <f>IF(COUNTIFS(Table1_3[Country],Table1_3[[#This Row],[Country]],Table1_3[Product],Table1_3[[#This Row],[Product]],Table1_3[Sales Person],Table1_3[[#This Row],[Sales Person]],Table1_3[Amount],"&lt;=100")&gt;=2,"Contract","Deal")</f>
        <v>Deal</v>
      </c>
    </row>
    <row r="2099" spans="1:7" x14ac:dyDescent="0.3">
      <c r="A2099" t="s">
        <v>70</v>
      </c>
      <c r="B2099" t="s">
        <v>15</v>
      </c>
      <c r="C2099" t="s">
        <v>23</v>
      </c>
      <c r="D2099">
        <v>6916</v>
      </c>
      <c r="E2099">
        <v>288</v>
      </c>
      <c r="F2099" s="1">
        <v>44622</v>
      </c>
      <c r="G2099" t="str">
        <f>IF(COUNTIFS(Table1_3[Country],Table1_3[[#This Row],[Country]],Table1_3[Product],Table1_3[[#This Row],[Product]],Table1_3[Sales Person],Table1_3[[#This Row],[Sales Person]],Table1_3[Amount],"&lt;=100")&gt;=2,"Contract","Deal")</f>
        <v>Deal</v>
      </c>
    </row>
    <row r="2100" spans="1:7" x14ac:dyDescent="0.3">
      <c r="A2100" t="s">
        <v>70</v>
      </c>
      <c r="B2100" t="s">
        <v>15</v>
      </c>
      <c r="C2100" t="s">
        <v>23</v>
      </c>
      <c r="D2100">
        <v>7683.78</v>
      </c>
      <c r="E2100">
        <v>279</v>
      </c>
      <c r="F2100" s="1">
        <v>44987</v>
      </c>
      <c r="G2100" t="str">
        <f>IF(COUNTIFS(Table1_3[Country],Table1_3[[#This Row],[Country]],Table1_3[Product],Table1_3[[#This Row],[Product]],Table1_3[Sales Person],Table1_3[[#This Row],[Sales Person]],Table1_3[Amount],"&lt;=100")&gt;=2,"Contract","Deal")</f>
        <v>Deal</v>
      </c>
    </row>
    <row r="2101" spans="1:7" x14ac:dyDescent="0.3">
      <c r="A2101" t="s">
        <v>70</v>
      </c>
      <c r="B2101" t="s">
        <v>15</v>
      </c>
      <c r="C2101" t="s">
        <v>23</v>
      </c>
      <c r="D2101">
        <v>8265.41</v>
      </c>
      <c r="E2101">
        <v>298</v>
      </c>
      <c r="F2101" s="1">
        <v>45353</v>
      </c>
      <c r="G2101" t="str">
        <f>IF(COUNTIFS(Table1_3[Country],Table1_3[[#This Row],[Country]],Table1_3[Product],Table1_3[[#This Row],[Product]],Table1_3[Sales Person],Table1_3[[#This Row],[Sales Person]],Table1_3[Amount],"&lt;=100")&gt;=2,"Contract","Deal")</f>
        <v>Deal</v>
      </c>
    </row>
    <row r="2102" spans="1:7" x14ac:dyDescent="0.3">
      <c r="A2102" t="s">
        <v>70</v>
      </c>
      <c r="B2102" t="s">
        <v>15</v>
      </c>
      <c r="C2102" t="s">
        <v>65</v>
      </c>
      <c r="D2102">
        <v>4879</v>
      </c>
      <c r="E2102">
        <v>350</v>
      </c>
      <c r="F2102" s="1">
        <v>44711</v>
      </c>
      <c r="G2102" t="str">
        <f>IF(COUNTIFS(Table1_3[Country],Table1_3[[#This Row],[Country]],Table1_3[Product],Table1_3[[#This Row],[Product]],Table1_3[Sales Person],Table1_3[[#This Row],[Sales Person]],Table1_3[Amount],"&lt;=100")&gt;=2,"Contract","Deal")</f>
        <v>Deal</v>
      </c>
    </row>
    <row r="2103" spans="1:7" x14ac:dyDescent="0.3">
      <c r="A2103" t="s">
        <v>70</v>
      </c>
      <c r="B2103" t="s">
        <v>15</v>
      </c>
      <c r="C2103" t="s">
        <v>65</v>
      </c>
      <c r="D2103">
        <v>5509.22</v>
      </c>
      <c r="E2103">
        <v>341</v>
      </c>
      <c r="F2103" s="1">
        <v>45076</v>
      </c>
      <c r="G2103" t="str">
        <f>IF(COUNTIFS(Table1_3[Country],Table1_3[[#This Row],[Country]],Table1_3[Product],Table1_3[[#This Row],[Product]],Table1_3[Sales Person],Table1_3[[#This Row],[Sales Person]],Table1_3[Amount],"&lt;=100")&gt;=2,"Contract","Deal")</f>
        <v>Deal</v>
      </c>
    </row>
    <row r="2104" spans="1:7" x14ac:dyDescent="0.3">
      <c r="A2104" t="s">
        <v>70</v>
      </c>
      <c r="B2104" t="s">
        <v>15</v>
      </c>
      <c r="C2104" t="s">
        <v>65</v>
      </c>
      <c r="D2104">
        <v>5869.09</v>
      </c>
      <c r="E2104">
        <v>354</v>
      </c>
      <c r="F2104" s="1">
        <v>45442</v>
      </c>
      <c r="G2104" t="str">
        <f>IF(COUNTIFS(Table1_3[Country],Table1_3[[#This Row],[Country]],Table1_3[Product],Table1_3[[#This Row],[Product]],Table1_3[Sales Person],Table1_3[[#This Row],[Sales Person]],Table1_3[Amount],"&lt;=100")&gt;=2,"Contract","Deal")</f>
        <v>Deal</v>
      </c>
    </row>
    <row r="2105" spans="1:7" x14ac:dyDescent="0.3">
      <c r="A2105" t="s">
        <v>70</v>
      </c>
      <c r="B2105" t="s">
        <v>15</v>
      </c>
      <c r="C2105" t="s">
        <v>38</v>
      </c>
      <c r="D2105">
        <v>1288</v>
      </c>
      <c r="E2105">
        <v>60</v>
      </c>
      <c r="F2105" s="1">
        <v>44685</v>
      </c>
      <c r="G2105" t="str">
        <f>IF(COUNTIFS(Table1_3[Country],Table1_3[[#This Row],[Country]],Table1_3[Product],Table1_3[[#This Row],[Product]],Table1_3[Sales Person],Table1_3[[#This Row],[Sales Person]],Table1_3[Amount],"&lt;=100")&gt;=2,"Contract","Deal")</f>
        <v>Deal</v>
      </c>
    </row>
    <row r="2106" spans="1:7" x14ac:dyDescent="0.3">
      <c r="A2106" t="s">
        <v>70</v>
      </c>
      <c r="B2106" t="s">
        <v>15</v>
      </c>
      <c r="C2106" t="s">
        <v>38</v>
      </c>
      <c r="D2106">
        <v>1355.65</v>
      </c>
      <c r="E2106">
        <v>60</v>
      </c>
      <c r="F2106" s="1">
        <v>45050</v>
      </c>
      <c r="G2106" t="str">
        <f>IF(COUNTIFS(Table1_3[Country],Table1_3[[#This Row],[Country]],Table1_3[Product],Table1_3[[#This Row],[Product]],Table1_3[Sales Person],Table1_3[[#This Row],[Sales Person]],Table1_3[Amount],"&lt;=100")&gt;=2,"Contract","Deal")</f>
        <v>Deal</v>
      </c>
    </row>
    <row r="2107" spans="1:7" x14ac:dyDescent="0.3">
      <c r="A2107" t="s">
        <v>70</v>
      </c>
      <c r="B2107" t="s">
        <v>15</v>
      </c>
      <c r="C2107" t="s">
        <v>38</v>
      </c>
      <c r="D2107">
        <v>1370.19</v>
      </c>
      <c r="E2107">
        <v>58</v>
      </c>
      <c r="F2107" s="1">
        <v>45416</v>
      </c>
      <c r="G2107" t="str">
        <f>IF(COUNTIFS(Table1_3[Country],Table1_3[[#This Row],[Country]],Table1_3[Product],Table1_3[[#This Row],[Product]],Table1_3[Sales Person],Table1_3[[#This Row],[Sales Person]],Table1_3[Amount],"&lt;=100")&gt;=2,"Contract","Deal")</f>
        <v>Deal</v>
      </c>
    </row>
    <row r="2108" spans="1:7" x14ac:dyDescent="0.3">
      <c r="A2108" t="s">
        <v>70</v>
      </c>
      <c r="B2108" t="s">
        <v>15</v>
      </c>
      <c r="C2108" t="s">
        <v>36</v>
      </c>
      <c r="D2108">
        <v>7273</v>
      </c>
      <c r="E2108">
        <v>547</v>
      </c>
      <c r="F2108" s="1">
        <v>44643</v>
      </c>
      <c r="G2108" t="str">
        <f>IF(COUNTIFS(Table1_3[Country],Table1_3[[#This Row],[Country]],Table1_3[Product],Table1_3[[#This Row],[Product]],Table1_3[Sales Person],Table1_3[[#This Row],[Sales Person]],Table1_3[Amount],"&lt;=100")&gt;=2,"Contract","Deal")</f>
        <v>Deal</v>
      </c>
    </row>
    <row r="2109" spans="1:7" x14ac:dyDescent="0.3">
      <c r="A2109" t="s">
        <v>70</v>
      </c>
      <c r="B2109" t="s">
        <v>15</v>
      </c>
      <c r="C2109" t="s">
        <v>36</v>
      </c>
      <c r="D2109">
        <v>8168.86</v>
      </c>
      <c r="E2109">
        <v>570</v>
      </c>
      <c r="F2109" s="1">
        <v>45008</v>
      </c>
      <c r="G2109" t="str">
        <f>IF(COUNTIFS(Table1_3[Country],Table1_3[[#This Row],[Country]],Table1_3[Product],Table1_3[[#This Row],[Product]],Table1_3[Sales Person],Table1_3[[#This Row],[Sales Person]],Table1_3[Amount],"&lt;=100")&gt;=2,"Contract","Deal")</f>
        <v>Deal</v>
      </c>
    </row>
    <row r="2110" spans="1:7" x14ac:dyDescent="0.3">
      <c r="A2110" t="s">
        <v>70</v>
      </c>
      <c r="B2110" t="s">
        <v>15</v>
      </c>
      <c r="C2110" t="s">
        <v>36</v>
      </c>
      <c r="D2110">
        <v>8727.09</v>
      </c>
      <c r="E2110">
        <v>523</v>
      </c>
      <c r="F2110" s="1">
        <v>45374</v>
      </c>
      <c r="G2110" t="str">
        <f>IF(COUNTIFS(Table1_3[Country],Table1_3[[#This Row],[Country]],Table1_3[Product],Table1_3[[#This Row],[Product]],Table1_3[Sales Person],Table1_3[[#This Row],[Sales Person]],Table1_3[Amount],"&lt;=100")&gt;=2,"Contract","Deal")</f>
        <v>Deal</v>
      </c>
    </row>
    <row r="2111" spans="1:7" x14ac:dyDescent="0.3">
      <c r="A2111" t="s">
        <v>70</v>
      </c>
      <c r="B2111" t="s">
        <v>15</v>
      </c>
      <c r="C2111" t="s">
        <v>46</v>
      </c>
      <c r="D2111">
        <v>7910</v>
      </c>
      <c r="E2111">
        <v>125</v>
      </c>
      <c r="F2111" s="1">
        <v>44616</v>
      </c>
      <c r="G2111" t="str">
        <f>IF(COUNTIFS(Table1_3[Country],Table1_3[[#This Row],[Country]],Table1_3[Product],Table1_3[[#This Row],[Product]],Table1_3[Sales Person],Table1_3[[#This Row],[Sales Person]],Table1_3[Amount],"&lt;=100")&gt;=2,"Contract","Deal")</f>
        <v>Deal</v>
      </c>
    </row>
    <row r="2112" spans="1:7" x14ac:dyDescent="0.3">
      <c r="A2112" t="s">
        <v>70</v>
      </c>
      <c r="B2112" t="s">
        <v>15</v>
      </c>
      <c r="C2112" t="s">
        <v>46</v>
      </c>
      <c r="D2112">
        <v>8684.58</v>
      </c>
      <c r="E2112">
        <v>120</v>
      </c>
      <c r="F2112" s="1">
        <v>44981</v>
      </c>
      <c r="G2112" t="str">
        <f>IF(COUNTIFS(Table1_3[Country],Table1_3[[#This Row],[Country]],Table1_3[Product],Table1_3[[#This Row],[Product]],Table1_3[Sales Person],Table1_3[[#This Row],[Sales Person]],Table1_3[Amount],"&lt;=100")&gt;=2,"Contract","Deal")</f>
        <v>Deal</v>
      </c>
    </row>
    <row r="2113" spans="1:7" x14ac:dyDescent="0.3">
      <c r="A2113" t="s">
        <v>70</v>
      </c>
      <c r="B2113" t="s">
        <v>15</v>
      </c>
      <c r="C2113" t="s">
        <v>46</v>
      </c>
      <c r="D2113">
        <v>8975.44</v>
      </c>
      <c r="E2113">
        <v>137</v>
      </c>
      <c r="F2113" s="1">
        <v>45346</v>
      </c>
      <c r="G2113" t="str">
        <f>IF(COUNTIFS(Table1_3[Country],Table1_3[[#This Row],[Country]],Table1_3[Product],Table1_3[[#This Row],[Product]],Table1_3[Sales Person],Table1_3[[#This Row],[Sales Person]],Table1_3[Amount],"&lt;=100")&gt;=2,"Contract","Deal")</f>
        <v>Deal</v>
      </c>
    </row>
    <row r="2114" spans="1:7" x14ac:dyDescent="0.3">
      <c r="A2114" t="s">
        <v>70</v>
      </c>
      <c r="B2114" t="s">
        <v>15</v>
      </c>
      <c r="C2114" t="s">
        <v>33</v>
      </c>
      <c r="D2114">
        <v>11116</v>
      </c>
      <c r="E2114">
        <v>432</v>
      </c>
      <c r="F2114" s="1">
        <v>44680</v>
      </c>
      <c r="G2114" t="str">
        <f>IF(COUNTIFS(Table1_3[Country],Table1_3[[#This Row],[Country]],Table1_3[Product],Table1_3[[#This Row],[Product]],Table1_3[Sales Person],Table1_3[[#This Row],[Sales Person]],Table1_3[Amount],"&lt;=100")&gt;=2,"Contract","Deal")</f>
        <v>Deal</v>
      </c>
    </row>
    <row r="2115" spans="1:7" x14ac:dyDescent="0.3">
      <c r="A2115" t="s">
        <v>70</v>
      </c>
      <c r="B2115" t="s">
        <v>15</v>
      </c>
      <c r="C2115" t="s">
        <v>33</v>
      </c>
      <c r="D2115">
        <v>11597.46</v>
      </c>
      <c r="E2115">
        <v>462</v>
      </c>
      <c r="F2115" s="1">
        <v>45045</v>
      </c>
      <c r="G2115" t="str">
        <f>IF(COUNTIFS(Table1_3[Country],Table1_3[[#This Row],[Country]],Table1_3[Product],Table1_3[[#This Row],[Product]],Table1_3[Sales Person],Table1_3[[#This Row],[Sales Person]],Table1_3[Amount],"&lt;=100")&gt;=2,"Contract","Deal")</f>
        <v>Deal</v>
      </c>
    </row>
    <row r="2116" spans="1:7" x14ac:dyDescent="0.3">
      <c r="A2116" t="s">
        <v>70</v>
      </c>
      <c r="B2116" t="s">
        <v>15</v>
      </c>
      <c r="C2116" t="s">
        <v>33</v>
      </c>
      <c r="D2116">
        <v>13331.77</v>
      </c>
      <c r="E2116">
        <v>443</v>
      </c>
      <c r="F2116" s="1">
        <v>45411</v>
      </c>
      <c r="G2116" t="str">
        <f>IF(COUNTIFS(Table1_3[Country],Table1_3[[#This Row],[Country]],Table1_3[Product],Table1_3[[#This Row],[Product]],Table1_3[Sales Person],Table1_3[[#This Row],[Sales Person]],Table1_3[Amount],"&lt;=100")&gt;=2,"Contract","Deal")</f>
        <v>Deal</v>
      </c>
    </row>
    <row r="2117" spans="1:7" x14ac:dyDescent="0.3">
      <c r="A2117" t="s">
        <v>70</v>
      </c>
      <c r="B2117" t="s">
        <v>15</v>
      </c>
      <c r="C2117" t="s">
        <v>73</v>
      </c>
      <c r="D2117">
        <v>679</v>
      </c>
      <c r="E2117">
        <v>56</v>
      </c>
      <c r="F2117" s="1">
        <v>44719</v>
      </c>
      <c r="G2117" t="str">
        <f>IF(COUNTIFS(Table1_3[Country],Table1_3[[#This Row],[Country]],Table1_3[Product],Table1_3[[#This Row],[Product]],Table1_3[Sales Person],Table1_3[[#This Row],[Sales Person]],Table1_3[Amount],"&lt;=100")&gt;=2,"Contract","Deal")</f>
        <v>Deal</v>
      </c>
    </row>
    <row r="2118" spans="1:7" x14ac:dyDescent="0.3">
      <c r="A2118" t="s">
        <v>70</v>
      </c>
      <c r="B2118" t="s">
        <v>15</v>
      </c>
      <c r="C2118" t="s">
        <v>73</v>
      </c>
      <c r="D2118">
        <v>770.25</v>
      </c>
      <c r="E2118">
        <v>61</v>
      </c>
      <c r="F2118" s="1">
        <v>45084</v>
      </c>
      <c r="G2118" t="str">
        <f>IF(COUNTIFS(Table1_3[Country],Table1_3[[#This Row],[Country]],Table1_3[Product],Table1_3[[#This Row],[Product]],Table1_3[Sales Person],Table1_3[[#This Row],[Sales Person]],Table1_3[Amount],"&lt;=100")&gt;=2,"Contract","Deal")</f>
        <v>Deal</v>
      </c>
    </row>
    <row r="2119" spans="1:7" x14ac:dyDescent="0.3">
      <c r="A2119" t="s">
        <v>70</v>
      </c>
      <c r="B2119" t="s">
        <v>15</v>
      </c>
      <c r="C2119" t="s">
        <v>73</v>
      </c>
      <c r="D2119">
        <v>813.41</v>
      </c>
      <c r="E2119">
        <v>58</v>
      </c>
      <c r="F2119" s="1">
        <v>45450</v>
      </c>
      <c r="G2119" t="str">
        <f>IF(COUNTIFS(Table1_3[Country],Table1_3[[#This Row],[Country]],Table1_3[Product],Table1_3[[#This Row],[Product]],Table1_3[Sales Person],Table1_3[[#This Row],[Sales Person]],Table1_3[Amount],"&lt;=100")&gt;=2,"Contract","Deal")</f>
        <v>Deal</v>
      </c>
    </row>
    <row r="2120" spans="1:7" x14ac:dyDescent="0.3">
      <c r="A2120" t="s">
        <v>70</v>
      </c>
      <c r="B2120" t="s">
        <v>15</v>
      </c>
      <c r="C2120" t="s">
        <v>59</v>
      </c>
      <c r="D2120">
        <v>8715</v>
      </c>
      <c r="E2120">
        <v>168</v>
      </c>
      <c r="F2120" s="1">
        <v>44797</v>
      </c>
      <c r="G2120" t="str">
        <f>IF(COUNTIFS(Table1_3[Country],Table1_3[[#This Row],[Country]],Table1_3[Product],Table1_3[[#This Row],[Product]],Table1_3[Sales Person],Table1_3[[#This Row],[Sales Person]],Table1_3[Amount],"&lt;=100")&gt;=2,"Contract","Deal")</f>
        <v>Deal</v>
      </c>
    </row>
    <row r="2121" spans="1:7" x14ac:dyDescent="0.3">
      <c r="A2121" t="s">
        <v>70</v>
      </c>
      <c r="B2121" t="s">
        <v>15</v>
      </c>
      <c r="C2121" t="s">
        <v>59</v>
      </c>
      <c r="D2121">
        <v>8879.7199999999993</v>
      </c>
      <c r="E2121">
        <v>177</v>
      </c>
      <c r="F2121" s="1">
        <v>45162</v>
      </c>
      <c r="G2121" t="str">
        <f>IF(COUNTIFS(Table1_3[Country],Table1_3[[#This Row],[Country]],Table1_3[Product],Table1_3[[#This Row],[Product]],Table1_3[Sales Person],Table1_3[[#This Row],[Sales Person]],Table1_3[Amount],"&lt;=100")&gt;=2,"Contract","Deal")</f>
        <v>Deal</v>
      </c>
    </row>
    <row r="2122" spans="1:7" x14ac:dyDescent="0.3">
      <c r="A2122" t="s">
        <v>70</v>
      </c>
      <c r="B2122" t="s">
        <v>15</v>
      </c>
      <c r="C2122" t="s">
        <v>59</v>
      </c>
      <c r="D2122">
        <v>10089.49</v>
      </c>
      <c r="E2122">
        <v>168</v>
      </c>
      <c r="F2122" s="1">
        <v>45528</v>
      </c>
      <c r="G2122" t="str">
        <f>IF(COUNTIFS(Table1_3[Country],Table1_3[[#This Row],[Country]],Table1_3[Product],Table1_3[[#This Row],[Product]],Table1_3[Sales Person],Table1_3[[#This Row],[Sales Person]],Table1_3[Amount],"&lt;=100")&gt;=2,"Contract","Deal")</f>
        <v>Deal</v>
      </c>
    </row>
    <row r="2123" spans="1:7" x14ac:dyDescent="0.3">
      <c r="A2123" t="s">
        <v>70</v>
      </c>
      <c r="B2123" t="s">
        <v>35</v>
      </c>
      <c r="C2123" t="s">
        <v>20</v>
      </c>
      <c r="D2123">
        <v>4830</v>
      </c>
      <c r="E2123">
        <v>50</v>
      </c>
      <c r="F2123" s="1">
        <v>44788</v>
      </c>
      <c r="G2123" t="str">
        <f>IF(COUNTIFS(Table1_3[Country],Table1_3[[#This Row],[Country]],Table1_3[Product],Table1_3[[#This Row],[Product]],Table1_3[Sales Person],Table1_3[[#This Row],[Sales Person]],Table1_3[Amount],"&lt;=100")&gt;=2,"Contract","Deal")</f>
        <v>Deal</v>
      </c>
    </row>
    <row r="2124" spans="1:7" x14ac:dyDescent="0.3">
      <c r="A2124" t="s">
        <v>70</v>
      </c>
      <c r="B2124" t="s">
        <v>35</v>
      </c>
      <c r="C2124" t="s">
        <v>20</v>
      </c>
      <c r="D2124">
        <v>4950.21</v>
      </c>
      <c r="E2124">
        <v>54</v>
      </c>
      <c r="F2124" s="1">
        <v>45153</v>
      </c>
      <c r="G2124" t="str">
        <f>IF(COUNTIFS(Table1_3[Country],Table1_3[[#This Row],[Country]],Table1_3[Product],Table1_3[[#This Row],[Product]],Table1_3[Sales Person],Table1_3[[#This Row],[Sales Person]],Table1_3[Amount],"&lt;=100")&gt;=2,"Contract","Deal")</f>
        <v>Deal</v>
      </c>
    </row>
    <row r="2125" spans="1:7" x14ac:dyDescent="0.3">
      <c r="A2125" t="s">
        <v>70</v>
      </c>
      <c r="B2125" t="s">
        <v>35</v>
      </c>
      <c r="C2125" t="s">
        <v>20</v>
      </c>
      <c r="D2125">
        <v>5598.05</v>
      </c>
      <c r="E2125">
        <v>51</v>
      </c>
      <c r="F2125" s="1">
        <v>45519</v>
      </c>
      <c r="G2125" t="str">
        <f>IF(COUNTIFS(Table1_3[Country],Table1_3[[#This Row],[Country]],Table1_3[Product],Table1_3[[#This Row],[Product]],Table1_3[Sales Person],Table1_3[[#This Row],[Sales Person]],Table1_3[Amount],"&lt;=100")&gt;=2,"Contract","Deal")</f>
        <v>Deal</v>
      </c>
    </row>
    <row r="2126" spans="1:7" x14ac:dyDescent="0.3">
      <c r="A2126" t="s">
        <v>70</v>
      </c>
      <c r="B2126" t="s">
        <v>35</v>
      </c>
      <c r="C2126" t="s">
        <v>23</v>
      </c>
      <c r="D2126">
        <v>16702</v>
      </c>
      <c r="E2126">
        <v>198</v>
      </c>
      <c r="F2126" s="1">
        <v>44574</v>
      </c>
      <c r="G2126" t="str">
        <f>IF(COUNTIFS(Table1_3[Country],Table1_3[[#This Row],[Country]],Table1_3[Product],Table1_3[[#This Row],[Product]],Table1_3[Sales Person],Table1_3[[#This Row],[Sales Person]],Table1_3[Amount],"&lt;=100")&gt;=2,"Contract","Deal")</f>
        <v>Deal</v>
      </c>
    </row>
    <row r="2127" spans="1:7" x14ac:dyDescent="0.3">
      <c r="A2127" t="s">
        <v>70</v>
      </c>
      <c r="B2127" t="s">
        <v>35</v>
      </c>
      <c r="C2127" t="s">
        <v>23</v>
      </c>
      <c r="D2127">
        <v>17073.990000000002</v>
      </c>
      <c r="E2127">
        <v>218</v>
      </c>
      <c r="F2127" s="1">
        <v>44939</v>
      </c>
      <c r="G2127" t="str">
        <f>IF(COUNTIFS(Table1_3[Country],Table1_3[[#This Row],[Country]],Table1_3[Product],Table1_3[[#This Row],[Product]],Table1_3[Sales Person],Table1_3[[#This Row],[Sales Person]],Table1_3[Amount],"&lt;=100")&gt;=2,"Contract","Deal")</f>
        <v>Deal</v>
      </c>
    </row>
    <row r="2128" spans="1:7" x14ac:dyDescent="0.3">
      <c r="A2128" t="s">
        <v>70</v>
      </c>
      <c r="B2128" t="s">
        <v>35</v>
      </c>
      <c r="C2128" t="s">
        <v>23</v>
      </c>
      <c r="D2128">
        <v>19449.02</v>
      </c>
      <c r="E2128">
        <v>204</v>
      </c>
      <c r="F2128" s="1">
        <v>45304</v>
      </c>
      <c r="G2128" t="str">
        <f>IF(COUNTIFS(Table1_3[Country],Table1_3[[#This Row],[Country]],Table1_3[Product],Table1_3[[#This Row],[Product]],Table1_3[Sales Person],Table1_3[[#This Row],[Sales Person]],Table1_3[Amount],"&lt;=100")&gt;=2,"Contract","Deal")</f>
        <v>Deal</v>
      </c>
    </row>
    <row r="2129" spans="1:7" x14ac:dyDescent="0.3">
      <c r="A2129" t="s">
        <v>70</v>
      </c>
      <c r="B2129" t="s">
        <v>35</v>
      </c>
      <c r="C2129" t="s">
        <v>87</v>
      </c>
      <c r="D2129">
        <v>3073</v>
      </c>
      <c r="E2129">
        <v>302</v>
      </c>
      <c r="F2129" s="1">
        <v>44707</v>
      </c>
      <c r="G2129" t="str">
        <f>IF(COUNTIFS(Table1_3[Country],Table1_3[[#This Row],[Country]],Table1_3[Product],Table1_3[[#This Row],[Product]],Table1_3[Sales Person],Table1_3[[#This Row],[Sales Person]],Table1_3[Amount],"&lt;=100")&gt;=2,"Contract","Deal")</f>
        <v>Deal</v>
      </c>
    </row>
    <row r="2130" spans="1:7" x14ac:dyDescent="0.3">
      <c r="A2130" t="s">
        <v>70</v>
      </c>
      <c r="B2130" t="s">
        <v>35</v>
      </c>
      <c r="C2130" t="s">
        <v>87</v>
      </c>
      <c r="D2130">
        <v>3377.41</v>
      </c>
      <c r="E2130">
        <v>325</v>
      </c>
      <c r="F2130" s="1">
        <v>45072</v>
      </c>
      <c r="G2130" t="str">
        <f>IF(COUNTIFS(Table1_3[Country],Table1_3[[#This Row],[Country]],Table1_3[Product],Table1_3[[#This Row],[Product]],Table1_3[Sales Person],Table1_3[[#This Row],[Sales Person]],Table1_3[Amount],"&lt;=100")&gt;=2,"Contract","Deal")</f>
        <v>Deal</v>
      </c>
    </row>
    <row r="2131" spans="1:7" x14ac:dyDescent="0.3">
      <c r="A2131" t="s">
        <v>70</v>
      </c>
      <c r="B2131" t="s">
        <v>35</v>
      </c>
      <c r="C2131" t="s">
        <v>87</v>
      </c>
      <c r="D2131">
        <v>3597.37</v>
      </c>
      <c r="E2131">
        <v>288</v>
      </c>
      <c r="F2131" s="1">
        <v>45438</v>
      </c>
      <c r="G2131" t="str">
        <f>IF(COUNTIFS(Table1_3[Country],Table1_3[[#This Row],[Country]],Table1_3[Product],Table1_3[[#This Row],[Product]],Table1_3[Sales Person],Table1_3[[#This Row],[Sales Person]],Table1_3[Amount],"&lt;=100")&gt;=2,"Contract","Deal")</f>
        <v>Deal</v>
      </c>
    </row>
    <row r="2132" spans="1:7" x14ac:dyDescent="0.3">
      <c r="A2132" t="s">
        <v>70</v>
      </c>
      <c r="B2132" t="s">
        <v>35</v>
      </c>
      <c r="C2132" t="s">
        <v>57</v>
      </c>
      <c r="D2132">
        <v>826</v>
      </c>
      <c r="E2132">
        <v>149</v>
      </c>
      <c r="F2132" s="1">
        <v>44732</v>
      </c>
      <c r="G2132" t="str">
        <f>IF(COUNTIFS(Table1_3[Country],Table1_3[[#This Row],[Country]],Table1_3[Product],Table1_3[[#This Row],[Product]],Table1_3[Sales Person],Table1_3[[#This Row],[Sales Person]],Table1_3[Amount],"&lt;=100")&gt;=2,"Contract","Deal")</f>
        <v>Deal</v>
      </c>
    </row>
    <row r="2133" spans="1:7" x14ac:dyDescent="0.3">
      <c r="A2133" t="s">
        <v>70</v>
      </c>
      <c r="B2133" t="s">
        <v>35</v>
      </c>
      <c r="C2133" t="s">
        <v>57</v>
      </c>
      <c r="D2133">
        <v>840.71</v>
      </c>
      <c r="E2133">
        <v>162</v>
      </c>
      <c r="F2133" s="1">
        <v>45097</v>
      </c>
      <c r="G2133" t="str">
        <f>IF(COUNTIFS(Table1_3[Country],Table1_3[[#This Row],[Country]],Table1_3[Product],Table1_3[[#This Row],[Product]],Table1_3[Sales Person],Table1_3[[#This Row],[Sales Person]],Table1_3[Amount],"&lt;=100")&gt;=2,"Contract","Deal")</f>
        <v>Deal</v>
      </c>
    </row>
    <row r="2134" spans="1:7" x14ac:dyDescent="0.3">
      <c r="A2134" t="s">
        <v>70</v>
      </c>
      <c r="B2134" t="s">
        <v>35</v>
      </c>
      <c r="C2134" t="s">
        <v>57</v>
      </c>
      <c r="D2134">
        <v>881.49</v>
      </c>
      <c r="E2134">
        <v>152</v>
      </c>
      <c r="F2134" s="1">
        <v>45463</v>
      </c>
      <c r="G2134" t="str">
        <f>IF(COUNTIFS(Table1_3[Country],Table1_3[[#This Row],[Country]],Table1_3[Product],Table1_3[[#This Row],[Product]],Table1_3[Sales Person],Table1_3[[#This Row],[Sales Person]],Table1_3[Amount],"&lt;=100")&gt;=2,"Contract","Deal")</f>
        <v>Deal</v>
      </c>
    </row>
    <row r="2135" spans="1:7" x14ac:dyDescent="0.3">
      <c r="A2135" t="s">
        <v>70</v>
      </c>
      <c r="B2135" t="s">
        <v>35</v>
      </c>
      <c r="C2135" t="s">
        <v>46</v>
      </c>
      <c r="D2135">
        <v>16016</v>
      </c>
      <c r="E2135">
        <v>28</v>
      </c>
      <c r="F2135" s="1">
        <v>44749</v>
      </c>
      <c r="G2135" t="str">
        <f>IF(COUNTIFS(Table1_3[Country],Table1_3[[#This Row],[Country]],Table1_3[Product],Table1_3[[#This Row],[Product]],Table1_3[Sales Person],Table1_3[[#This Row],[Sales Person]],Table1_3[Amount],"&lt;=100")&gt;=2,"Contract","Deal")</f>
        <v>Deal</v>
      </c>
    </row>
    <row r="2136" spans="1:7" x14ac:dyDescent="0.3">
      <c r="A2136" t="s">
        <v>70</v>
      </c>
      <c r="B2136" t="s">
        <v>35</v>
      </c>
      <c r="C2136" t="s">
        <v>46</v>
      </c>
      <c r="D2136">
        <v>17680.189999999999</v>
      </c>
      <c r="E2136">
        <v>27</v>
      </c>
      <c r="F2136" s="1">
        <v>45114</v>
      </c>
      <c r="G2136" t="str">
        <f>IF(COUNTIFS(Table1_3[Country],Table1_3[[#This Row],[Country]],Table1_3[Product],Table1_3[[#This Row],[Product]],Table1_3[Sales Person],Table1_3[[#This Row],[Sales Person]],Table1_3[Amount],"&lt;=100")&gt;=2,"Contract","Deal")</f>
        <v>Deal</v>
      </c>
    </row>
    <row r="2137" spans="1:7" x14ac:dyDescent="0.3">
      <c r="A2137" t="s">
        <v>70</v>
      </c>
      <c r="B2137" t="s">
        <v>35</v>
      </c>
      <c r="C2137" t="s">
        <v>46</v>
      </c>
      <c r="D2137">
        <v>17518.04</v>
      </c>
      <c r="E2137">
        <v>28</v>
      </c>
      <c r="F2137" s="1">
        <v>45480</v>
      </c>
      <c r="G2137" t="str">
        <f>IF(COUNTIFS(Table1_3[Country],Table1_3[[#This Row],[Country]],Table1_3[Product],Table1_3[[#This Row],[Product]],Table1_3[Sales Person],Table1_3[[#This Row],[Sales Person]],Table1_3[Amount],"&lt;=100")&gt;=2,"Contract","Deal")</f>
        <v>Deal</v>
      </c>
    </row>
    <row r="2138" spans="1:7" x14ac:dyDescent="0.3">
      <c r="A2138" t="s">
        <v>70</v>
      </c>
      <c r="B2138" t="s">
        <v>35</v>
      </c>
      <c r="C2138" t="s">
        <v>13</v>
      </c>
      <c r="D2138">
        <v>7532</v>
      </c>
      <c r="E2138">
        <v>44</v>
      </c>
      <c r="F2138" s="1">
        <v>44659</v>
      </c>
      <c r="G2138" t="str">
        <f>IF(COUNTIFS(Table1_3[Country],Table1_3[[#This Row],[Country]],Table1_3[Product],Table1_3[[#This Row],[Product]],Table1_3[Sales Person],Table1_3[[#This Row],[Sales Person]],Table1_3[Amount],"&lt;=100")&gt;=2,"Contract","Deal")</f>
        <v>Deal</v>
      </c>
    </row>
    <row r="2139" spans="1:7" x14ac:dyDescent="0.3">
      <c r="A2139" t="s">
        <v>70</v>
      </c>
      <c r="B2139" t="s">
        <v>35</v>
      </c>
      <c r="C2139" t="s">
        <v>13</v>
      </c>
      <c r="D2139">
        <v>8106.62</v>
      </c>
      <c r="E2139">
        <v>47</v>
      </c>
      <c r="F2139" s="1">
        <v>45024</v>
      </c>
      <c r="G2139" t="str">
        <f>IF(COUNTIFS(Table1_3[Country],Table1_3[[#This Row],[Country]],Table1_3[Product],Table1_3[[#This Row],[Product]],Table1_3[Sales Person],Table1_3[[#This Row],[Sales Person]],Table1_3[Amount],"&lt;=100")&gt;=2,"Contract","Deal")</f>
        <v>Deal</v>
      </c>
    </row>
    <row r="2140" spans="1:7" x14ac:dyDescent="0.3">
      <c r="A2140" t="s">
        <v>70</v>
      </c>
      <c r="B2140" t="s">
        <v>35</v>
      </c>
      <c r="C2140" t="s">
        <v>13</v>
      </c>
      <c r="D2140">
        <v>8041.25</v>
      </c>
      <c r="E2140">
        <v>43</v>
      </c>
      <c r="F2140" s="1">
        <v>45390</v>
      </c>
      <c r="G2140" t="str">
        <f>IF(COUNTIFS(Table1_3[Country],Table1_3[[#This Row],[Country]],Table1_3[Product],Table1_3[[#This Row],[Product]],Table1_3[Sales Person],Table1_3[[#This Row],[Sales Person]],Table1_3[Amount],"&lt;=100")&gt;=2,"Contract","Deal")</f>
        <v>Deal</v>
      </c>
    </row>
    <row r="2141" spans="1:7" x14ac:dyDescent="0.3">
      <c r="A2141" t="s">
        <v>70</v>
      </c>
      <c r="B2141" t="s">
        <v>35</v>
      </c>
      <c r="C2141" t="s">
        <v>18</v>
      </c>
      <c r="D2141">
        <v>8099</v>
      </c>
      <c r="E2141">
        <v>118</v>
      </c>
      <c r="F2141" s="1">
        <v>44637</v>
      </c>
      <c r="G2141" t="str">
        <f>IF(COUNTIFS(Table1_3[Country],Table1_3[[#This Row],[Country]],Table1_3[Product],Table1_3[[#This Row],[Product]],Table1_3[Sales Person],Table1_3[[#This Row],[Sales Person]],Table1_3[Amount],"&lt;=100")&gt;=2,"Contract","Deal")</f>
        <v>Deal</v>
      </c>
    </row>
    <row r="2142" spans="1:7" x14ac:dyDescent="0.3">
      <c r="A2142" t="s">
        <v>70</v>
      </c>
      <c r="B2142" t="s">
        <v>35</v>
      </c>
      <c r="C2142" t="s">
        <v>18</v>
      </c>
      <c r="D2142">
        <v>8762.75</v>
      </c>
      <c r="E2142">
        <v>115</v>
      </c>
      <c r="F2142" s="1">
        <v>45002</v>
      </c>
      <c r="G2142" t="str">
        <f>IF(COUNTIFS(Table1_3[Country],Table1_3[[#This Row],[Country]],Table1_3[Product],Table1_3[[#This Row],[Product]],Table1_3[Sales Person],Table1_3[[#This Row],[Sales Person]],Table1_3[Amount],"&lt;=100")&gt;=2,"Contract","Deal")</f>
        <v>Deal</v>
      </c>
    </row>
    <row r="2143" spans="1:7" x14ac:dyDescent="0.3">
      <c r="A2143" t="s">
        <v>70</v>
      </c>
      <c r="B2143" t="s">
        <v>35</v>
      </c>
      <c r="C2143" t="s">
        <v>18</v>
      </c>
      <c r="D2143">
        <v>8929.57</v>
      </c>
      <c r="E2143">
        <v>121</v>
      </c>
      <c r="F2143" s="1">
        <v>45368</v>
      </c>
      <c r="G2143" t="str">
        <f>IF(COUNTIFS(Table1_3[Country],Table1_3[[#This Row],[Country]],Table1_3[Product],Table1_3[[#This Row],[Product]],Table1_3[Sales Person],Table1_3[[#This Row],[Sales Person]],Table1_3[Amount],"&lt;=100")&gt;=2,"Contract","Deal")</f>
        <v>Deal</v>
      </c>
    </row>
    <row r="2144" spans="1:7" x14ac:dyDescent="0.3">
      <c r="A2144" t="s">
        <v>70</v>
      </c>
      <c r="B2144" t="s">
        <v>10</v>
      </c>
      <c r="C2144" t="s">
        <v>100</v>
      </c>
      <c r="D2144">
        <v>3640</v>
      </c>
      <c r="E2144">
        <v>106</v>
      </c>
      <c r="F2144" s="1">
        <v>44718</v>
      </c>
      <c r="G2144" t="str">
        <f>IF(COUNTIFS(Table1_3[Country],Table1_3[[#This Row],[Country]],Table1_3[Product],Table1_3[[#This Row],[Product]],Table1_3[Sales Person],Table1_3[[#This Row],[Sales Person]],Table1_3[Amount],"&lt;=100")&gt;=2,"Contract","Deal")</f>
        <v>Deal</v>
      </c>
    </row>
    <row r="2145" spans="1:7" x14ac:dyDescent="0.3">
      <c r="A2145" t="s">
        <v>70</v>
      </c>
      <c r="B2145" t="s">
        <v>10</v>
      </c>
      <c r="C2145" t="s">
        <v>100</v>
      </c>
      <c r="D2145">
        <v>3967.25</v>
      </c>
      <c r="E2145">
        <v>101</v>
      </c>
      <c r="F2145" s="1">
        <v>45083</v>
      </c>
      <c r="G2145" t="str">
        <f>IF(COUNTIFS(Table1_3[Country],Table1_3[[#This Row],[Country]],Table1_3[Product],Table1_3[[#This Row],[Product]],Table1_3[Sales Person],Table1_3[[#This Row],[Sales Person]],Table1_3[Amount],"&lt;=100")&gt;=2,"Contract","Deal")</f>
        <v>Deal</v>
      </c>
    </row>
    <row r="2146" spans="1:7" x14ac:dyDescent="0.3">
      <c r="A2146" t="s">
        <v>70</v>
      </c>
      <c r="B2146" t="s">
        <v>10</v>
      </c>
      <c r="C2146" t="s">
        <v>100</v>
      </c>
      <c r="D2146">
        <v>3878.6</v>
      </c>
      <c r="E2146">
        <v>108</v>
      </c>
      <c r="F2146" s="1">
        <v>45449</v>
      </c>
      <c r="G2146" t="str">
        <f>IF(COUNTIFS(Table1_3[Country],Table1_3[[#This Row],[Country]],Table1_3[Product],Table1_3[[#This Row],[Product]],Table1_3[Sales Person],Table1_3[[#This Row],[Sales Person]],Table1_3[Amount],"&lt;=100")&gt;=2,"Contract","Deal")</f>
        <v>Deal</v>
      </c>
    </row>
    <row r="2147" spans="1:7" x14ac:dyDescent="0.3">
      <c r="A2147" t="s">
        <v>70</v>
      </c>
      <c r="B2147" t="s">
        <v>10</v>
      </c>
      <c r="C2147" t="s">
        <v>20</v>
      </c>
      <c r="D2147">
        <v>2303</v>
      </c>
      <c r="E2147">
        <v>244</v>
      </c>
      <c r="F2147" s="1">
        <v>44740</v>
      </c>
      <c r="G2147" t="str">
        <f>IF(COUNTIFS(Table1_3[Country],Table1_3[[#This Row],[Country]],Table1_3[Product],Table1_3[[#This Row],[Product]],Table1_3[Sales Person],Table1_3[[#This Row],[Sales Person]],Table1_3[Amount],"&lt;=100")&gt;=2,"Contract","Deal")</f>
        <v>Deal</v>
      </c>
    </row>
    <row r="2148" spans="1:7" x14ac:dyDescent="0.3">
      <c r="A2148" t="s">
        <v>70</v>
      </c>
      <c r="B2148" t="s">
        <v>10</v>
      </c>
      <c r="C2148" t="s">
        <v>20</v>
      </c>
      <c r="D2148">
        <v>2455.13</v>
      </c>
      <c r="E2148">
        <v>236</v>
      </c>
      <c r="F2148" s="1">
        <v>45105</v>
      </c>
      <c r="G2148" t="str">
        <f>IF(COUNTIFS(Table1_3[Country],Table1_3[[#This Row],[Country]],Table1_3[Product],Table1_3[[#This Row],[Product]],Table1_3[Sales Person],Table1_3[[#This Row],[Sales Person]],Table1_3[Amount],"&lt;=100")&gt;=2,"Contract","Deal")</f>
        <v>Deal</v>
      </c>
    </row>
    <row r="2149" spans="1:7" x14ac:dyDescent="0.3">
      <c r="A2149" t="s">
        <v>70</v>
      </c>
      <c r="B2149" t="s">
        <v>10</v>
      </c>
      <c r="C2149" t="s">
        <v>20</v>
      </c>
      <c r="D2149">
        <v>2411.9299999999998</v>
      </c>
      <c r="E2149">
        <v>248</v>
      </c>
      <c r="F2149" s="1">
        <v>45471</v>
      </c>
      <c r="G2149" t="str">
        <f>IF(COUNTIFS(Table1_3[Country],Table1_3[[#This Row],[Country]],Table1_3[Product],Table1_3[[#This Row],[Product]],Table1_3[Sales Person],Table1_3[[#This Row],[Sales Person]],Table1_3[Amount],"&lt;=100")&gt;=2,"Contract","Deal")</f>
        <v>Deal</v>
      </c>
    </row>
    <row r="2150" spans="1:7" x14ac:dyDescent="0.3">
      <c r="A2150" t="s">
        <v>70</v>
      </c>
      <c r="B2150" t="s">
        <v>10</v>
      </c>
      <c r="C2150" t="s">
        <v>23</v>
      </c>
      <c r="D2150">
        <v>1687</v>
      </c>
      <c r="E2150">
        <v>520</v>
      </c>
      <c r="F2150" s="1">
        <v>44568</v>
      </c>
      <c r="G2150" t="str">
        <f>IF(COUNTIFS(Table1_3[Country],Table1_3[[#This Row],[Country]],Table1_3[Product],Table1_3[[#This Row],[Product]],Table1_3[Sales Person],Table1_3[[#This Row],[Sales Person]],Table1_3[Amount],"&lt;=100")&gt;=2,"Contract","Deal")</f>
        <v>Deal</v>
      </c>
    </row>
    <row r="2151" spans="1:7" x14ac:dyDescent="0.3">
      <c r="A2151" t="s">
        <v>70</v>
      </c>
      <c r="B2151" t="s">
        <v>10</v>
      </c>
      <c r="C2151" t="s">
        <v>23</v>
      </c>
      <c r="D2151">
        <v>1732.04</v>
      </c>
      <c r="E2151">
        <v>531</v>
      </c>
      <c r="F2151" s="1">
        <v>44933</v>
      </c>
      <c r="G2151" t="str">
        <f>IF(COUNTIFS(Table1_3[Country],Table1_3[[#This Row],[Country]],Table1_3[Product],Table1_3[[#This Row],[Product]],Table1_3[Sales Person],Table1_3[[#This Row],[Sales Person]],Table1_3[Amount],"&lt;=100")&gt;=2,"Contract","Deal")</f>
        <v>Deal</v>
      </c>
    </row>
    <row r="2152" spans="1:7" x14ac:dyDescent="0.3">
      <c r="A2152" t="s">
        <v>70</v>
      </c>
      <c r="B2152" t="s">
        <v>10</v>
      </c>
      <c r="C2152" t="s">
        <v>23</v>
      </c>
      <c r="D2152">
        <v>1855.03</v>
      </c>
      <c r="E2152">
        <v>563</v>
      </c>
      <c r="F2152" s="1">
        <v>45298</v>
      </c>
      <c r="G2152" t="str">
        <f>IF(COUNTIFS(Table1_3[Country],Table1_3[[#This Row],[Country]],Table1_3[Product],Table1_3[[#This Row],[Product]],Table1_3[Sales Person],Table1_3[[#This Row],[Sales Person]],Table1_3[Amount],"&lt;=100")&gt;=2,"Contract","Deal")</f>
        <v>Deal</v>
      </c>
    </row>
    <row r="2153" spans="1:7" x14ac:dyDescent="0.3">
      <c r="A2153" t="s">
        <v>70</v>
      </c>
      <c r="B2153" t="s">
        <v>10</v>
      </c>
      <c r="C2153" t="s">
        <v>65</v>
      </c>
      <c r="D2153">
        <v>3297</v>
      </c>
      <c r="E2153">
        <v>149</v>
      </c>
      <c r="F2153" s="1">
        <v>44634</v>
      </c>
      <c r="G2153" t="str">
        <f>IF(COUNTIFS(Table1_3[Country],Table1_3[[#This Row],[Country]],Table1_3[Product],Table1_3[[#This Row],[Product]],Table1_3[Sales Person],Table1_3[[#This Row],[Sales Person]],Table1_3[Amount],"&lt;=100")&gt;=2,"Contract","Deal")</f>
        <v>Deal</v>
      </c>
    </row>
    <row r="2154" spans="1:7" x14ac:dyDescent="0.3">
      <c r="A2154" t="s">
        <v>70</v>
      </c>
      <c r="B2154" t="s">
        <v>10</v>
      </c>
      <c r="C2154" t="s">
        <v>65</v>
      </c>
      <c r="D2154">
        <v>3574.12</v>
      </c>
      <c r="E2154">
        <v>149</v>
      </c>
      <c r="F2154" s="1">
        <v>44999</v>
      </c>
      <c r="G2154" t="str">
        <f>IF(COUNTIFS(Table1_3[Country],Table1_3[[#This Row],[Country]],Table1_3[Product],Table1_3[[#This Row],[Product]],Table1_3[Sales Person],Table1_3[[#This Row],[Sales Person]],Table1_3[Amount],"&lt;=100")&gt;=2,"Contract","Deal")</f>
        <v>Deal</v>
      </c>
    </row>
    <row r="2155" spans="1:7" x14ac:dyDescent="0.3">
      <c r="A2155" t="s">
        <v>70</v>
      </c>
      <c r="B2155" t="s">
        <v>10</v>
      </c>
      <c r="C2155" t="s">
        <v>65</v>
      </c>
      <c r="D2155">
        <v>3677.47</v>
      </c>
      <c r="E2155">
        <v>152</v>
      </c>
      <c r="F2155" s="1">
        <v>45365</v>
      </c>
      <c r="G2155" t="str">
        <f>IF(COUNTIFS(Table1_3[Country],Table1_3[[#This Row],[Country]],Table1_3[Product],Table1_3[[#This Row],[Product]],Table1_3[Sales Person],Table1_3[[#This Row],[Sales Person]],Table1_3[Amount],"&lt;=100")&gt;=2,"Contract","Deal")</f>
        <v>Deal</v>
      </c>
    </row>
    <row r="2156" spans="1:7" x14ac:dyDescent="0.3">
      <c r="A2156" t="s">
        <v>70</v>
      </c>
      <c r="B2156" t="s">
        <v>10</v>
      </c>
      <c r="C2156" t="s">
        <v>90</v>
      </c>
      <c r="D2156">
        <v>476</v>
      </c>
      <c r="E2156">
        <v>125</v>
      </c>
      <c r="F2156" s="1">
        <v>44636</v>
      </c>
      <c r="G2156" t="str">
        <f>IF(COUNTIFS(Table1_3[Country],Table1_3[[#This Row],[Country]],Table1_3[Product],Table1_3[[#This Row],[Product]],Table1_3[Sales Person],Table1_3[[#This Row],[Sales Person]],Table1_3[Amount],"&lt;=100")&gt;=2,"Contract","Deal")</f>
        <v>Deal</v>
      </c>
    </row>
    <row r="2157" spans="1:7" x14ac:dyDescent="0.3">
      <c r="A2157" t="s">
        <v>70</v>
      </c>
      <c r="B2157" t="s">
        <v>10</v>
      </c>
      <c r="C2157" t="s">
        <v>90</v>
      </c>
      <c r="D2157">
        <v>487.06</v>
      </c>
      <c r="E2157">
        <v>123</v>
      </c>
      <c r="F2157" s="1">
        <v>45001</v>
      </c>
      <c r="G2157" t="str">
        <f>IF(COUNTIFS(Table1_3[Country],Table1_3[[#This Row],[Country]],Table1_3[Product],Table1_3[[#This Row],[Product]],Table1_3[Sales Person],Table1_3[[#This Row],[Sales Person]],Table1_3[Amount],"&lt;=100")&gt;=2,"Contract","Deal")</f>
        <v>Deal</v>
      </c>
    </row>
    <row r="2158" spans="1:7" x14ac:dyDescent="0.3">
      <c r="A2158" t="s">
        <v>70</v>
      </c>
      <c r="B2158" t="s">
        <v>10</v>
      </c>
      <c r="C2158" t="s">
        <v>90</v>
      </c>
      <c r="D2158">
        <v>513.42999999999995</v>
      </c>
      <c r="E2158">
        <v>131</v>
      </c>
      <c r="F2158" s="1">
        <v>45367</v>
      </c>
      <c r="G2158" t="str">
        <f>IF(COUNTIFS(Table1_3[Country],Table1_3[[#This Row],[Country]],Table1_3[Product],Table1_3[[#This Row],[Product]],Table1_3[Sales Person],Table1_3[[#This Row],[Sales Person]],Table1_3[Amount],"&lt;=100")&gt;=2,"Contract","Deal")</f>
        <v>Deal</v>
      </c>
    </row>
    <row r="2159" spans="1:7" x14ac:dyDescent="0.3">
      <c r="A2159" t="s">
        <v>70</v>
      </c>
      <c r="B2159" t="s">
        <v>10</v>
      </c>
      <c r="C2159" t="s">
        <v>38</v>
      </c>
      <c r="D2159">
        <v>7532</v>
      </c>
      <c r="E2159">
        <v>234</v>
      </c>
      <c r="F2159" s="1">
        <v>44746</v>
      </c>
      <c r="G2159" t="str">
        <f>IF(COUNTIFS(Table1_3[Country],Table1_3[[#This Row],[Country]],Table1_3[Product],Table1_3[[#This Row],[Product]],Table1_3[Sales Person],Table1_3[[#This Row],[Sales Person]],Table1_3[Amount],"&lt;=100")&gt;=2,"Contract","Deal")</f>
        <v>Deal</v>
      </c>
    </row>
    <row r="2160" spans="1:7" x14ac:dyDescent="0.3">
      <c r="A2160" t="s">
        <v>70</v>
      </c>
      <c r="B2160" t="s">
        <v>10</v>
      </c>
      <c r="C2160" t="s">
        <v>38</v>
      </c>
      <c r="D2160">
        <v>8105.37</v>
      </c>
      <c r="E2160">
        <v>255</v>
      </c>
      <c r="F2160" s="1">
        <v>45111</v>
      </c>
      <c r="G2160" t="str">
        <f>IF(COUNTIFS(Table1_3[Country],Table1_3[[#This Row],[Country]],Table1_3[Product],Table1_3[[#This Row],[Product]],Table1_3[Sales Person],Table1_3[[#This Row],[Sales Person]],Table1_3[Amount],"&lt;=100")&gt;=2,"Contract","Deal")</f>
        <v>Deal</v>
      </c>
    </row>
    <row r="2161" spans="1:7" x14ac:dyDescent="0.3">
      <c r="A2161" t="s">
        <v>70</v>
      </c>
      <c r="B2161" t="s">
        <v>10</v>
      </c>
      <c r="C2161" t="s">
        <v>38</v>
      </c>
      <c r="D2161">
        <v>8328.52</v>
      </c>
      <c r="E2161">
        <v>238</v>
      </c>
      <c r="F2161" s="1">
        <v>45477</v>
      </c>
      <c r="G2161" t="str">
        <f>IF(COUNTIFS(Table1_3[Country],Table1_3[[#This Row],[Country]],Table1_3[Product],Table1_3[[#This Row],[Product]],Table1_3[Sales Person],Table1_3[[#This Row],[Sales Person]],Table1_3[Amount],"&lt;=100")&gt;=2,"Contract","Deal")</f>
        <v>Deal</v>
      </c>
    </row>
    <row r="2162" spans="1:7" x14ac:dyDescent="0.3">
      <c r="A2162" t="s">
        <v>70</v>
      </c>
      <c r="B2162" t="s">
        <v>10</v>
      </c>
      <c r="C2162" t="s">
        <v>36</v>
      </c>
      <c r="D2162">
        <v>5334</v>
      </c>
      <c r="E2162">
        <v>80</v>
      </c>
      <c r="F2162" s="1">
        <v>44670</v>
      </c>
      <c r="G2162" t="str">
        <f>IF(COUNTIFS(Table1_3[Country],Table1_3[[#This Row],[Country]],Table1_3[Product],Table1_3[[#This Row],[Product]],Table1_3[Sales Person],Table1_3[[#This Row],[Sales Person]],Table1_3[Amount],"&lt;=100")&gt;=2,"Contract","Deal")</f>
        <v>Deal</v>
      </c>
    </row>
    <row r="2163" spans="1:7" x14ac:dyDescent="0.3">
      <c r="A2163" t="s">
        <v>70</v>
      </c>
      <c r="B2163" t="s">
        <v>10</v>
      </c>
      <c r="C2163" t="s">
        <v>36</v>
      </c>
      <c r="D2163">
        <v>5344.21</v>
      </c>
      <c r="E2163">
        <v>80</v>
      </c>
      <c r="F2163" s="1">
        <v>45035</v>
      </c>
      <c r="G2163" t="str">
        <f>IF(COUNTIFS(Table1_3[Country],Table1_3[[#This Row],[Country]],Table1_3[Product],Table1_3[[#This Row],[Product]],Table1_3[Sales Person],Table1_3[[#This Row],[Sales Person]],Table1_3[Amount],"&lt;=100")&gt;=2,"Contract","Deal")</f>
        <v>Deal</v>
      </c>
    </row>
    <row r="2164" spans="1:7" x14ac:dyDescent="0.3">
      <c r="A2164" t="s">
        <v>70</v>
      </c>
      <c r="B2164" t="s">
        <v>10</v>
      </c>
      <c r="C2164" t="s">
        <v>36</v>
      </c>
      <c r="D2164">
        <v>6069.93</v>
      </c>
      <c r="E2164">
        <v>80</v>
      </c>
      <c r="F2164" s="1">
        <v>45401</v>
      </c>
      <c r="G2164" t="str">
        <f>IF(COUNTIFS(Table1_3[Country],Table1_3[[#This Row],[Country]],Table1_3[Product],Table1_3[[#This Row],[Product]],Table1_3[Sales Person],Table1_3[[#This Row],[Sales Person]],Table1_3[Amount],"&lt;=100")&gt;=2,"Contract","Deal")</f>
        <v>Deal</v>
      </c>
    </row>
    <row r="2165" spans="1:7" x14ac:dyDescent="0.3">
      <c r="A2165" t="s">
        <v>70</v>
      </c>
      <c r="B2165" t="s">
        <v>10</v>
      </c>
      <c r="C2165" t="s">
        <v>46</v>
      </c>
      <c r="D2165">
        <v>966</v>
      </c>
      <c r="E2165">
        <v>107</v>
      </c>
      <c r="F2165" s="1">
        <v>44666</v>
      </c>
      <c r="G2165" t="str">
        <f>IF(COUNTIFS(Table1_3[Country],Table1_3[[#This Row],[Country]],Table1_3[Product],Table1_3[[#This Row],[Product]],Table1_3[Sales Person],Table1_3[[#This Row],[Sales Person]],Table1_3[Amount],"&lt;=100")&gt;=2,"Contract","Deal")</f>
        <v>Deal</v>
      </c>
    </row>
    <row r="2166" spans="1:7" x14ac:dyDescent="0.3">
      <c r="A2166" t="s">
        <v>70</v>
      </c>
      <c r="B2166" t="s">
        <v>10</v>
      </c>
      <c r="C2166" t="s">
        <v>46</v>
      </c>
      <c r="D2166">
        <v>975.67</v>
      </c>
      <c r="E2166">
        <v>105</v>
      </c>
      <c r="F2166" s="1">
        <v>45031</v>
      </c>
      <c r="G2166" t="str">
        <f>IF(COUNTIFS(Table1_3[Country],Table1_3[[#This Row],[Country]],Table1_3[Product],Table1_3[[#This Row],[Product]],Table1_3[Sales Person],Table1_3[[#This Row],[Sales Person]],Table1_3[Amount],"&lt;=100")&gt;=2,"Contract","Deal")</f>
        <v>Deal</v>
      </c>
    </row>
    <row r="2167" spans="1:7" x14ac:dyDescent="0.3">
      <c r="A2167" t="s">
        <v>70</v>
      </c>
      <c r="B2167" t="s">
        <v>10</v>
      </c>
      <c r="C2167" t="s">
        <v>46</v>
      </c>
      <c r="D2167">
        <v>1142.4100000000001</v>
      </c>
      <c r="E2167">
        <v>111</v>
      </c>
      <c r="F2167" s="1">
        <v>45397</v>
      </c>
      <c r="G2167" t="str">
        <f>IF(COUNTIFS(Table1_3[Country],Table1_3[[#This Row],[Country]],Table1_3[Product],Table1_3[[#This Row],[Product]],Table1_3[Sales Person],Table1_3[[#This Row],[Sales Person]],Table1_3[Amount],"&lt;=100")&gt;=2,"Contract","Deal")</f>
        <v>Deal</v>
      </c>
    </row>
    <row r="2168" spans="1:7" x14ac:dyDescent="0.3">
      <c r="A2168" t="s">
        <v>70</v>
      </c>
      <c r="B2168" t="s">
        <v>10</v>
      </c>
      <c r="C2168" t="s">
        <v>8</v>
      </c>
      <c r="D2168">
        <v>2870</v>
      </c>
      <c r="E2168">
        <v>120</v>
      </c>
      <c r="F2168" s="1">
        <v>44770</v>
      </c>
      <c r="G2168" t="str">
        <f>IF(COUNTIFS(Table1_3[Country],Table1_3[[#This Row],[Country]],Table1_3[Product],Table1_3[[#This Row],[Product]],Table1_3[Sales Person],Table1_3[[#This Row],[Sales Person]],Table1_3[Amount],"&lt;=100")&gt;=2,"Contract","Deal")</f>
        <v>Deal</v>
      </c>
    </row>
    <row r="2169" spans="1:7" x14ac:dyDescent="0.3">
      <c r="A2169" t="s">
        <v>70</v>
      </c>
      <c r="B2169" t="s">
        <v>10</v>
      </c>
      <c r="C2169" t="s">
        <v>8</v>
      </c>
      <c r="D2169">
        <v>3012.68</v>
      </c>
      <c r="E2169">
        <v>129</v>
      </c>
      <c r="F2169" s="1">
        <v>45135</v>
      </c>
      <c r="G2169" t="str">
        <f>IF(COUNTIFS(Table1_3[Country],Table1_3[[#This Row],[Country]],Table1_3[Product],Table1_3[[#This Row],[Product]],Table1_3[Sales Person],Table1_3[[#This Row],[Sales Person]],Table1_3[Amount],"&lt;=100")&gt;=2,"Contract","Deal")</f>
        <v>Deal</v>
      </c>
    </row>
    <row r="2170" spans="1:7" x14ac:dyDescent="0.3">
      <c r="A2170" t="s">
        <v>70</v>
      </c>
      <c r="B2170" t="s">
        <v>10</v>
      </c>
      <c r="C2170" t="s">
        <v>8</v>
      </c>
      <c r="D2170">
        <v>3105.45</v>
      </c>
      <c r="E2170">
        <v>116</v>
      </c>
      <c r="F2170" s="1">
        <v>45501</v>
      </c>
      <c r="G2170" t="str">
        <f>IF(COUNTIFS(Table1_3[Country],Table1_3[[#This Row],[Country]],Table1_3[Product],Table1_3[[#This Row],[Product]],Table1_3[Sales Person],Table1_3[[#This Row],[Sales Person]],Table1_3[Amount],"&lt;=100")&gt;=2,"Contract","Deal")</f>
        <v>Deal</v>
      </c>
    </row>
    <row r="2171" spans="1:7" x14ac:dyDescent="0.3">
      <c r="A2171" t="s">
        <v>70</v>
      </c>
      <c r="B2171" t="s">
        <v>10</v>
      </c>
      <c r="C2171" t="s">
        <v>33</v>
      </c>
      <c r="D2171">
        <v>9408</v>
      </c>
      <c r="E2171">
        <v>138</v>
      </c>
      <c r="F2171" s="1">
        <v>44719</v>
      </c>
      <c r="G2171" t="str">
        <f>IF(COUNTIFS(Table1_3[Country],Table1_3[[#This Row],[Country]],Table1_3[Product],Table1_3[[#This Row],[Product]],Table1_3[Sales Person],Table1_3[[#This Row],[Sales Person]],Table1_3[Amount],"&lt;=100")&gt;=2,"Contract","Deal")</f>
        <v>Deal</v>
      </c>
    </row>
    <row r="2172" spans="1:7" x14ac:dyDescent="0.3">
      <c r="A2172" t="s">
        <v>70</v>
      </c>
      <c r="B2172" t="s">
        <v>10</v>
      </c>
      <c r="C2172" t="s">
        <v>33</v>
      </c>
      <c r="D2172">
        <v>10587.71</v>
      </c>
      <c r="E2172">
        <v>134</v>
      </c>
      <c r="F2172" s="1">
        <v>45084</v>
      </c>
      <c r="G2172" t="str">
        <f>IF(COUNTIFS(Table1_3[Country],Table1_3[[#This Row],[Country]],Table1_3[Product],Table1_3[[#This Row],[Product]],Table1_3[Sales Person],Table1_3[[#This Row],[Sales Person]],Table1_3[Amount],"&lt;=100")&gt;=2,"Contract","Deal")</f>
        <v>Deal</v>
      </c>
    </row>
    <row r="2173" spans="1:7" x14ac:dyDescent="0.3">
      <c r="A2173" t="s">
        <v>70</v>
      </c>
      <c r="B2173" t="s">
        <v>10</v>
      </c>
      <c r="C2173" t="s">
        <v>33</v>
      </c>
      <c r="D2173">
        <v>11315.16</v>
      </c>
      <c r="E2173">
        <v>134</v>
      </c>
      <c r="F2173" s="1">
        <v>45450</v>
      </c>
      <c r="G2173" t="str">
        <f>IF(COUNTIFS(Table1_3[Country],Table1_3[[#This Row],[Country]],Table1_3[Product],Table1_3[[#This Row],[Product]],Table1_3[Sales Person],Table1_3[[#This Row],[Sales Person]],Table1_3[Amount],"&lt;=100")&gt;=2,"Contract","Deal")</f>
        <v>Deal</v>
      </c>
    </row>
    <row r="2174" spans="1:7" x14ac:dyDescent="0.3">
      <c r="A2174" t="s">
        <v>70</v>
      </c>
      <c r="B2174" t="s">
        <v>10</v>
      </c>
      <c r="C2174" t="s">
        <v>73</v>
      </c>
      <c r="D2174">
        <v>8183</v>
      </c>
      <c r="E2174">
        <v>254</v>
      </c>
      <c r="F2174" s="1">
        <v>44728</v>
      </c>
      <c r="G2174" t="str">
        <f>IF(COUNTIFS(Table1_3[Country],Table1_3[[#This Row],[Country]],Table1_3[Product],Table1_3[[#This Row],[Product]],Table1_3[Sales Person],Table1_3[[#This Row],[Sales Person]],Table1_3[Amount],"&lt;=100")&gt;=2,"Contract","Deal")</f>
        <v>Deal</v>
      </c>
    </row>
    <row r="2175" spans="1:7" x14ac:dyDescent="0.3">
      <c r="A2175" t="s">
        <v>70</v>
      </c>
      <c r="B2175" t="s">
        <v>10</v>
      </c>
      <c r="C2175" t="s">
        <v>73</v>
      </c>
      <c r="D2175">
        <v>8216.56</v>
      </c>
      <c r="E2175">
        <v>257</v>
      </c>
      <c r="F2175" s="1">
        <v>45093</v>
      </c>
      <c r="G2175" t="str">
        <f>IF(COUNTIFS(Table1_3[Country],Table1_3[[#This Row],[Country]],Table1_3[Product],Table1_3[[#This Row],[Product]],Table1_3[Sales Person],Table1_3[[#This Row],[Sales Person]],Table1_3[Amount],"&lt;=100")&gt;=2,"Contract","Deal")</f>
        <v>Deal</v>
      </c>
    </row>
    <row r="2176" spans="1:7" x14ac:dyDescent="0.3">
      <c r="A2176" t="s">
        <v>70</v>
      </c>
      <c r="B2176" t="s">
        <v>10</v>
      </c>
      <c r="C2176" t="s">
        <v>73</v>
      </c>
      <c r="D2176">
        <v>9118.67</v>
      </c>
      <c r="E2176">
        <v>253</v>
      </c>
      <c r="F2176" s="1">
        <v>45459</v>
      </c>
      <c r="G2176" t="str">
        <f>IF(COUNTIFS(Table1_3[Country],Table1_3[[#This Row],[Country]],Table1_3[Product],Table1_3[[#This Row],[Product]],Table1_3[Sales Person],Table1_3[[#This Row],[Sales Person]],Table1_3[Amount],"&lt;=100")&gt;=2,"Contract","Deal")</f>
        <v>Deal</v>
      </c>
    </row>
    <row r="2177" spans="1:7" x14ac:dyDescent="0.3">
      <c r="A2177" t="s">
        <v>70</v>
      </c>
      <c r="B2177" t="s">
        <v>10</v>
      </c>
      <c r="C2177" t="s">
        <v>18</v>
      </c>
      <c r="D2177">
        <v>2464</v>
      </c>
      <c r="E2177">
        <v>8</v>
      </c>
      <c r="F2177" s="1">
        <v>44593</v>
      </c>
      <c r="G2177" t="str">
        <f>IF(COUNTIFS(Table1_3[Country],Table1_3[[#This Row],[Country]],Table1_3[Product],Table1_3[[#This Row],[Product]],Table1_3[Sales Person],Table1_3[[#This Row],[Sales Person]],Table1_3[Amount],"&lt;=100")&gt;=2,"Contract","Deal")</f>
        <v>Deal</v>
      </c>
    </row>
    <row r="2178" spans="1:7" x14ac:dyDescent="0.3">
      <c r="A2178" t="s">
        <v>70</v>
      </c>
      <c r="B2178" t="s">
        <v>10</v>
      </c>
      <c r="C2178" t="s">
        <v>18</v>
      </c>
      <c r="D2178">
        <v>2525.98</v>
      </c>
      <c r="E2178">
        <v>8</v>
      </c>
      <c r="F2178" s="1">
        <v>44958</v>
      </c>
      <c r="G2178" t="str">
        <f>IF(COUNTIFS(Table1_3[Country],Table1_3[[#This Row],[Country]],Table1_3[Product],Table1_3[[#This Row],[Product]],Table1_3[Sales Person],Table1_3[[#This Row],[Sales Person]],Table1_3[Amount],"&lt;=100")&gt;=2,"Contract","Deal")</f>
        <v>Deal</v>
      </c>
    </row>
    <row r="2179" spans="1:7" x14ac:dyDescent="0.3">
      <c r="A2179" t="s">
        <v>70</v>
      </c>
      <c r="B2179" t="s">
        <v>10</v>
      </c>
      <c r="C2179" t="s">
        <v>18</v>
      </c>
      <c r="D2179">
        <v>2797.19</v>
      </c>
      <c r="E2179">
        <v>9</v>
      </c>
      <c r="F2179" s="1">
        <v>45323</v>
      </c>
      <c r="G2179" t="str">
        <f>IF(COUNTIFS(Table1_3[Country],Table1_3[[#This Row],[Country]],Table1_3[Product],Table1_3[[#This Row],[Product]],Table1_3[Sales Person],Table1_3[[#This Row],[Sales Person]],Table1_3[Amount],"&lt;=100")&gt;=2,"Contract","Deal")</f>
        <v>Deal</v>
      </c>
    </row>
    <row r="2180" spans="1:7" x14ac:dyDescent="0.3">
      <c r="A2180" t="s">
        <v>70</v>
      </c>
      <c r="B2180" t="s">
        <v>25</v>
      </c>
      <c r="C2180" t="s">
        <v>23</v>
      </c>
      <c r="D2180">
        <v>147</v>
      </c>
      <c r="E2180">
        <v>72</v>
      </c>
      <c r="F2180" s="1">
        <v>44749</v>
      </c>
      <c r="G2180" t="str">
        <f>IF(COUNTIFS(Table1_3[Country],Table1_3[[#This Row],[Country]],Table1_3[Product],Table1_3[[#This Row],[Product]],Table1_3[Sales Person],Table1_3[[#This Row],[Sales Person]],Table1_3[Amount],"&lt;=100")&gt;=2,"Contract","Deal")</f>
        <v>Deal</v>
      </c>
    </row>
    <row r="2181" spans="1:7" x14ac:dyDescent="0.3">
      <c r="A2181" t="s">
        <v>70</v>
      </c>
      <c r="B2181" t="s">
        <v>25</v>
      </c>
      <c r="C2181" t="s">
        <v>23</v>
      </c>
      <c r="D2181">
        <v>147.82</v>
      </c>
      <c r="E2181">
        <v>74</v>
      </c>
      <c r="F2181" s="1">
        <v>45114</v>
      </c>
      <c r="G2181" t="str">
        <f>IF(COUNTIFS(Table1_3[Country],Table1_3[[#This Row],[Country]],Table1_3[Product],Table1_3[[#This Row],[Product]],Table1_3[Sales Person],Table1_3[[#This Row],[Sales Person]],Table1_3[Amount],"&lt;=100")&gt;=2,"Contract","Deal")</f>
        <v>Deal</v>
      </c>
    </row>
    <row r="2182" spans="1:7" x14ac:dyDescent="0.3">
      <c r="A2182" t="s">
        <v>70</v>
      </c>
      <c r="B2182" t="s">
        <v>25</v>
      </c>
      <c r="C2182" t="s">
        <v>23</v>
      </c>
      <c r="D2182">
        <v>170.24</v>
      </c>
      <c r="E2182">
        <v>75</v>
      </c>
      <c r="F2182" s="1">
        <v>45480</v>
      </c>
      <c r="G2182" t="str">
        <f>IF(COUNTIFS(Table1_3[Country],Table1_3[[#This Row],[Country]],Table1_3[Product],Table1_3[[#This Row],[Product]],Table1_3[Sales Person],Table1_3[[#This Row],[Sales Person]],Table1_3[Amount],"&lt;=100")&gt;=2,"Contract","Deal")</f>
        <v>Deal</v>
      </c>
    </row>
    <row r="2183" spans="1:7" x14ac:dyDescent="0.3">
      <c r="A2183" t="s">
        <v>70</v>
      </c>
      <c r="B2183" t="s">
        <v>25</v>
      </c>
      <c r="C2183" t="s">
        <v>87</v>
      </c>
      <c r="D2183">
        <v>2912</v>
      </c>
      <c r="E2183">
        <v>110</v>
      </c>
      <c r="F2183" s="1">
        <v>44735</v>
      </c>
      <c r="G2183" t="str">
        <f>IF(COUNTIFS(Table1_3[Country],Table1_3[[#This Row],[Country]],Table1_3[Product],Table1_3[[#This Row],[Product]],Table1_3[Sales Person],Table1_3[[#This Row],[Sales Person]],Table1_3[Amount],"&lt;=100")&gt;=2,"Contract","Deal")</f>
        <v>Deal</v>
      </c>
    </row>
    <row r="2184" spans="1:7" x14ac:dyDescent="0.3">
      <c r="A2184" t="s">
        <v>70</v>
      </c>
      <c r="B2184" t="s">
        <v>25</v>
      </c>
      <c r="C2184" t="s">
        <v>87</v>
      </c>
      <c r="D2184">
        <v>2964.2</v>
      </c>
      <c r="E2184">
        <v>105</v>
      </c>
      <c r="F2184" s="1">
        <v>45100</v>
      </c>
      <c r="G2184" t="str">
        <f>IF(COUNTIFS(Table1_3[Country],Table1_3[[#This Row],[Country]],Table1_3[Product],Table1_3[[#This Row],[Product]],Table1_3[Sales Person],Table1_3[[#This Row],[Sales Person]],Table1_3[Amount],"&lt;=100")&gt;=2,"Contract","Deal")</f>
        <v>Deal</v>
      </c>
    </row>
    <row r="2185" spans="1:7" x14ac:dyDescent="0.3">
      <c r="A2185" t="s">
        <v>70</v>
      </c>
      <c r="B2185" t="s">
        <v>25</v>
      </c>
      <c r="C2185" t="s">
        <v>87</v>
      </c>
      <c r="D2185">
        <v>3389.96</v>
      </c>
      <c r="E2185">
        <v>115</v>
      </c>
      <c r="F2185" s="1">
        <v>45466</v>
      </c>
      <c r="G2185" t="str">
        <f>IF(COUNTIFS(Table1_3[Country],Table1_3[[#This Row],[Country]],Table1_3[Product],Table1_3[[#This Row],[Product]],Table1_3[Sales Person],Table1_3[[#This Row],[Sales Person]],Table1_3[Amount],"&lt;=100")&gt;=2,"Contract","Deal")</f>
        <v>Deal</v>
      </c>
    </row>
    <row r="2186" spans="1:7" x14ac:dyDescent="0.3">
      <c r="A2186" t="s">
        <v>70</v>
      </c>
      <c r="B2186" t="s">
        <v>25</v>
      </c>
      <c r="C2186" t="s">
        <v>38</v>
      </c>
      <c r="D2186">
        <v>15855</v>
      </c>
      <c r="E2186">
        <v>111</v>
      </c>
      <c r="F2186" s="1">
        <v>44630</v>
      </c>
      <c r="G2186" t="str">
        <f>IF(COUNTIFS(Table1_3[Country],Table1_3[[#This Row],[Country]],Table1_3[Product],Table1_3[[#This Row],[Product]],Table1_3[Sales Person],Table1_3[[#This Row],[Sales Person]],Table1_3[Amount],"&lt;=100")&gt;=2,"Contract","Deal")</f>
        <v>Deal</v>
      </c>
    </row>
    <row r="2187" spans="1:7" x14ac:dyDescent="0.3">
      <c r="A2187" t="s">
        <v>70</v>
      </c>
      <c r="B2187" t="s">
        <v>25</v>
      </c>
      <c r="C2187" t="s">
        <v>38</v>
      </c>
      <c r="D2187">
        <v>17584.16</v>
      </c>
      <c r="E2187">
        <v>110</v>
      </c>
      <c r="F2187" s="1">
        <v>44995</v>
      </c>
      <c r="G2187" t="str">
        <f>IF(COUNTIFS(Table1_3[Country],Table1_3[[#This Row],[Country]],Table1_3[Product],Table1_3[[#This Row],[Product]],Table1_3[Sales Person],Table1_3[[#This Row],[Sales Person]],Table1_3[Amount],"&lt;=100")&gt;=2,"Contract","Deal")</f>
        <v>Deal</v>
      </c>
    </row>
    <row r="2188" spans="1:7" x14ac:dyDescent="0.3">
      <c r="A2188" t="s">
        <v>70</v>
      </c>
      <c r="B2188" t="s">
        <v>25</v>
      </c>
      <c r="C2188" t="s">
        <v>38</v>
      </c>
      <c r="D2188">
        <v>18385.439999999999</v>
      </c>
      <c r="E2188">
        <v>116</v>
      </c>
      <c r="F2188" s="1">
        <v>45361</v>
      </c>
      <c r="G2188" t="str">
        <f>IF(COUNTIFS(Table1_3[Country],Table1_3[[#This Row],[Country]],Table1_3[Product],Table1_3[[#This Row],[Product]],Table1_3[Sales Person],Table1_3[[#This Row],[Sales Person]],Table1_3[Amount],"&lt;=100")&gt;=2,"Contract","Deal")</f>
        <v>Deal</v>
      </c>
    </row>
    <row r="2189" spans="1:7" x14ac:dyDescent="0.3">
      <c r="A2189" t="s">
        <v>70</v>
      </c>
      <c r="B2189" t="s">
        <v>25</v>
      </c>
      <c r="C2189" t="s">
        <v>60</v>
      </c>
      <c r="D2189">
        <v>1358</v>
      </c>
      <c r="E2189">
        <v>106</v>
      </c>
      <c r="F2189" s="1">
        <v>44659</v>
      </c>
      <c r="G2189" t="str">
        <f>IF(COUNTIFS(Table1_3[Country],Table1_3[[#This Row],[Country]],Table1_3[Product],Table1_3[[#This Row],[Product]],Table1_3[Sales Person],Table1_3[[#This Row],[Sales Person]],Table1_3[Amount],"&lt;=100")&gt;=2,"Contract","Deal")</f>
        <v>Deal</v>
      </c>
    </row>
    <row r="2190" spans="1:7" x14ac:dyDescent="0.3">
      <c r="A2190" t="s">
        <v>70</v>
      </c>
      <c r="B2190" t="s">
        <v>25</v>
      </c>
      <c r="C2190" t="s">
        <v>60</v>
      </c>
      <c r="D2190">
        <v>1445.14</v>
      </c>
      <c r="E2190">
        <v>108</v>
      </c>
      <c r="F2190" s="1">
        <v>45024</v>
      </c>
      <c r="G2190" t="str">
        <f>IF(COUNTIFS(Table1_3[Country],Table1_3[[#This Row],[Country]],Table1_3[Product],Table1_3[[#This Row],[Product]],Table1_3[Sales Person],Table1_3[[#This Row],[Sales Person]],Table1_3[Amount],"&lt;=100")&gt;=2,"Contract","Deal")</f>
        <v>Deal</v>
      </c>
    </row>
    <row r="2191" spans="1:7" x14ac:dyDescent="0.3">
      <c r="A2191" t="s">
        <v>70</v>
      </c>
      <c r="B2191" t="s">
        <v>25</v>
      </c>
      <c r="C2191" t="s">
        <v>60</v>
      </c>
      <c r="D2191">
        <v>1527.99</v>
      </c>
      <c r="E2191">
        <v>107</v>
      </c>
      <c r="F2191" s="1">
        <v>45390</v>
      </c>
      <c r="G2191" t="str">
        <f>IF(COUNTIFS(Table1_3[Country],Table1_3[[#This Row],[Country]],Table1_3[Product],Table1_3[[#This Row],[Product]],Table1_3[Sales Person],Table1_3[[#This Row],[Sales Person]],Table1_3[Amount],"&lt;=100")&gt;=2,"Contract","Deal")</f>
        <v>Deal</v>
      </c>
    </row>
    <row r="2192" spans="1:7" x14ac:dyDescent="0.3">
      <c r="A2192" t="s">
        <v>70</v>
      </c>
      <c r="B2192" t="s">
        <v>25</v>
      </c>
      <c r="C2192" t="s">
        <v>18</v>
      </c>
      <c r="D2192">
        <v>10633</v>
      </c>
      <c r="E2192">
        <v>277</v>
      </c>
      <c r="F2192" s="1">
        <v>44631</v>
      </c>
      <c r="G2192" t="str">
        <f>IF(COUNTIFS(Table1_3[Country],Table1_3[[#This Row],[Country]],Table1_3[Product],Table1_3[[#This Row],[Product]],Table1_3[Sales Person],Table1_3[[#This Row],[Sales Person]],Table1_3[Amount],"&lt;=100")&gt;=2,"Contract","Deal")</f>
        <v>Deal</v>
      </c>
    </row>
    <row r="2193" spans="1:7" x14ac:dyDescent="0.3">
      <c r="A2193" t="s">
        <v>70</v>
      </c>
      <c r="B2193" t="s">
        <v>25</v>
      </c>
      <c r="C2193" t="s">
        <v>18</v>
      </c>
      <c r="D2193">
        <v>12030.46</v>
      </c>
      <c r="E2193">
        <v>296</v>
      </c>
      <c r="F2193" s="1">
        <v>44996</v>
      </c>
      <c r="G2193" t="str">
        <f>IF(COUNTIFS(Table1_3[Country],Table1_3[[#This Row],[Country]],Table1_3[Product],Table1_3[[#This Row],[Product]],Table1_3[Sales Person],Table1_3[[#This Row],[Sales Person]],Table1_3[Amount],"&lt;=100")&gt;=2,"Contract","Deal")</f>
        <v>Deal</v>
      </c>
    </row>
    <row r="2194" spans="1:7" x14ac:dyDescent="0.3">
      <c r="A2194" t="s">
        <v>70</v>
      </c>
      <c r="B2194" t="s">
        <v>25</v>
      </c>
      <c r="C2194" t="s">
        <v>18</v>
      </c>
      <c r="D2194">
        <v>12265.45</v>
      </c>
      <c r="E2194">
        <v>268</v>
      </c>
      <c r="F2194" s="1">
        <v>45362</v>
      </c>
      <c r="G2194" t="str">
        <f>IF(COUNTIFS(Table1_3[Country],Table1_3[[#This Row],[Country]],Table1_3[Product],Table1_3[[#This Row],[Product]],Table1_3[Sales Person],Table1_3[[#This Row],[Sales Person]],Table1_3[Amount],"&lt;=100")&gt;=2,"Contract","Deal")</f>
        <v>Deal</v>
      </c>
    </row>
    <row r="2195" spans="1:7" x14ac:dyDescent="0.3">
      <c r="A2195" t="s">
        <v>70</v>
      </c>
      <c r="B2195" t="s">
        <v>25</v>
      </c>
      <c r="C2195" t="s">
        <v>50</v>
      </c>
      <c r="D2195">
        <v>658</v>
      </c>
      <c r="E2195">
        <v>65</v>
      </c>
      <c r="F2195" s="1">
        <v>44784</v>
      </c>
      <c r="G2195" t="str">
        <f>IF(COUNTIFS(Table1_3[Country],Table1_3[[#This Row],[Country]],Table1_3[Product],Table1_3[[#This Row],[Product]],Table1_3[Sales Person],Table1_3[[#This Row],[Sales Person]],Table1_3[Amount],"&lt;=100")&gt;=2,"Contract","Deal")</f>
        <v>Deal</v>
      </c>
    </row>
    <row r="2196" spans="1:7" x14ac:dyDescent="0.3">
      <c r="A2196" t="s">
        <v>70</v>
      </c>
      <c r="B2196" t="s">
        <v>25</v>
      </c>
      <c r="C2196" t="s">
        <v>50</v>
      </c>
      <c r="D2196">
        <v>731.19</v>
      </c>
      <c r="E2196">
        <v>69</v>
      </c>
      <c r="F2196" s="1">
        <v>45149</v>
      </c>
      <c r="G2196" t="str">
        <f>IF(COUNTIFS(Table1_3[Country],Table1_3[[#This Row],[Country]],Table1_3[Product],Table1_3[[#This Row],[Product]],Table1_3[Sales Person],Table1_3[[#This Row],[Sales Person]],Table1_3[Amount],"&lt;=100")&gt;=2,"Contract","Deal")</f>
        <v>Deal</v>
      </c>
    </row>
    <row r="2197" spans="1:7" x14ac:dyDescent="0.3">
      <c r="A2197" t="s">
        <v>70</v>
      </c>
      <c r="B2197" t="s">
        <v>25</v>
      </c>
      <c r="C2197" t="s">
        <v>50</v>
      </c>
      <c r="D2197">
        <v>695.32</v>
      </c>
      <c r="E2197">
        <v>68</v>
      </c>
      <c r="F2197" s="1">
        <v>45515</v>
      </c>
      <c r="G2197" t="str">
        <f>IF(COUNTIFS(Table1_3[Country],Table1_3[[#This Row],[Country]],Table1_3[Product],Table1_3[[#This Row],[Product]],Table1_3[Sales Person],Table1_3[[#This Row],[Sales Person]],Table1_3[Amount],"&lt;=100")&gt;=2,"Contract","Deal")</f>
        <v>Deal</v>
      </c>
    </row>
    <row r="2198" spans="1:7" x14ac:dyDescent="0.3">
      <c r="A2198" t="s">
        <v>70</v>
      </c>
      <c r="B2198" t="s">
        <v>25</v>
      </c>
      <c r="C2198" t="s">
        <v>59</v>
      </c>
      <c r="D2198">
        <v>7609</v>
      </c>
      <c r="E2198">
        <v>150</v>
      </c>
      <c r="F2198" s="1">
        <v>44664</v>
      </c>
      <c r="G2198" t="str">
        <f>IF(COUNTIFS(Table1_3[Country],Table1_3[[#This Row],[Country]],Table1_3[Product],Table1_3[[#This Row],[Product]],Table1_3[Sales Person],Table1_3[[#This Row],[Sales Person]],Table1_3[Amount],"&lt;=100")&gt;=2,"Contract","Deal")</f>
        <v>Deal</v>
      </c>
    </row>
    <row r="2199" spans="1:7" x14ac:dyDescent="0.3">
      <c r="A2199" t="s">
        <v>70</v>
      </c>
      <c r="B2199" t="s">
        <v>25</v>
      </c>
      <c r="C2199" t="s">
        <v>59</v>
      </c>
      <c r="D2199">
        <v>7899.31</v>
      </c>
      <c r="E2199">
        <v>148</v>
      </c>
      <c r="F2199" s="1">
        <v>45029</v>
      </c>
      <c r="G2199" t="str">
        <f>IF(COUNTIFS(Table1_3[Country],Table1_3[[#This Row],[Country]],Table1_3[Product],Table1_3[[#This Row],[Product]],Table1_3[Sales Person],Table1_3[[#This Row],[Sales Person]],Table1_3[Amount],"&lt;=100")&gt;=2,"Contract","Deal")</f>
        <v>Deal</v>
      </c>
    </row>
    <row r="2200" spans="1:7" x14ac:dyDescent="0.3">
      <c r="A2200" t="s">
        <v>70</v>
      </c>
      <c r="B2200" t="s">
        <v>25</v>
      </c>
      <c r="C2200" t="s">
        <v>59</v>
      </c>
      <c r="D2200">
        <v>8575.27</v>
      </c>
      <c r="E2200">
        <v>165</v>
      </c>
      <c r="F2200" s="1">
        <v>45395</v>
      </c>
      <c r="G2200" t="str">
        <f>IF(COUNTIFS(Table1_3[Country],Table1_3[[#This Row],[Country]],Table1_3[Product],Table1_3[[#This Row],[Product]],Table1_3[Sales Person],Table1_3[[#This Row],[Sales Person]],Table1_3[Amount],"&lt;=100")&gt;=2,"Contract","Deal")</f>
        <v>Deal</v>
      </c>
    </row>
    <row r="2201" spans="1:7" x14ac:dyDescent="0.3">
      <c r="A2201" t="s">
        <v>70</v>
      </c>
      <c r="B2201" t="s">
        <v>7</v>
      </c>
      <c r="C2201" t="s">
        <v>11</v>
      </c>
      <c r="D2201">
        <v>3997</v>
      </c>
      <c r="E2201">
        <v>228</v>
      </c>
      <c r="F2201" s="1">
        <v>44735</v>
      </c>
      <c r="G2201" t="str">
        <f>IF(COUNTIFS(Table1_3[Country],Table1_3[[#This Row],[Country]],Table1_3[Product],Table1_3[[#This Row],[Product]],Table1_3[Sales Person],Table1_3[[#This Row],[Sales Person]],Table1_3[Amount],"&lt;=100")&gt;=2,"Contract","Deal")</f>
        <v>Deal</v>
      </c>
    </row>
    <row r="2202" spans="1:7" x14ac:dyDescent="0.3">
      <c r="A2202" t="s">
        <v>70</v>
      </c>
      <c r="B2202" t="s">
        <v>7</v>
      </c>
      <c r="C2202" t="s">
        <v>11</v>
      </c>
      <c r="D2202">
        <v>4188.43</v>
      </c>
      <c r="E2202">
        <v>235</v>
      </c>
      <c r="F2202" s="1">
        <v>45100</v>
      </c>
      <c r="G2202" t="str">
        <f>IF(COUNTIFS(Table1_3[Country],Table1_3[[#This Row],[Country]],Table1_3[Product],Table1_3[[#This Row],[Product]],Table1_3[Sales Person],Table1_3[[#This Row],[Sales Person]],Table1_3[Amount],"&lt;=100")&gt;=2,"Contract","Deal")</f>
        <v>Deal</v>
      </c>
    </row>
    <row r="2203" spans="1:7" x14ac:dyDescent="0.3">
      <c r="A2203" t="s">
        <v>70</v>
      </c>
      <c r="B2203" t="s">
        <v>7</v>
      </c>
      <c r="C2203" t="s">
        <v>11</v>
      </c>
      <c r="D2203">
        <v>4811.88</v>
      </c>
      <c r="E2203">
        <v>242</v>
      </c>
      <c r="F2203" s="1">
        <v>45466</v>
      </c>
      <c r="G2203" t="str">
        <f>IF(COUNTIFS(Table1_3[Country],Table1_3[[#This Row],[Country]],Table1_3[Product],Table1_3[[#This Row],[Product]],Table1_3[Sales Person],Table1_3[[#This Row],[Sales Person]],Table1_3[Amount],"&lt;=100")&gt;=2,"Contract","Deal")</f>
        <v>Deal</v>
      </c>
    </row>
    <row r="2204" spans="1:7" x14ac:dyDescent="0.3">
      <c r="A2204" t="s">
        <v>70</v>
      </c>
      <c r="B2204" t="s">
        <v>7</v>
      </c>
      <c r="C2204" t="s">
        <v>20</v>
      </c>
      <c r="D2204">
        <v>3507</v>
      </c>
      <c r="E2204">
        <v>114</v>
      </c>
      <c r="F2204" s="1">
        <v>44785</v>
      </c>
      <c r="G2204" t="str">
        <f>IF(COUNTIFS(Table1_3[Country],Table1_3[[#This Row],[Country]],Table1_3[Product],Table1_3[[#This Row],[Product]],Table1_3[Sales Person],Table1_3[[#This Row],[Sales Person]],Table1_3[Amount],"&lt;=100")&gt;=2,"Contract","Deal")</f>
        <v>Deal</v>
      </c>
    </row>
    <row r="2205" spans="1:7" x14ac:dyDescent="0.3">
      <c r="A2205" t="s">
        <v>70</v>
      </c>
      <c r="B2205" t="s">
        <v>7</v>
      </c>
      <c r="C2205" t="s">
        <v>20</v>
      </c>
      <c r="D2205">
        <v>3927.83</v>
      </c>
      <c r="E2205">
        <v>123</v>
      </c>
      <c r="F2205" s="1">
        <v>45150</v>
      </c>
      <c r="G2205" t="str">
        <f>IF(COUNTIFS(Table1_3[Country],Table1_3[[#This Row],[Country]],Table1_3[Product],Table1_3[[#This Row],[Product]],Table1_3[Sales Person],Table1_3[[#This Row],[Sales Person]],Table1_3[Amount],"&lt;=100")&gt;=2,"Contract","Deal")</f>
        <v>Deal</v>
      </c>
    </row>
    <row r="2206" spans="1:7" x14ac:dyDescent="0.3">
      <c r="A2206" t="s">
        <v>70</v>
      </c>
      <c r="B2206" t="s">
        <v>7</v>
      </c>
      <c r="C2206" t="s">
        <v>20</v>
      </c>
      <c r="D2206">
        <v>3672.65</v>
      </c>
      <c r="E2206">
        <v>124</v>
      </c>
      <c r="F2206" s="1">
        <v>45516</v>
      </c>
      <c r="G2206" t="str">
        <f>IF(COUNTIFS(Table1_3[Country],Table1_3[[#This Row],[Country]],Table1_3[Product],Table1_3[[#This Row],[Product]],Table1_3[Sales Person],Table1_3[[#This Row],[Sales Person]],Table1_3[Amount],"&lt;=100")&gt;=2,"Contract","Deal")</f>
        <v>Deal</v>
      </c>
    </row>
    <row r="2207" spans="1:7" x14ac:dyDescent="0.3">
      <c r="A2207" t="s">
        <v>70</v>
      </c>
      <c r="B2207" t="s">
        <v>7</v>
      </c>
      <c r="C2207" t="s">
        <v>75</v>
      </c>
      <c r="D2207">
        <v>9506</v>
      </c>
      <c r="E2207">
        <v>212</v>
      </c>
      <c r="F2207" s="1">
        <v>44705</v>
      </c>
      <c r="G2207" t="str">
        <f>IF(COUNTIFS(Table1_3[Country],Table1_3[[#This Row],[Country]],Table1_3[Product],Table1_3[[#This Row],[Product]],Table1_3[Sales Person],Table1_3[[#This Row],[Sales Person]],Table1_3[Amount],"&lt;=100")&gt;=2,"Contract","Deal")</f>
        <v>Deal</v>
      </c>
    </row>
    <row r="2208" spans="1:7" x14ac:dyDescent="0.3">
      <c r="A2208" t="s">
        <v>70</v>
      </c>
      <c r="B2208" t="s">
        <v>7</v>
      </c>
      <c r="C2208" t="s">
        <v>75</v>
      </c>
      <c r="D2208">
        <v>10355.42</v>
      </c>
      <c r="E2208">
        <v>215</v>
      </c>
      <c r="F2208" s="1">
        <v>45070</v>
      </c>
      <c r="G2208" t="str">
        <f>IF(COUNTIFS(Table1_3[Country],Table1_3[[#This Row],[Country]],Table1_3[Product],Table1_3[[#This Row],[Product]],Table1_3[Sales Person],Table1_3[[#This Row],[Sales Person]],Table1_3[Amount],"&lt;=100")&gt;=2,"Contract","Deal")</f>
        <v>Deal</v>
      </c>
    </row>
    <row r="2209" spans="1:7" x14ac:dyDescent="0.3">
      <c r="A2209" t="s">
        <v>70</v>
      </c>
      <c r="B2209" t="s">
        <v>7</v>
      </c>
      <c r="C2209" t="s">
        <v>75</v>
      </c>
      <c r="D2209">
        <v>10920.7</v>
      </c>
      <c r="E2209">
        <v>210</v>
      </c>
      <c r="F2209" s="1">
        <v>45436</v>
      </c>
      <c r="G2209" t="str">
        <f>IF(COUNTIFS(Table1_3[Country],Table1_3[[#This Row],[Country]],Table1_3[Product],Table1_3[[#This Row],[Product]],Table1_3[Sales Person],Table1_3[[#This Row],[Sales Person]],Table1_3[Amount],"&lt;=100")&gt;=2,"Contract","Deal")</f>
        <v>Deal</v>
      </c>
    </row>
    <row r="2210" spans="1:7" x14ac:dyDescent="0.3">
      <c r="A2210" t="s">
        <v>70</v>
      </c>
      <c r="B2210" t="s">
        <v>7</v>
      </c>
      <c r="C2210" t="s">
        <v>38</v>
      </c>
      <c r="D2210">
        <v>1792</v>
      </c>
      <c r="E2210">
        <v>23</v>
      </c>
      <c r="F2210" s="1">
        <v>44671</v>
      </c>
      <c r="G2210" t="str">
        <f>IF(COUNTIFS(Table1_3[Country],Table1_3[[#This Row],[Country]],Table1_3[Product],Table1_3[[#This Row],[Product]],Table1_3[Sales Person],Table1_3[[#This Row],[Sales Person]],Table1_3[Amount],"&lt;=100")&gt;=2,"Contract","Deal")</f>
        <v>Deal</v>
      </c>
    </row>
    <row r="2211" spans="1:7" x14ac:dyDescent="0.3">
      <c r="A2211" t="s">
        <v>70</v>
      </c>
      <c r="B2211" t="s">
        <v>7</v>
      </c>
      <c r="C2211" t="s">
        <v>38</v>
      </c>
      <c r="D2211">
        <v>1858.71</v>
      </c>
      <c r="E2211">
        <v>24</v>
      </c>
      <c r="F2211" s="1">
        <v>45036</v>
      </c>
      <c r="G2211" t="str">
        <f>IF(COUNTIFS(Table1_3[Country],Table1_3[[#This Row],[Country]],Table1_3[Product],Table1_3[[#This Row],[Product]],Table1_3[Sales Person],Table1_3[[#This Row],[Sales Person]],Table1_3[Amount],"&lt;=100")&gt;=2,"Contract","Deal")</f>
        <v>Deal</v>
      </c>
    </row>
    <row r="2212" spans="1:7" x14ac:dyDescent="0.3">
      <c r="A2212" t="s">
        <v>70</v>
      </c>
      <c r="B2212" t="s">
        <v>7</v>
      </c>
      <c r="C2212" t="s">
        <v>38</v>
      </c>
      <c r="D2212">
        <v>1886.06</v>
      </c>
      <c r="E2212">
        <v>23</v>
      </c>
      <c r="F2212" s="1">
        <v>45402</v>
      </c>
      <c r="G2212" t="str">
        <f>IF(COUNTIFS(Table1_3[Country],Table1_3[[#This Row],[Country]],Table1_3[Product],Table1_3[[#This Row],[Product]],Table1_3[Sales Person],Table1_3[[#This Row],[Sales Person]],Table1_3[Amount],"&lt;=100")&gt;=2,"Contract","Deal")</f>
        <v>Deal</v>
      </c>
    </row>
    <row r="2213" spans="1:7" x14ac:dyDescent="0.3">
      <c r="A2213" t="s">
        <v>70</v>
      </c>
      <c r="B2213" t="s">
        <v>7</v>
      </c>
      <c r="C2213" t="s">
        <v>36</v>
      </c>
      <c r="D2213">
        <v>4606</v>
      </c>
      <c r="E2213">
        <v>57</v>
      </c>
      <c r="F2213" s="1">
        <v>44586</v>
      </c>
      <c r="G2213" t="str">
        <f>IF(COUNTIFS(Table1_3[Country],Table1_3[[#This Row],[Country]],Table1_3[Product],Table1_3[[#This Row],[Product]],Table1_3[Sales Person],Table1_3[[#This Row],[Sales Person]],Table1_3[Amount],"&lt;=100")&gt;=2,"Contract","Deal")</f>
        <v>Deal</v>
      </c>
    </row>
    <row r="2214" spans="1:7" x14ac:dyDescent="0.3">
      <c r="A2214" t="s">
        <v>70</v>
      </c>
      <c r="B2214" t="s">
        <v>7</v>
      </c>
      <c r="C2214" t="s">
        <v>36</v>
      </c>
      <c r="D2214">
        <v>5029.3500000000004</v>
      </c>
      <c r="E2214">
        <v>61</v>
      </c>
      <c r="F2214" s="1">
        <v>44951</v>
      </c>
      <c r="G2214" t="str">
        <f>IF(COUNTIFS(Table1_3[Country],Table1_3[[#This Row],[Country]],Table1_3[Product],Table1_3[[#This Row],[Product]],Table1_3[Sales Person],Table1_3[[#This Row],[Sales Person]],Table1_3[Amount],"&lt;=100")&gt;=2,"Contract","Deal")</f>
        <v>Deal</v>
      </c>
    </row>
    <row r="2215" spans="1:7" x14ac:dyDescent="0.3">
      <c r="A2215" t="s">
        <v>70</v>
      </c>
      <c r="B2215" t="s">
        <v>7</v>
      </c>
      <c r="C2215" t="s">
        <v>36</v>
      </c>
      <c r="D2215">
        <v>5054.5600000000004</v>
      </c>
      <c r="E2215">
        <v>60</v>
      </c>
      <c r="F2215" s="1">
        <v>45316</v>
      </c>
      <c r="G2215" t="str">
        <f>IF(COUNTIFS(Table1_3[Country],Table1_3[[#This Row],[Country]],Table1_3[Product],Table1_3[[#This Row],[Product]],Table1_3[Sales Person],Table1_3[[#This Row],[Sales Person]],Table1_3[Amount],"&lt;=100")&gt;=2,"Contract","Deal")</f>
        <v>Deal</v>
      </c>
    </row>
    <row r="2216" spans="1:7" x14ac:dyDescent="0.3">
      <c r="A2216" t="s">
        <v>70</v>
      </c>
      <c r="B2216" t="s">
        <v>7</v>
      </c>
      <c r="C2216" t="s">
        <v>57</v>
      </c>
      <c r="D2216">
        <v>13006</v>
      </c>
      <c r="E2216">
        <v>482</v>
      </c>
      <c r="F2216" s="1">
        <v>44741</v>
      </c>
      <c r="G2216" t="str">
        <f>IF(COUNTIFS(Table1_3[Country],Table1_3[[#This Row],[Country]],Table1_3[Product],Table1_3[[#This Row],[Product]],Table1_3[Sales Person],Table1_3[[#This Row],[Sales Person]],Table1_3[Amount],"&lt;=100")&gt;=2,"Contract","Deal")</f>
        <v>Deal</v>
      </c>
    </row>
    <row r="2217" spans="1:7" x14ac:dyDescent="0.3">
      <c r="A2217" t="s">
        <v>70</v>
      </c>
      <c r="B2217" t="s">
        <v>7</v>
      </c>
      <c r="C2217" t="s">
        <v>57</v>
      </c>
      <c r="D2217">
        <v>14592.11</v>
      </c>
      <c r="E2217">
        <v>509</v>
      </c>
      <c r="F2217" s="1">
        <v>45106</v>
      </c>
      <c r="G2217" t="str">
        <f>IF(COUNTIFS(Table1_3[Country],Table1_3[[#This Row],[Country]],Table1_3[Product],Table1_3[[#This Row],[Product]],Table1_3[Sales Person],Table1_3[[#This Row],[Sales Person]],Table1_3[Amount],"&lt;=100")&gt;=2,"Contract","Deal")</f>
        <v>Deal</v>
      </c>
    </row>
    <row r="2218" spans="1:7" x14ac:dyDescent="0.3">
      <c r="A2218" t="s">
        <v>70</v>
      </c>
      <c r="B2218" t="s">
        <v>7</v>
      </c>
      <c r="C2218" t="s">
        <v>57</v>
      </c>
      <c r="D2218">
        <v>15540.41</v>
      </c>
      <c r="E2218">
        <v>520</v>
      </c>
      <c r="F2218" s="1">
        <v>45472</v>
      </c>
      <c r="G2218" t="str">
        <f>IF(COUNTIFS(Table1_3[Country],Table1_3[[#This Row],[Country]],Table1_3[Product],Table1_3[[#This Row],[Product]],Table1_3[Sales Person],Table1_3[[#This Row],[Sales Person]],Table1_3[Amount],"&lt;=100")&gt;=2,"Contract","Deal")</f>
        <v>Deal</v>
      </c>
    </row>
    <row r="2219" spans="1:7" x14ac:dyDescent="0.3">
      <c r="A2219" t="s">
        <v>70</v>
      </c>
      <c r="B2219" t="s">
        <v>7</v>
      </c>
      <c r="C2219" t="s">
        <v>33</v>
      </c>
      <c r="D2219">
        <v>3640</v>
      </c>
      <c r="E2219">
        <v>3</v>
      </c>
      <c r="F2219" s="1">
        <v>44774</v>
      </c>
      <c r="G2219" t="str">
        <f>IF(COUNTIFS(Table1_3[Country],Table1_3[[#This Row],[Country]],Table1_3[Product],Table1_3[[#This Row],[Product]],Table1_3[Sales Person],Table1_3[[#This Row],[Sales Person]],Table1_3[Amount],"&lt;=100")&gt;=2,"Contract","Deal")</f>
        <v>Deal</v>
      </c>
    </row>
    <row r="2220" spans="1:7" x14ac:dyDescent="0.3">
      <c r="A2220" t="s">
        <v>70</v>
      </c>
      <c r="B2220" t="s">
        <v>7</v>
      </c>
      <c r="C2220" t="s">
        <v>33</v>
      </c>
      <c r="D2220">
        <v>3911.85</v>
      </c>
      <c r="E2220">
        <v>3</v>
      </c>
      <c r="F2220" s="1">
        <v>45139</v>
      </c>
      <c r="G2220" t="str">
        <f>IF(COUNTIFS(Table1_3[Country],Table1_3[[#This Row],[Country]],Table1_3[Product],Table1_3[[#This Row],[Product]],Table1_3[Sales Person],Table1_3[[#This Row],[Sales Person]],Table1_3[Amount],"&lt;=100")&gt;=2,"Contract","Deal")</f>
        <v>Deal</v>
      </c>
    </row>
    <row r="2221" spans="1:7" x14ac:dyDescent="0.3">
      <c r="A2221" t="s">
        <v>70</v>
      </c>
      <c r="B2221" t="s">
        <v>7</v>
      </c>
      <c r="C2221" t="s">
        <v>33</v>
      </c>
      <c r="D2221">
        <v>4010.08</v>
      </c>
      <c r="E2221">
        <v>3</v>
      </c>
      <c r="F2221" s="1">
        <v>45505</v>
      </c>
      <c r="G2221" t="str">
        <f>IF(COUNTIFS(Table1_3[Country],Table1_3[[#This Row],[Country]],Table1_3[Product],Table1_3[[#This Row],[Product]],Table1_3[Sales Person],Table1_3[[#This Row],[Sales Person]],Table1_3[Amount],"&lt;=100")&gt;=2,"Contract","Deal")</f>
        <v>Deal</v>
      </c>
    </row>
    <row r="2222" spans="1:7" x14ac:dyDescent="0.3">
      <c r="A2222" t="s">
        <v>70</v>
      </c>
      <c r="B2222" t="s">
        <v>7</v>
      </c>
      <c r="C2222" t="s">
        <v>18</v>
      </c>
      <c r="D2222">
        <v>5929</v>
      </c>
      <c r="E2222">
        <v>175</v>
      </c>
      <c r="F2222" s="1">
        <v>44580</v>
      </c>
      <c r="G2222" t="str">
        <f>IF(COUNTIFS(Table1_3[Country],Table1_3[[#This Row],[Country]],Table1_3[Product],Table1_3[[#This Row],[Product]],Table1_3[Sales Person],Table1_3[[#This Row],[Sales Person]],Table1_3[Amount],"&lt;=100")&gt;=2,"Contract","Deal")</f>
        <v>Deal</v>
      </c>
    </row>
    <row r="2223" spans="1:7" x14ac:dyDescent="0.3">
      <c r="A2223" t="s">
        <v>70</v>
      </c>
      <c r="B2223" t="s">
        <v>7</v>
      </c>
      <c r="C2223" t="s">
        <v>18</v>
      </c>
      <c r="D2223">
        <v>6787.72</v>
      </c>
      <c r="E2223">
        <v>192</v>
      </c>
      <c r="F2223" s="1">
        <v>44945</v>
      </c>
      <c r="G2223" t="str">
        <f>IF(COUNTIFS(Table1_3[Country],Table1_3[[#This Row],[Country]],Table1_3[Product],Table1_3[[#This Row],[Product]],Table1_3[Sales Person],Table1_3[[#This Row],[Sales Person]],Table1_3[Amount],"&lt;=100")&gt;=2,"Contract","Deal")</f>
        <v>Deal</v>
      </c>
    </row>
    <row r="2224" spans="1:7" x14ac:dyDescent="0.3">
      <c r="A2224" t="s">
        <v>70</v>
      </c>
      <c r="B2224" t="s">
        <v>7</v>
      </c>
      <c r="C2224" t="s">
        <v>18</v>
      </c>
      <c r="D2224">
        <v>6883.75</v>
      </c>
      <c r="E2224">
        <v>182</v>
      </c>
      <c r="F2224" s="1">
        <v>45310</v>
      </c>
      <c r="G2224" t="str">
        <f>IF(COUNTIFS(Table1_3[Country],Table1_3[[#This Row],[Country]],Table1_3[Product],Table1_3[[#This Row],[Product]],Table1_3[Sales Person],Table1_3[[#This Row],[Sales Person]],Table1_3[Amount],"&lt;=100")&gt;=2,"Contract","Deal")</f>
        <v>Deal</v>
      </c>
    </row>
    <row r="2225" spans="1:7" x14ac:dyDescent="0.3">
      <c r="A2225" t="s">
        <v>70</v>
      </c>
      <c r="B2225" t="s">
        <v>32</v>
      </c>
      <c r="C2225" t="s">
        <v>26</v>
      </c>
      <c r="D2225">
        <v>6188</v>
      </c>
      <c r="E2225">
        <v>223</v>
      </c>
      <c r="F2225" s="1">
        <v>44643</v>
      </c>
      <c r="G2225" t="str">
        <f>IF(COUNTIFS(Table1_3[Country],Table1_3[[#This Row],[Country]],Table1_3[Product],Table1_3[[#This Row],[Product]],Table1_3[Sales Person],Table1_3[[#This Row],[Sales Person]],Table1_3[Amount],"&lt;=100")&gt;=2,"Contract","Deal")</f>
        <v>Deal</v>
      </c>
    </row>
    <row r="2226" spans="1:7" x14ac:dyDescent="0.3">
      <c r="A2226" t="s">
        <v>70</v>
      </c>
      <c r="B2226" t="s">
        <v>32</v>
      </c>
      <c r="C2226" t="s">
        <v>26</v>
      </c>
      <c r="D2226">
        <v>6387.65</v>
      </c>
      <c r="E2226">
        <v>227</v>
      </c>
      <c r="F2226" s="1">
        <v>45008</v>
      </c>
      <c r="G2226" t="str">
        <f>IF(COUNTIFS(Table1_3[Country],Table1_3[[#This Row],[Country]],Table1_3[Product],Table1_3[[#This Row],[Product]],Table1_3[Sales Person],Table1_3[[#This Row],[Sales Person]],Table1_3[Amount],"&lt;=100")&gt;=2,"Contract","Deal")</f>
        <v>Deal</v>
      </c>
    </row>
    <row r="2227" spans="1:7" x14ac:dyDescent="0.3">
      <c r="A2227" t="s">
        <v>70</v>
      </c>
      <c r="B2227" t="s">
        <v>32</v>
      </c>
      <c r="C2227" t="s">
        <v>26</v>
      </c>
      <c r="D2227">
        <v>7203.64</v>
      </c>
      <c r="E2227">
        <v>234</v>
      </c>
      <c r="F2227" s="1">
        <v>45374</v>
      </c>
      <c r="G2227" t="str">
        <f>IF(COUNTIFS(Table1_3[Country],Table1_3[[#This Row],[Country]],Table1_3[Product],Table1_3[[#This Row],[Product]],Table1_3[Sales Person],Table1_3[[#This Row],[Sales Person]],Table1_3[Amount],"&lt;=100")&gt;=2,"Contract","Deal")</f>
        <v>Deal</v>
      </c>
    </row>
    <row r="2228" spans="1:7" x14ac:dyDescent="0.3">
      <c r="A2228" t="s">
        <v>70</v>
      </c>
      <c r="B2228" t="s">
        <v>32</v>
      </c>
      <c r="C2228" t="s">
        <v>20</v>
      </c>
      <c r="D2228">
        <v>7714</v>
      </c>
      <c r="E2228">
        <v>238</v>
      </c>
      <c r="F2228" s="1">
        <v>44791</v>
      </c>
      <c r="G2228" t="str">
        <f>IF(COUNTIFS(Table1_3[Country],Table1_3[[#This Row],[Country]],Table1_3[Product],Table1_3[[#This Row],[Product]],Table1_3[Sales Person],Table1_3[[#This Row],[Sales Person]],Table1_3[Amount],"&lt;=100")&gt;=2,"Contract","Deal")</f>
        <v>Deal</v>
      </c>
    </row>
    <row r="2229" spans="1:7" x14ac:dyDescent="0.3">
      <c r="A2229" t="s">
        <v>70</v>
      </c>
      <c r="B2229" t="s">
        <v>32</v>
      </c>
      <c r="C2229" t="s">
        <v>20</v>
      </c>
      <c r="D2229">
        <v>8250.66</v>
      </c>
      <c r="E2229">
        <v>258</v>
      </c>
      <c r="F2229" s="1">
        <v>45156</v>
      </c>
      <c r="G2229" t="str">
        <f>IF(COUNTIFS(Table1_3[Country],Table1_3[[#This Row],[Country]],Table1_3[Product],Table1_3[[#This Row],[Product]],Table1_3[Sales Person],Table1_3[[#This Row],[Sales Person]],Table1_3[Amount],"&lt;=100")&gt;=2,"Contract","Deal")</f>
        <v>Deal</v>
      </c>
    </row>
    <row r="2230" spans="1:7" x14ac:dyDescent="0.3">
      <c r="A2230" t="s">
        <v>70</v>
      </c>
      <c r="B2230" t="s">
        <v>32</v>
      </c>
      <c r="C2230" t="s">
        <v>20</v>
      </c>
      <c r="D2230">
        <v>8853.16</v>
      </c>
      <c r="E2230">
        <v>261</v>
      </c>
      <c r="F2230" s="1">
        <v>45522</v>
      </c>
      <c r="G2230" t="str">
        <f>IF(COUNTIFS(Table1_3[Country],Table1_3[[#This Row],[Country]],Table1_3[Product],Table1_3[[#This Row],[Product]],Table1_3[Sales Person],Table1_3[[#This Row],[Sales Person]],Table1_3[Amount],"&lt;=100")&gt;=2,"Contract","Deal")</f>
        <v>Deal</v>
      </c>
    </row>
    <row r="2231" spans="1:7" x14ac:dyDescent="0.3">
      <c r="A2231" t="s">
        <v>70</v>
      </c>
      <c r="B2231" t="s">
        <v>32</v>
      </c>
      <c r="C2231" t="s">
        <v>23</v>
      </c>
      <c r="D2231">
        <v>938</v>
      </c>
      <c r="E2231">
        <v>16</v>
      </c>
      <c r="F2231" s="1">
        <v>44714</v>
      </c>
      <c r="G2231" t="str">
        <f>IF(COUNTIFS(Table1_3[Country],Table1_3[[#This Row],[Country]],Table1_3[Product],Table1_3[[#This Row],[Product]],Table1_3[Sales Person],Table1_3[[#This Row],[Sales Person]],Table1_3[Amount],"&lt;=100")&gt;=2,"Contract","Deal")</f>
        <v>Deal</v>
      </c>
    </row>
    <row r="2232" spans="1:7" x14ac:dyDescent="0.3">
      <c r="A2232" t="s">
        <v>70</v>
      </c>
      <c r="B2232" t="s">
        <v>32</v>
      </c>
      <c r="C2232" t="s">
        <v>23</v>
      </c>
      <c r="D2232">
        <v>1021.27</v>
      </c>
      <c r="E2232">
        <v>17</v>
      </c>
      <c r="F2232" s="1">
        <v>45079</v>
      </c>
      <c r="G2232" t="str">
        <f>IF(COUNTIFS(Table1_3[Country],Table1_3[[#This Row],[Country]],Table1_3[Product],Table1_3[[#This Row],[Product]],Table1_3[Sales Person],Table1_3[[#This Row],[Sales Person]],Table1_3[Amount],"&lt;=100")&gt;=2,"Contract","Deal")</f>
        <v>Deal</v>
      </c>
    </row>
    <row r="2233" spans="1:7" x14ac:dyDescent="0.3">
      <c r="A2233" t="s">
        <v>70</v>
      </c>
      <c r="B2233" t="s">
        <v>32</v>
      </c>
      <c r="C2233" t="s">
        <v>23</v>
      </c>
      <c r="D2233">
        <v>1083.76</v>
      </c>
      <c r="E2233">
        <v>16</v>
      </c>
      <c r="F2233" s="1">
        <v>45445</v>
      </c>
      <c r="G2233" t="str">
        <f>IF(COUNTIFS(Table1_3[Country],Table1_3[[#This Row],[Country]],Table1_3[Product],Table1_3[[#This Row],[Product]],Table1_3[Sales Person],Table1_3[[#This Row],[Sales Person]],Table1_3[Amount],"&lt;=100")&gt;=2,"Contract","Deal")</f>
        <v>Deal</v>
      </c>
    </row>
    <row r="2234" spans="1:7" x14ac:dyDescent="0.3">
      <c r="A2234" t="s">
        <v>70</v>
      </c>
      <c r="B2234" t="s">
        <v>32</v>
      </c>
      <c r="C2234" t="s">
        <v>65</v>
      </c>
      <c r="D2234">
        <v>5180</v>
      </c>
      <c r="E2234">
        <v>233</v>
      </c>
      <c r="F2234" s="1">
        <v>44588</v>
      </c>
      <c r="G2234" t="str">
        <f>IF(COUNTIFS(Table1_3[Country],Table1_3[[#This Row],[Country]],Table1_3[Product],Table1_3[[#This Row],[Product]],Table1_3[Sales Person],Table1_3[[#This Row],[Sales Person]],Table1_3[Amount],"&lt;=100")&gt;=2,"Contract","Deal")</f>
        <v>Deal</v>
      </c>
    </row>
    <row r="2235" spans="1:7" x14ac:dyDescent="0.3">
      <c r="A2235" t="s">
        <v>70</v>
      </c>
      <c r="B2235" t="s">
        <v>32</v>
      </c>
      <c r="C2235" t="s">
        <v>65</v>
      </c>
      <c r="D2235">
        <v>5425.24</v>
      </c>
      <c r="E2235">
        <v>234</v>
      </c>
      <c r="F2235" s="1">
        <v>44953</v>
      </c>
      <c r="G2235" t="str">
        <f>IF(COUNTIFS(Table1_3[Country],Table1_3[[#This Row],[Country]],Table1_3[Product],Table1_3[[#This Row],[Product]],Table1_3[Sales Person],Table1_3[[#This Row],[Sales Person]],Table1_3[Amount],"&lt;=100")&gt;=2,"Contract","Deal")</f>
        <v>Deal</v>
      </c>
    </row>
    <row r="2236" spans="1:7" x14ac:dyDescent="0.3">
      <c r="A2236" t="s">
        <v>70</v>
      </c>
      <c r="B2236" t="s">
        <v>32</v>
      </c>
      <c r="C2236" t="s">
        <v>65</v>
      </c>
      <c r="D2236">
        <v>5930.01</v>
      </c>
      <c r="E2236">
        <v>252</v>
      </c>
      <c r="F2236" s="1">
        <v>45318</v>
      </c>
      <c r="G2236" t="str">
        <f>IF(COUNTIFS(Table1_3[Country],Table1_3[[#This Row],[Country]],Table1_3[Product],Table1_3[[#This Row],[Product]],Table1_3[Sales Person],Table1_3[[#This Row],[Sales Person]],Table1_3[Amount],"&lt;=100")&gt;=2,"Contract","Deal")</f>
        <v>Deal</v>
      </c>
    </row>
    <row r="2237" spans="1:7" x14ac:dyDescent="0.3">
      <c r="A2237" t="s">
        <v>70</v>
      </c>
      <c r="B2237" t="s">
        <v>32</v>
      </c>
      <c r="C2237" t="s">
        <v>38</v>
      </c>
      <c r="D2237">
        <v>6454</v>
      </c>
      <c r="E2237">
        <v>160</v>
      </c>
      <c r="F2237" s="1">
        <v>44768</v>
      </c>
      <c r="G2237" t="str">
        <f>IF(COUNTIFS(Table1_3[Country],Table1_3[[#This Row],[Country]],Table1_3[Product],Table1_3[[#This Row],[Product]],Table1_3[Sales Person],Table1_3[[#This Row],[Sales Person]],Table1_3[Amount],"&lt;=100")&gt;=2,"Contract","Deal")</f>
        <v>Deal</v>
      </c>
    </row>
    <row r="2238" spans="1:7" x14ac:dyDescent="0.3">
      <c r="A2238" t="s">
        <v>70</v>
      </c>
      <c r="B2238" t="s">
        <v>32</v>
      </c>
      <c r="C2238" t="s">
        <v>38</v>
      </c>
      <c r="D2238">
        <v>7013.61</v>
      </c>
      <c r="E2238">
        <v>170</v>
      </c>
      <c r="F2238" s="1">
        <v>45133</v>
      </c>
      <c r="G2238" t="str">
        <f>IF(COUNTIFS(Table1_3[Country],Table1_3[[#This Row],[Country]],Table1_3[Product],Table1_3[[#This Row],[Product]],Table1_3[Sales Person],Table1_3[[#This Row],[Sales Person]],Table1_3[Amount],"&lt;=100")&gt;=2,"Contract","Deal")</f>
        <v>Deal</v>
      </c>
    </row>
    <row r="2239" spans="1:7" x14ac:dyDescent="0.3">
      <c r="A2239" t="s">
        <v>70</v>
      </c>
      <c r="B2239" t="s">
        <v>32</v>
      </c>
      <c r="C2239" t="s">
        <v>38</v>
      </c>
      <c r="D2239">
        <v>7720.37</v>
      </c>
      <c r="E2239">
        <v>156</v>
      </c>
      <c r="F2239" s="1">
        <v>45499</v>
      </c>
      <c r="G2239" t="str">
        <f>IF(COUNTIFS(Table1_3[Country],Table1_3[[#This Row],[Country]],Table1_3[Product],Table1_3[[#This Row],[Product]],Table1_3[Sales Person],Table1_3[[#This Row],[Sales Person]],Table1_3[Amount],"&lt;=100")&gt;=2,"Contract","Deal")</f>
        <v>Deal</v>
      </c>
    </row>
    <row r="2240" spans="1:7" x14ac:dyDescent="0.3">
      <c r="A2240" t="s">
        <v>70</v>
      </c>
      <c r="B2240" t="s">
        <v>32</v>
      </c>
      <c r="C2240" t="s">
        <v>57</v>
      </c>
      <c r="D2240">
        <v>4816</v>
      </c>
      <c r="E2240">
        <v>145</v>
      </c>
      <c r="F2240" s="1">
        <v>44609</v>
      </c>
      <c r="G2240" t="str">
        <f>IF(COUNTIFS(Table1_3[Country],Table1_3[[#This Row],[Country]],Table1_3[Product],Table1_3[[#This Row],[Product]],Table1_3[Sales Person],Table1_3[[#This Row],[Sales Person]],Table1_3[Amount],"&lt;=100")&gt;=2,"Contract","Deal")</f>
        <v>Deal</v>
      </c>
    </row>
    <row r="2241" spans="1:7" x14ac:dyDescent="0.3">
      <c r="A2241" t="s">
        <v>70</v>
      </c>
      <c r="B2241" t="s">
        <v>32</v>
      </c>
      <c r="C2241" t="s">
        <v>57</v>
      </c>
      <c r="D2241">
        <v>5220.6899999999996</v>
      </c>
      <c r="E2241">
        <v>154</v>
      </c>
      <c r="F2241" s="1">
        <v>44974</v>
      </c>
      <c r="G2241" t="str">
        <f>IF(COUNTIFS(Table1_3[Country],Table1_3[[#This Row],[Country]],Table1_3[Product],Table1_3[[#This Row],[Product]],Table1_3[Sales Person],Table1_3[[#This Row],[Sales Person]],Table1_3[Amount],"&lt;=100")&gt;=2,"Contract","Deal")</f>
        <v>Deal</v>
      </c>
    </row>
    <row r="2242" spans="1:7" x14ac:dyDescent="0.3">
      <c r="A2242" t="s">
        <v>70</v>
      </c>
      <c r="B2242" t="s">
        <v>32</v>
      </c>
      <c r="C2242" t="s">
        <v>57</v>
      </c>
      <c r="D2242">
        <v>5301.93</v>
      </c>
      <c r="E2242">
        <v>155</v>
      </c>
      <c r="F2242" s="1">
        <v>45339</v>
      </c>
      <c r="G2242" t="str">
        <f>IF(COUNTIFS(Table1_3[Country],Table1_3[[#This Row],[Country]],Table1_3[Product],Table1_3[[#This Row],[Product]],Table1_3[Sales Person],Table1_3[[#This Row],[Sales Person]],Table1_3[Amount],"&lt;=100")&gt;=2,"Contract","Deal")</f>
        <v>Deal</v>
      </c>
    </row>
    <row r="2243" spans="1:7" x14ac:dyDescent="0.3">
      <c r="A2243" t="s">
        <v>70</v>
      </c>
      <c r="B2243" t="s">
        <v>32</v>
      </c>
      <c r="C2243" t="s">
        <v>60</v>
      </c>
      <c r="D2243">
        <v>17318</v>
      </c>
      <c r="E2243">
        <v>87</v>
      </c>
      <c r="F2243" s="1">
        <v>44608</v>
      </c>
      <c r="G2243" t="str">
        <f>IF(COUNTIFS(Table1_3[Country],Table1_3[[#This Row],[Country]],Table1_3[Product],Table1_3[[#This Row],[Product]],Table1_3[Sales Person],Table1_3[[#This Row],[Sales Person]],Table1_3[Amount],"&lt;=100")&gt;=2,"Contract","Deal")</f>
        <v>Deal</v>
      </c>
    </row>
    <row r="2244" spans="1:7" x14ac:dyDescent="0.3">
      <c r="A2244" t="s">
        <v>70</v>
      </c>
      <c r="B2244" t="s">
        <v>32</v>
      </c>
      <c r="C2244" t="s">
        <v>60</v>
      </c>
      <c r="D2244">
        <v>17297.66</v>
      </c>
      <c r="E2244">
        <v>96</v>
      </c>
      <c r="F2244" s="1">
        <v>44973</v>
      </c>
      <c r="G2244" t="str">
        <f>IF(COUNTIFS(Table1_3[Country],Table1_3[[#This Row],[Country]],Table1_3[Product],Table1_3[[#This Row],[Product]],Table1_3[Sales Person],Table1_3[[#This Row],[Sales Person]],Table1_3[Amount],"&lt;=100")&gt;=2,"Contract","Deal")</f>
        <v>Deal</v>
      </c>
    </row>
    <row r="2245" spans="1:7" x14ac:dyDescent="0.3">
      <c r="A2245" t="s">
        <v>70</v>
      </c>
      <c r="B2245" t="s">
        <v>32</v>
      </c>
      <c r="C2245" t="s">
        <v>60</v>
      </c>
      <c r="D2245">
        <v>19995.68</v>
      </c>
      <c r="E2245">
        <v>94</v>
      </c>
      <c r="F2245" s="1">
        <v>45338</v>
      </c>
      <c r="G2245" t="str">
        <f>IF(COUNTIFS(Table1_3[Country],Table1_3[[#This Row],[Country]],Table1_3[Product],Table1_3[[#This Row],[Product]],Table1_3[Sales Person],Table1_3[[#This Row],[Sales Person]],Table1_3[Amount],"&lt;=100")&gt;=2,"Contract","Deal")</f>
        <v>Deal</v>
      </c>
    </row>
    <row r="2246" spans="1:7" x14ac:dyDescent="0.3">
      <c r="A2246" t="s">
        <v>70</v>
      </c>
      <c r="B2246" t="s">
        <v>32</v>
      </c>
      <c r="C2246" t="s">
        <v>33</v>
      </c>
      <c r="D2246">
        <v>1379</v>
      </c>
      <c r="E2246">
        <v>138</v>
      </c>
      <c r="F2246" s="1">
        <v>44595</v>
      </c>
      <c r="G2246" t="str">
        <f>IF(COUNTIFS(Table1_3[Country],Table1_3[[#This Row],[Country]],Table1_3[Product],Table1_3[[#This Row],[Product]],Table1_3[Sales Person],Table1_3[[#This Row],[Sales Person]],Table1_3[Amount],"&lt;=100")&gt;=2,"Contract","Deal")</f>
        <v>Deal</v>
      </c>
    </row>
    <row r="2247" spans="1:7" x14ac:dyDescent="0.3">
      <c r="A2247" t="s">
        <v>70</v>
      </c>
      <c r="B2247" t="s">
        <v>32</v>
      </c>
      <c r="C2247" t="s">
        <v>33</v>
      </c>
      <c r="D2247">
        <v>1425.81</v>
      </c>
      <c r="E2247">
        <v>133</v>
      </c>
      <c r="F2247" s="1">
        <v>44960</v>
      </c>
      <c r="G2247" t="str">
        <f>IF(COUNTIFS(Table1_3[Country],Table1_3[[#This Row],[Country]],Table1_3[Product],Table1_3[[#This Row],[Product]],Table1_3[Sales Person],Table1_3[[#This Row],[Sales Person]],Table1_3[Amount],"&lt;=100")&gt;=2,"Contract","Deal")</f>
        <v>Deal</v>
      </c>
    </row>
    <row r="2248" spans="1:7" x14ac:dyDescent="0.3">
      <c r="A2248" t="s">
        <v>70</v>
      </c>
      <c r="B2248" t="s">
        <v>32</v>
      </c>
      <c r="C2248" t="s">
        <v>33</v>
      </c>
      <c r="D2248">
        <v>1539.14</v>
      </c>
      <c r="E2248">
        <v>143</v>
      </c>
      <c r="F2248" s="1">
        <v>45325</v>
      </c>
      <c r="G2248" t="str">
        <f>IF(COUNTIFS(Table1_3[Country],Table1_3[[#This Row],[Country]],Table1_3[Product],Table1_3[[#This Row],[Product]],Table1_3[Sales Person],Table1_3[[#This Row],[Sales Person]],Table1_3[Amount],"&lt;=100")&gt;=2,"Contract","Deal")</f>
        <v>Deal</v>
      </c>
    </row>
    <row r="2249" spans="1:7" x14ac:dyDescent="0.3">
      <c r="A2249" t="s">
        <v>70</v>
      </c>
      <c r="B2249" t="s">
        <v>32</v>
      </c>
      <c r="C2249" t="s">
        <v>42</v>
      </c>
      <c r="D2249">
        <v>9870</v>
      </c>
      <c r="E2249">
        <v>152</v>
      </c>
      <c r="F2249" s="1">
        <v>44763</v>
      </c>
      <c r="G2249" t="str">
        <f>IF(COUNTIFS(Table1_3[Country],Table1_3[[#This Row],[Country]],Table1_3[Product],Table1_3[[#This Row],[Product]],Table1_3[Sales Person],Table1_3[[#This Row],[Sales Person]],Table1_3[Amount],"&lt;=100")&gt;=2,"Contract","Deal")</f>
        <v>Deal</v>
      </c>
    </row>
    <row r="2250" spans="1:7" x14ac:dyDescent="0.3">
      <c r="A2250" t="s">
        <v>70</v>
      </c>
      <c r="B2250" t="s">
        <v>32</v>
      </c>
      <c r="C2250" t="s">
        <v>42</v>
      </c>
      <c r="D2250">
        <v>10630.08</v>
      </c>
      <c r="E2250">
        <v>155</v>
      </c>
      <c r="F2250" s="1">
        <v>45128</v>
      </c>
      <c r="G2250" t="str">
        <f>IF(COUNTIFS(Table1_3[Country],Table1_3[[#This Row],[Country]],Table1_3[Product],Table1_3[[#This Row],[Product]],Table1_3[Sales Person],Table1_3[[#This Row],[Sales Person]],Table1_3[Amount],"&lt;=100")&gt;=2,"Contract","Deal")</f>
        <v>Deal</v>
      </c>
    </row>
    <row r="2251" spans="1:7" x14ac:dyDescent="0.3">
      <c r="A2251" t="s">
        <v>70</v>
      </c>
      <c r="B2251" t="s">
        <v>32</v>
      </c>
      <c r="C2251" t="s">
        <v>42</v>
      </c>
      <c r="D2251">
        <v>10772.46</v>
      </c>
      <c r="E2251">
        <v>150</v>
      </c>
      <c r="F2251" s="1">
        <v>45494</v>
      </c>
      <c r="G2251" t="str">
        <f>IF(COUNTIFS(Table1_3[Country],Table1_3[[#This Row],[Country]],Table1_3[Product],Table1_3[[#This Row],[Product]],Table1_3[Sales Person],Table1_3[[#This Row],[Sales Person]],Table1_3[Amount],"&lt;=100")&gt;=2,"Contract","Deal")</f>
        <v>Deal</v>
      </c>
    </row>
    <row r="2252" spans="1:7" x14ac:dyDescent="0.3">
      <c r="A2252" t="s">
        <v>70</v>
      </c>
      <c r="B2252" t="s">
        <v>32</v>
      </c>
      <c r="C2252" t="s">
        <v>50</v>
      </c>
      <c r="D2252">
        <v>77</v>
      </c>
      <c r="E2252">
        <v>69</v>
      </c>
      <c r="F2252" s="1">
        <v>44680</v>
      </c>
      <c r="G2252" t="str">
        <f>IF(COUNTIFS(Table1_3[Country],Table1_3[[#This Row],[Country]],Table1_3[Product],Table1_3[[#This Row],[Product]],Table1_3[Sales Person],Table1_3[[#This Row],[Sales Person]],Table1_3[Amount],"&lt;=100")&gt;=2,"Contract","Deal")</f>
        <v>Contract</v>
      </c>
    </row>
    <row r="2253" spans="1:7" x14ac:dyDescent="0.3">
      <c r="A2253" t="s">
        <v>70</v>
      </c>
      <c r="B2253" t="s">
        <v>32</v>
      </c>
      <c r="C2253" t="s">
        <v>50</v>
      </c>
      <c r="D2253">
        <v>87.52</v>
      </c>
      <c r="E2253">
        <v>69</v>
      </c>
      <c r="F2253" s="1">
        <v>45045</v>
      </c>
      <c r="G2253" t="str">
        <f>IF(COUNTIFS(Table1_3[Country],Table1_3[[#This Row],[Country]],Table1_3[Product],Table1_3[[#This Row],[Product]],Table1_3[Sales Person],Table1_3[[#This Row],[Sales Person]],Table1_3[Amount],"&lt;=100")&gt;=2,"Contract","Deal")</f>
        <v>Contract</v>
      </c>
    </row>
    <row r="2254" spans="1:7" x14ac:dyDescent="0.3">
      <c r="A2254" t="s">
        <v>70</v>
      </c>
      <c r="B2254" t="s">
        <v>32</v>
      </c>
      <c r="C2254" t="s">
        <v>50</v>
      </c>
      <c r="D2254">
        <v>90.36</v>
      </c>
      <c r="E2254">
        <v>73</v>
      </c>
      <c r="F2254" s="1">
        <v>45411</v>
      </c>
      <c r="G2254" t="str">
        <f>IF(COUNTIFS(Table1_3[Country],Table1_3[[#This Row],[Country]],Table1_3[Product],Table1_3[[#This Row],[Product]],Table1_3[Sales Person],Table1_3[[#This Row],[Sales Person]],Table1_3[Amount],"&lt;=100")&gt;=2,"Contract","Deal")</f>
        <v>Contract</v>
      </c>
    </row>
    <row r="2255" spans="1:7" x14ac:dyDescent="0.3">
      <c r="A2255" t="s">
        <v>70</v>
      </c>
      <c r="B2255" t="s">
        <v>32</v>
      </c>
      <c r="C2255" t="s">
        <v>59</v>
      </c>
      <c r="D2255">
        <v>9422</v>
      </c>
      <c r="E2255">
        <v>22</v>
      </c>
      <c r="F2255" s="1">
        <v>44627</v>
      </c>
      <c r="G2255" t="str">
        <f>IF(COUNTIFS(Table1_3[Country],Table1_3[[#This Row],[Country]],Table1_3[Product],Table1_3[[#This Row],[Product]],Table1_3[Sales Person],Table1_3[[#This Row],[Sales Person]],Table1_3[Amount],"&lt;=100")&gt;=2,"Contract","Deal")</f>
        <v>Deal</v>
      </c>
    </row>
    <row r="2256" spans="1:7" x14ac:dyDescent="0.3">
      <c r="A2256" t="s">
        <v>70</v>
      </c>
      <c r="B2256" t="s">
        <v>32</v>
      </c>
      <c r="C2256" t="s">
        <v>59</v>
      </c>
      <c r="D2256">
        <v>10305.4</v>
      </c>
      <c r="E2256">
        <v>22</v>
      </c>
      <c r="F2256" s="1">
        <v>44992</v>
      </c>
      <c r="G2256" t="str">
        <f>IF(COUNTIFS(Table1_3[Country],Table1_3[[#This Row],[Country]],Table1_3[Product],Table1_3[[#This Row],[Product]],Table1_3[Sales Person],Table1_3[[#This Row],[Sales Person]],Table1_3[Amount],"&lt;=100")&gt;=2,"Contract","Deal")</f>
        <v>Deal</v>
      </c>
    </row>
    <row r="2257" spans="1:7" x14ac:dyDescent="0.3">
      <c r="A2257" t="s">
        <v>70</v>
      </c>
      <c r="B2257" t="s">
        <v>32</v>
      </c>
      <c r="C2257" t="s">
        <v>59</v>
      </c>
      <c r="D2257">
        <v>11257.11</v>
      </c>
      <c r="E2257">
        <v>21</v>
      </c>
      <c r="F2257" s="1">
        <v>45358</v>
      </c>
      <c r="G2257" t="str">
        <f>IF(COUNTIFS(Table1_3[Country],Table1_3[[#This Row],[Country]],Table1_3[Product],Table1_3[[#This Row],[Product]],Table1_3[Sales Person],Table1_3[[#This Row],[Sales Person]],Table1_3[Amount],"&lt;=100")&gt;=2,"Contract","Deal")</f>
        <v>Deal</v>
      </c>
    </row>
    <row r="2258" spans="1:7" x14ac:dyDescent="0.3">
      <c r="A2258" t="s">
        <v>77</v>
      </c>
      <c r="B2258" t="s">
        <v>15</v>
      </c>
      <c r="C2258" t="s">
        <v>26</v>
      </c>
      <c r="D2258">
        <v>7350</v>
      </c>
      <c r="E2258">
        <v>6</v>
      </c>
      <c r="F2258" s="1">
        <v>44767</v>
      </c>
      <c r="G2258" t="str">
        <f>IF(COUNTIFS(Table1_3[Country],Table1_3[[#This Row],[Country]],Table1_3[Product],Table1_3[[#This Row],[Product]],Table1_3[Sales Person],Table1_3[[#This Row],[Sales Person]],Table1_3[Amount],"&lt;=100")&gt;=2,"Contract","Deal")</f>
        <v>Deal</v>
      </c>
    </row>
    <row r="2259" spans="1:7" x14ac:dyDescent="0.3">
      <c r="A2259" t="s">
        <v>77</v>
      </c>
      <c r="B2259" t="s">
        <v>15</v>
      </c>
      <c r="C2259" t="s">
        <v>26</v>
      </c>
      <c r="D2259">
        <v>7473.14</v>
      </c>
      <c r="E2259">
        <v>6</v>
      </c>
      <c r="F2259" s="1">
        <v>45132</v>
      </c>
      <c r="G2259" t="str">
        <f>IF(COUNTIFS(Table1_3[Country],Table1_3[[#This Row],[Country]],Table1_3[Product],Table1_3[[#This Row],[Product]],Table1_3[Sales Person],Table1_3[[#This Row],[Sales Person]],Table1_3[Amount],"&lt;=100")&gt;=2,"Contract","Deal")</f>
        <v>Deal</v>
      </c>
    </row>
    <row r="2260" spans="1:7" x14ac:dyDescent="0.3">
      <c r="A2260" t="s">
        <v>77</v>
      </c>
      <c r="B2260" t="s">
        <v>15</v>
      </c>
      <c r="C2260" t="s">
        <v>26</v>
      </c>
      <c r="D2260">
        <v>8295.8799999999992</v>
      </c>
      <c r="E2260">
        <v>6</v>
      </c>
      <c r="F2260" s="1">
        <v>45498</v>
      </c>
      <c r="G2260" t="str">
        <f>IF(COUNTIFS(Table1_3[Country],Table1_3[[#This Row],[Country]],Table1_3[Product],Table1_3[[#This Row],[Product]],Table1_3[Sales Person],Table1_3[[#This Row],[Sales Person]],Table1_3[Amount],"&lt;=100")&gt;=2,"Contract","Deal")</f>
        <v>Deal</v>
      </c>
    </row>
    <row r="2261" spans="1:7" x14ac:dyDescent="0.3">
      <c r="A2261" t="s">
        <v>77</v>
      </c>
      <c r="B2261" t="s">
        <v>15</v>
      </c>
      <c r="C2261" t="s">
        <v>100</v>
      </c>
      <c r="D2261">
        <v>3710</v>
      </c>
      <c r="E2261">
        <v>260</v>
      </c>
      <c r="F2261" s="1">
        <v>44666</v>
      </c>
      <c r="G2261" t="str">
        <f>IF(COUNTIFS(Table1_3[Country],Table1_3[[#This Row],[Country]],Table1_3[Product],Table1_3[[#This Row],[Product]],Table1_3[Sales Person],Table1_3[[#This Row],[Sales Person]],Table1_3[Amount],"&lt;=100")&gt;=2,"Contract","Deal")</f>
        <v>Deal</v>
      </c>
    </row>
    <row r="2262" spans="1:7" x14ac:dyDescent="0.3">
      <c r="A2262" t="s">
        <v>77</v>
      </c>
      <c r="B2262" t="s">
        <v>15</v>
      </c>
      <c r="C2262" t="s">
        <v>100</v>
      </c>
      <c r="D2262">
        <v>3740.76</v>
      </c>
      <c r="E2262">
        <v>255</v>
      </c>
      <c r="F2262" s="1">
        <v>45031</v>
      </c>
      <c r="G2262" t="str">
        <f>IF(COUNTIFS(Table1_3[Country],Table1_3[[#This Row],[Country]],Table1_3[Product],Table1_3[[#This Row],[Product]],Table1_3[Sales Person],Table1_3[[#This Row],[Sales Person]],Table1_3[Amount],"&lt;=100")&gt;=2,"Contract","Deal")</f>
        <v>Deal</v>
      </c>
    </row>
    <row r="2263" spans="1:7" x14ac:dyDescent="0.3">
      <c r="A2263" t="s">
        <v>77</v>
      </c>
      <c r="B2263" t="s">
        <v>15</v>
      </c>
      <c r="C2263" t="s">
        <v>100</v>
      </c>
      <c r="D2263">
        <v>4196.2299999999996</v>
      </c>
      <c r="E2263">
        <v>256</v>
      </c>
      <c r="F2263" s="1">
        <v>45397</v>
      </c>
      <c r="G2263" t="str">
        <f>IF(COUNTIFS(Table1_3[Country],Table1_3[[#This Row],[Country]],Table1_3[Product],Table1_3[[#This Row],[Product]],Table1_3[Sales Person],Table1_3[[#This Row],[Sales Person]],Table1_3[Amount],"&lt;=100")&gt;=2,"Contract","Deal")</f>
        <v>Deal</v>
      </c>
    </row>
    <row r="2264" spans="1:7" x14ac:dyDescent="0.3">
      <c r="A2264" t="s">
        <v>77</v>
      </c>
      <c r="B2264" t="s">
        <v>15</v>
      </c>
      <c r="C2264" t="s">
        <v>11</v>
      </c>
      <c r="D2264">
        <v>1575</v>
      </c>
      <c r="E2264">
        <v>329</v>
      </c>
      <c r="F2264" s="1">
        <v>44728</v>
      </c>
      <c r="G2264" t="str">
        <f>IF(COUNTIFS(Table1_3[Country],Table1_3[[#This Row],[Country]],Table1_3[Product],Table1_3[[#This Row],[Product]],Table1_3[Sales Person],Table1_3[[#This Row],[Sales Person]],Table1_3[Amount],"&lt;=100")&gt;=2,"Contract","Deal")</f>
        <v>Deal</v>
      </c>
    </row>
    <row r="2265" spans="1:7" x14ac:dyDescent="0.3">
      <c r="A2265" t="s">
        <v>77</v>
      </c>
      <c r="B2265" t="s">
        <v>15</v>
      </c>
      <c r="C2265" t="s">
        <v>11</v>
      </c>
      <c r="D2265">
        <v>1758.62</v>
      </c>
      <c r="E2265">
        <v>329</v>
      </c>
      <c r="F2265" s="1">
        <v>45093</v>
      </c>
      <c r="G2265" t="str">
        <f>IF(COUNTIFS(Table1_3[Country],Table1_3[[#This Row],[Country]],Table1_3[Product],Table1_3[[#This Row],[Product]],Table1_3[Sales Person],Table1_3[[#This Row],[Sales Person]],Table1_3[Amount],"&lt;=100")&gt;=2,"Contract","Deal")</f>
        <v>Deal</v>
      </c>
    </row>
    <row r="2266" spans="1:7" x14ac:dyDescent="0.3">
      <c r="A2266" t="s">
        <v>77</v>
      </c>
      <c r="B2266" t="s">
        <v>15</v>
      </c>
      <c r="C2266" t="s">
        <v>11</v>
      </c>
      <c r="D2266">
        <v>1677.71</v>
      </c>
      <c r="E2266">
        <v>325</v>
      </c>
      <c r="F2266" s="1">
        <v>45459</v>
      </c>
      <c r="G2266" t="str">
        <f>IF(COUNTIFS(Table1_3[Country],Table1_3[[#This Row],[Country]],Table1_3[Product],Table1_3[[#This Row],[Product]],Table1_3[Sales Person],Table1_3[[#This Row],[Sales Person]],Table1_3[Amount],"&lt;=100")&gt;=2,"Contract","Deal")</f>
        <v>Deal</v>
      </c>
    </row>
    <row r="2267" spans="1:7" x14ac:dyDescent="0.3">
      <c r="A2267" t="s">
        <v>77</v>
      </c>
      <c r="B2267" t="s">
        <v>15</v>
      </c>
      <c r="C2267" t="s">
        <v>20</v>
      </c>
      <c r="D2267">
        <v>4326</v>
      </c>
      <c r="E2267">
        <v>154</v>
      </c>
      <c r="F2267" s="1">
        <v>44774</v>
      </c>
      <c r="G2267" t="str">
        <f>IF(COUNTIFS(Table1_3[Country],Table1_3[[#This Row],[Country]],Table1_3[Product],Table1_3[[#This Row],[Product]],Table1_3[Sales Person],Table1_3[[#This Row],[Sales Person]],Table1_3[Amount],"&lt;=100")&gt;=2,"Contract","Deal")</f>
        <v>Deal</v>
      </c>
    </row>
    <row r="2268" spans="1:7" x14ac:dyDescent="0.3">
      <c r="A2268" t="s">
        <v>77</v>
      </c>
      <c r="B2268" t="s">
        <v>15</v>
      </c>
      <c r="C2268" t="s">
        <v>20</v>
      </c>
      <c r="D2268">
        <v>4822.5</v>
      </c>
      <c r="E2268">
        <v>159</v>
      </c>
      <c r="F2268" s="1">
        <v>45139</v>
      </c>
      <c r="G2268" t="str">
        <f>IF(COUNTIFS(Table1_3[Country],Table1_3[[#This Row],[Country]],Table1_3[Product],Table1_3[[#This Row],[Product]],Table1_3[Sales Person],Table1_3[[#This Row],[Sales Person]],Table1_3[Amount],"&lt;=100")&gt;=2,"Contract","Deal")</f>
        <v>Deal</v>
      </c>
    </row>
    <row r="2269" spans="1:7" x14ac:dyDescent="0.3">
      <c r="A2269" t="s">
        <v>77</v>
      </c>
      <c r="B2269" t="s">
        <v>15</v>
      </c>
      <c r="C2269" t="s">
        <v>20</v>
      </c>
      <c r="D2269">
        <v>4911.08</v>
      </c>
      <c r="E2269">
        <v>163</v>
      </c>
      <c r="F2269" s="1">
        <v>45505</v>
      </c>
      <c r="G2269" t="str">
        <f>IF(COUNTIFS(Table1_3[Country],Table1_3[[#This Row],[Country]],Table1_3[Product],Table1_3[[#This Row],[Product]],Table1_3[Sales Person],Table1_3[[#This Row],[Sales Person]],Table1_3[Amount],"&lt;=100")&gt;=2,"Contract","Deal")</f>
        <v>Deal</v>
      </c>
    </row>
    <row r="2270" spans="1:7" x14ac:dyDescent="0.3">
      <c r="A2270" t="s">
        <v>77</v>
      </c>
      <c r="B2270" t="s">
        <v>15</v>
      </c>
      <c r="C2270" t="s">
        <v>75</v>
      </c>
      <c r="D2270">
        <v>2058</v>
      </c>
      <c r="E2270">
        <v>72</v>
      </c>
      <c r="F2270" s="1">
        <v>44659</v>
      </c>
      <c r="G2270" t="str">
        <f>IF(COUNTIFS(Table1_3[Country],Table1_3[[#This Row],[Country]],Table1_3[Product],Table1_3[[#This Row],[Product]],Table1_3[Sales Person],Table1_3[[#This Row],[Sales Person]],Table1_3[Amount],"&lt;=100")&gt;=2,"Contract","Deal")</f>
        <v>Deal</v>
      </c>
    </row>
    <row r="2271" spans="1:7" x14ac:dyDescent="0.3">
      <c r="A2271" t="s">
        <v>77</v>
      </c>
      <c r="B2271" t="s">
        <v>15</v>
      </c>
      <c r="C2271" t="s">
        <v>75</v>
      </c>
      <c r="D2271">
        <v>2106.9299999999998</v>
      </c>
      <c r="E2271">
        <v>69</v>
      </c>
      <c r="F2271" s="1">
        <v>45024</v>
      </c>
      <c r="G2271" t="str">
        <f>IF(COUNTIFS(Table1_3[Country],Table1_3[[#This Row],[Country]],Table1_3[Product],Table1_3[[#This Row],[Product]],Table1_3[Sales Person],Table1_3[[#This Row],[Sales Person]],Table1_3[Amount],"&lt;=100")&gt;=2,"Contract","Deal")</f>
        <v>Deal</v>
      </c>
    </row>
    <row r="2272" spans="1:7" x14ac:dyDescent="0.3">
      <c r="A2272" t="s">
        <v>77</v>
      </c>
      <c r="B2272" t="s">
        <v>15</v>
      </c>
      <c r="C2272" t="s">
        <v>75</v>
      </c>
      <c r="D2272">
        <v>2442.36</v>
      </c>
      <c r="E2272">
        <v>78</v>
      </c>
      <c r="F2272" s="1">
        <v>45390</v>
      </c>
      <c r="G2272" t="str">
        <f>IF(COUNTIFS(Table1_3[Country],Table1_3[[#This Row],[Country]],Table1_3[Product],Table1_3[[#This Row],[Product]],Table1_3[Sales Person],Table1_3[[#This Row],[Sales Person]],Table1_3[Amount],"&lt;=100")&gt;=2,"Contract","Deal")</f>
        <v>Deal</v>
      </c>
    </row>
    <row r="2273" spans="1:7" x14ac:dyDescent="0.3">
      <c r="A2273" t="s">
        <v>77</v>
      </c>
      <c r="B2273" t="s">
        <v>15</v>
      </c>
      <c r="C2273" t="s">
        <v>57</v>
      </c>
      <c r="D2273">
        <v>5579</v>
      </c>
      <c r="E2273">
        <v>92</v>
      </c>
      <c r="F2273" s="1">
        <v>44566</v>
      </c>
      <c r="G2273" t="str">
        <f>IF(COUNTIFS(Table1_3[Country],Table1_3[[#This Row],[Country]],Table1_3[Product],Table1_3[[#This Row],[Product]],Table1_3[Sales Person],Table1_3[[#This Row],[Sales Person]],Table1_3[Amount],"&lt;=100")&gt;=2,"Contract","Deal")</f>
        <v>Deal</v>
      </c>
    </row>
    <row r="2274" spans="1:7" x14ac:dyDescent="0.3">
      <c r="A2274" t="s">
        <v>77</v>
      </c>
      <c r="B2274" t="s">
        <v>15</v>
      </c>
      <c r="C2274" t="s">
        <v>57</v>
      </c>
      <c r="D2274">
        <v>5715.07</v>
      </c>
      <c r="E2274">
        <v>90</v>
      </c>
      <c r="F2274" s="1">
        <v>44931</v>
      </c>
      <c r="G2274" t="str">
        <f>IF(COUNTIFS(Table1_3[Country],Table1_3[[#This Row],[Country]],Table1_3[Product],Table1_3[[#This Row],[Product]],Table1_3[Sales Person],Table1_3[[#This Row],[Sales Person]],Table1_3[Amount],"&lt;=100")&gt;=2,"Contract","Deal")</f>
        <v>Deal</v>
      </c>
    </row>
    <row r="2275" spans="1:7" x14ac:dyDescent="0.3">
      <c r="A2275" t="s">
        <v>77</v>
      </c>
      <c r="B2275" t="s">
        <v>15</v>
      </c>
      <c r="C2275" t="s">
        <v>57</v>
      </c>
      <c r="D2275">
        <v>6105.6</v>
      </c>
      <c r="E2275">
        <v>90</v>
      </c>
      <c r="F2275" s="1">
        <v>45296</v>
      </c>
      <c r="G2275" t="str">
        <f>IF(COUNTIFS(Table1_3[Country],Table1_3[[#This Row],[Country]],Table1_3[Product],Table1_3[[#This Row],[Product]],Table1_3[Sales Person],Table1_3[[#This Row],[Sales Person]],Table1_3[Amount],"&lt;=100")&gt;=2,"Contract","Deal")</f>
        <v>Deal</v>
      </c>
    </row>
    <row r="2276" spans="1:7" x14ac:dyDescent="0.3">
      <c r="A2276" t="s">
        <v>77</v>
      </c>
      <c r="B2276" t="s">
        <v>15</v>
      </c>
      <c r="C2276" t="s">
        <v>8</v>
      </c>
      <c r="D2276">
        <v>2751</v>
      </c>
      <c r="E2276">
        <v>153</v>
      </c>
      <c r="F2276" s="1">
        <v>44683</v>
      </c>
      <c r="G2276" t="str">
        <f>IF(COUNTIFS(Table1_3[Country],Table1_3[[#This Row],[Country]],Table1_3[Product],Table1_3[[#This Row],[Product]],Table1_3[Sales Person],Table1_3[[#This Row],[Sales Person]],Table1_3[Amount],"&lt;=100")&gt;=2,"Contract","Deal")</f>
        <v>Deal</v>
      </c>
    </row>
    <row r="2277" spans="1:7" x14ac:dyDescent="0.3">
      <c r="A2277" t="s">
        <v>77</v>
      </c>
      <c r="B2277" t="s">
        <v>15</v>
      </c>
      <c r="C2277" t="s">
        <v>8</v>
      </c>
      <c r="D2277">
        <v>2766.65</v>
      </c>
      <c r="E2277">
        <v>148</v>
      </c>
      <c r="F2277" s="1">
        <v>45048</v>
      </c>
      <c r="G2277" t="str">
        <f>IF(COUNTIFS(Table1_3[Country],Table1_3[[#This Row],[Country]],Table1_3[Product],Table1_3[[#This Row],[Product]],Table1_3[Sales Person],Table1_3[[#This Row],[Sales Person]],Table1_3[Amount],"&lt;=100")&gt;=2,"Contract","Deal")</f>
        <v>Deal</v>
      </c>
    </row>
    <row r="2278" spans="1:7" x14ac:dyDescent="0.3">
      <c r="A2278" t="s">
        <v>77</v>
      </c>
      <c r="B2278" t="s">
        <v>15</v>
      </c>
      <c r="C2278" t="s">
        <v>8</v>
      </c>
      <c r="D2278">
        <v>3072.89</v>
      </c>
      <c r="E2278">
        <v>166</v>
      </c>
      <c r="F2278" s="1">
        <v>45414</v>
      </c>
      <c r="G2278" t="str">
        <f>IF(COUNTIFS(Table1_3[Country],Table1_3[[#This Row],[Country]],Table1_3[Product],Table1_3[[#This Row],[Product]],Table1_3[Sales Person],Table1_3[[#This Row],[Sales Person]],Table1_3[Amount],"&lt;=100")&gt;=2,"Contract","Deal")</f>
        <v>Deal</v>
      </c>
    </row>
    <row r="2279" spans="1:7" x14ac:dyDescent="0.3">
      <c r="A2279" t="s">
        <v>77</v>
      </c>
      <c r="B2279" t="s">
        <v>15</v>
      </c>
      <c r="C2279" t="s">
        <v>33</v>
      </c>
      <c r="D2279">
        <v>6713</v>
      </c>
      <c r="E2279">
        <v>398</v>
      </c>
      <c r="F2279" s="1">
        <v>44666</v>
      </c>
      <c r="G2279" t="str">
        <f>IF(COUNTIFS(Table1_3[Country],Table1_3[[#This Row],[Country]],Table1_3[Product],Table1_3[[#This Row],[Product]],Table1_3[Sales Person],Table1_3[[#This Row],[Sales Person]],Table1_3[Amount],"&lt;=100")&gt;=2,"Contract","Deal")</f>
        <v>Deal</v>
      </c>
    </row>
    <row r="2280" spans="1:7" x14ac:dyDescent="0.3">
      <c r="A2280" t="s">
        <v>77</v>
      </c>
      <c r="B2280" t="s">
        <v>15</v>
      </c>
      <c r="C2280" t="s">
        <v>33</v>
      </c>
      <c r="D2280">
        <v>7556.55</v>
      </c>
      <c r="E2280">
        <v>404</v>
      </c>
      <c r="F2280" s="1">
        <v>45031</v>
      </c>
      <c r="G2280" t="str">
        <f>IF(COUNTIFS(Table1_3[Country],Table1_3[[#This Row],[Country]],Table1_3[Product],Table1_3[[#This Row],[Product]],Table1_3[Sales Person],Table1_3[[#This Row],[Sales Person]],Table1_3[Amount],"&lt;=100")&gt;=2,"Contract","Deal")</f>
        <v>Deal</v>
      </c>
    </row>
    <row r="2281" spans="1:7" x14ac:dyDescent="0.3">
      <c r="A2281" t="s">
        <v>77</v>
      </c>
      <c r="B2281" t="s">
        <v>15</v>
      </c>
      <c r="C2281" t="s">
        <v>33</v>
      </c>
      <c r="D2281">
        <v>7166.62</v>
      </c>
      <c r="E2281">
        <v>381</v>
      </c>
      <c r="F2281" s="1">
        <v>45397</v>
      </c>
      <c r="G2281" t="str">
        <f>IF(COUNTIFS(Table1_3[Country],Table1_3[[#This Row],[Country]],Table1_3[Product],Table1_3[[#This Row],[Product]],Table1_3[Sales Person],Table1_3[[#This Row],[Sales Person]],Table1_3[Amount],"&lt;=100")&gt;=2,"Contract","Deal")</f>
        <v>Deal</v>
      </c>
    </row>
    <row r="2282" spans="1:7" x14ac:dyDescent="0.3">
      <c r="A2282" t="s">
        <v>77</v>
      </c>
      <c r="B2282" t="s">
        <v>15</v>
      </c>
      <c r="C2282" t="s">
        <v>42</v>
      </c>
      <c r="D2282">
        <v>10794</v>
      </c>
      <c r="E2282">
        <v>50</v>
      </c>
      <c r="F2282" s="1">
        <v>44747</v>
      </c>
      <c r="G2282" t="str">
        <f>IF(COUNTIFS(Table1_3[Country],Table1_3[[#This Row],[Country]],Table1_3[Product],Table1_3[[#This Row],[Product]],Table1_3[Sales Person],Table1_3[[#This Row],[Sales Person]],Table1_3[Amount],"&lt;=100")&gt;=2,"Contract","Deal")</f>
        <v>Deal</v>
      </c>
    </row>
    <row r="2283" spans="1:7" x14ac:dyDescent="0.3">
      <c r="A2283" t="s">
        <v>77</v>
      </c>
      <c r="B2283" t="s">
        <v>15</v>
      </c>
      <c r="C2283" t="s">
        <v>42</v>
      </c>
      <c r="D2283">
        <v>11542.54</v>
      </c>
      <c r="E2283">
        <v>49</v>
      </c>
      <c r="F2283" s="1">
        <v>45112</v>
      </c>
      <c r="G2283" t="str">
        <f>IF(COUNTIFS(Table1_3[Country],Table1_3[[#This Row],[Country]],Table1_3[Product],Table1_3[[#This Row],[Product]],Table1_3[Sales Person],Table1_3[[#This Row],[Sales Person]],Table1_3[Amount],"&lt;=100")&gt;=2,"Contract","Deal")</f>
        <v>Deal</v>
      </c>
    </row>
    <row r="2284" spans="1:7" x14ac:dyDescent="0.3">
      <c r="A2284" t="s">
        <v>77</v>
      </c>
      <c r="B2284" t="s">
        <v>15</v>
      </c>
      <c r="C2284" t="s">
        <v>42</v>
      </c>
      <c r="D2284">
        <v>12094.34</v>
      </c>
      <c r="E2284">
        <v>52</v>
      </c>
      <c r="F2284" s="1">
        <v>45478</v>
      </c>
      <c r="G2284" t="str">
        <f>IF(COUNTIFS(Table1_3[Country],Table1_3[[#This Row],[Country]],Table1_3[Product],Table1_3[[#This Row],[Product]],Table1_3[Sales Person],Table1_3[[#This Row],[Sales Person]],Table1_3[Amount],"&lt;=100")&gt;=2,"Contract","Deal")</f>
        <v>Deal</v>
      </c>
    </row>
    <row r="2285" spans="1:7" x14ac:dyDescent="0.3">
      <c r="A2285" t="s">
        <v>77</v>
      </c>
      <c r="B2285" t="s">
        <v>15</v>
      </c>
      <c r="C2285" t="s">
        <v>73</v>
      </c>
      <c r="D2285">
        <v>6321</v>
      </c>
      <c r="E2285">
        <v>88</v>
      </c>
      <c r="F2285" s="1">
        <v>44755</v>
      </c>
      <c r="G2285" t="str">
        <f>IF(COUNTIFS(Table1_3[Country],Table1_3[[#This Row],[Country]],Table1_3[Product],Table1_3[[#This Row],[Product]],Table1_3[Sales Person],Table1_3[[#This Row],[Sales Person]],Table1_3[Amount],"&lt;=100")&gt;=2,"Contract","Deal")</f>
        <v>Deal</v>
      </c>
    </row>
    <row r="2286" spans="1:7" x14ac:dyDescent="0.3">
      <c r="A2286" t="s">
        <v>77</v>
      </c>
      <c r="B2286" t="s">
        <v>15</v>
      </c>
      <c r="C2286" t="s">
        <v>73</v>
      </c>
      <c r="D2286">
        <v>7033.52</v>
      </c>
      <c r="E2286">
        <v>94</v>
      </c>
      <c r="F2286" s="1">
        <v>45120</v>
      </c>
      <c r="G2286" t="str">
        <f>IF(COUNTIFS(Table1_3[Country],Table1_3[[#This Row],[Country]],Table1_3[Product],Table1_3[[#This Row],[Product]],Table1_3[Sales Person],Table1_3[[#This Row],[Sales Person]],Table1_3[Amount],"&lt;=100")&gt;=2,"Contract","Deal")</f>
        <v>Deal</v>
      </c>
    </row>
    <row r="2287" spans="1:7" x14ac:dyDescent="0.3">
      <c r="A2287" t="s">
        <v>77</v>
      </c>
      <c r="B2287" t="s">
        <v>15</v>
      </c>
      <c r="C2287" t="s">
        <v>73</v>
      </c>
      <c r="D2287">
        <v>7023.94</v>
      </c>
      <c r="E2287">
        <v>89</v>
      </c>
      <c r="F2287" s="1">
        <v>45486</v>
      </c>
      <c r="G2287" t="str">
        <f>IF(COUNTIFS(Table1_3[Country],Table1_3[[#This Row],[Country]],Table1_3[Product],Table1_3[[#This Row],[Product]],Table1_3[Sales Person],Table1_3[[#This Row],[Sales Person]],Table1_3[Amount],"&lt;=100")&gt;=2,"Contract","Deal")</f>
        <v>Deal</v>
      </c>
    </row>
    <row r="2288" spans="1:7" x14ac:dyDescent="0.3">
      <c r="A2288" t="s">
        <v>77</v>
      </c>
      <c r="B2288" t="s">
        <v>15</v>
      </c>
      <c r="C2288" t="s">
        <v>50</v>
      </c>
      <c r="D2288">
        <v>7182</v>
      </c>
      <c r="E2288">
        <v>408</v>
      </c>
      <c r="F2288" s="1">
        <v>44627</v>
      </c>
      <c r="G2288" t="str">
        <f>IF(COUNTIFS(Table1_3[Country],Table1_3[[#This Row],[Country]],Table1_3[Product],Table1_3[[#This Row],[Product]],Table1_3[Sales Person],Table1_3[[#This Row],[Sales Person]],Table1_3[Amount],"&lt;=100")&gt;=2,"Contract","Deal")</f>
        <v>Deal</v>
      </c>
    </row>
    <row r="2289" spans="1:7" x14ac:dyDescent="0.3">
      <c r="A2289" t="s">
        <v>77</v>
      </c>
      <c r="B2289" t="s">
        <v>15</v>
      </c>
      <c r="C2289" t="s">
        <v>50</v>
      </c>
      <c r="D2289">
        <v>7616.38</v>
      </c>
      <c r="E2289">
        <v>392</v>
      </c>
      <c r="F2289" s="1">
        <v>44992</v>
      </c>
      <c r="G2289" t="str">
        <f>IF(COUNTIFS(Table1_3[Country],Table1_3[[#This Row],[Country]],Table1_3[Product],Table1_3[[#This Row],[Product]],Table1_3[Sales Person],Table1_3[[#This Row],[Sales Person]],Table1_3[Amount],"&lt;=100")&gt;=2,"Contract","Deal")</f>
        <v>Deal</v>
      </c>
    </row>
    <row r="2290" spans="1:7" x14ac:dyDescent="0.3">
      <c r="A2290" t="s">
        <v>77</v>
      </c>
      <c r="B2290" t="s">
        <v>15</v>
      </c>
      <c r="C2290" t="s">
        <v>50</v>
      </c>
      <c r="D2290">
        <v>8519.77</v>
      </c>
      <c r="E2290">
        <v>443</v>
      </c>
      <c r="F2290" s="1">
        <v>45358</v>
      </c>
      <c r="G2290" t="str">
        <f>IF(COUNTIFS(Table1_3[Country],Table1_3[[#This Row],[Country]],Table1_3[Product],Table1_3[[#This Row],[Product]],Table1_3[Sales Person],Table1_3[[#This Row],[Sales Person]],Table1_3[Amount],"&lt;=100")&gt;=2,"Contract","Deal")</f>
        <v>Deal</v>
      </c>
    </row>
    <row r="2291" spans="1:7" x14ac:dyDescent="0.3">
      <c r="A2291" t="s">
        <v>77</v>
      </c>
      <c r="B2291" t="s">
        <v>35</v>
      </c>
      <c r="C2291" t="s">
        <v>100</v>
      </c>
      <c r="D2291">
        <v>10927</v>
      </c>
      <c r="E2291">
        <v>141</v>
      </c>
      <c r="F2291" s="1">
        <v>44585</v>
      </c>
      <c r="G2291" t="str">
        <f>IF(COUNTIFS(Table1_3[Country],Table1_3[[#This Row],[Country]],Table1_3[Product],Table1_3[[#This Row],[Product]],Table1_3[Sales Person],Table1_3[[#This Row],[Sales Person]],Table1_3[Amount],"&lt;=100")&gt;=2,"Contract","Deal")</f>
        <v>Deal</v>
      </c>
    </row>
    <row r="2292" spans="1:7" x14ac:dyDescent="0.3">
      <c r="A2292" t="s">
        <v>77</v>
      </c>
      <c r="B2292" t="s">
        <v>35</v>
      </c>
      <c r="C2292" t="s">
        <v>100</v>
      </c>
      <c r="D2292">
        <v>12100.65</v>
      </c>
      <c r="E2292">
        <v>142</v>
      </c>
      <c r="F2292" s="1">
        <v>44950</v>
      </c>
      <c r="G2292" t="str">
        <f>IF(COUNTIFS(Table1_3[Country],Table1_3[[#This Row],[Country]],Table1_3[Product],Table1_3[[#This Row],[Product]],Table1_3[Sales Person],Table1_3[[#This Row],[Sales Person]],Table1_3[Amount],"&lt;=100")&gt;=2,"Contract","Deal")</f>
        <v>Deal</v>
      </c>
    </row>
    <row r="2293" spans="1:7" x14ac:dyDescent="0.3">
      <c r="A2293" t="s">
        <v>77</v>
      </c>
      <c r="B2293" t="s">
        <v>35</v>
      </c>
      <c r="C2293" t="s">
        <v>100</v>
      </c>
      <c r="D2293">
        <v>12634.72</v>
      </c>
      <c r="E2293">
        <v>145</v>
      </c>
      <c r="F2293" s="1">
        <v>45315</v>
      </c>
      <c r="G2293" t="str">
        <f>IF(COUNTIFS(Table1_3[Country],Table1_3[[#This Row],[Country]],Table1_3[Product],Table1_3[[#This Row],[Product]],Table1_3[Sales Person],Table1_3[[#This Row],[Sales Person]],Table1_3[Amount],"&lt;=100")&gt;=2,"Contract","Deal")</f>
        <v>Deal</v>
      </c>
    </row>
    <row r="2294" spans="1:7" x14ac:dyDescent="0.3">
      <c r="A2294" t="s">
        <v>77</v>
      </c>
      <c r="B2294" t="s">
        <v>35</v>
      </c>
      <c r="C2294" t="s">
        <v>11</v>
      </c>
      <c r="D2294">
        <v>7504</v>
      </c>
      <c r="E2294">
        <v>101</v>
      </c>
      <c r="F2294" s="1">
        <v>44609</v>
      </c>
      <c r="G2294" t="str">
        <f>IF(COUNTIFS(Table1_3[Country],Table1_3[[#This Row],[Country]],Table1_3[Product],Table1_3[[#This Row],[Product]],Table1_3[Sales Person],Table1_3[[#This Row],[Sales Person]],Table1_3[Amount],"&lt;=100")&gt;=2,"Contract","Deal")</f>
        <v>Deal</v>
      </c>
    </row>
    <row r="2295" spans="1:7" x14ac:dyDescent="0.3">
      <c r="A2295" t="s">
        <v>77</v>
      </c>
      <c r="B2295" t="s">
        <v>35</v>
      </c>
      <c r="C2295" t="s">
        <v>11</v>
      </c>
      <c r="D2295">
        <v>8373.42</v>
      </c>
      <c r="E2295">
        <v>108</v>
      </c>
      <c r="F2295" s="1">
        <v>44974</v>
      </c>
      <c r="G2295" t="str">
        <f>IF(COUNTIFS(Table1_3[Country],Table1_3[[#This Row],[Country]],Table1_3[Product],Table1_3[[#This Row],[Product]],Table1_3[Sales Person],Table1_3[[#This Row],[Sales Person]],Table1_3[Amount],"&lt;=100")&gt;=2,"Contract","Deal")</f>
        <v>Deal</v>
      </c>
    </row>
    <row r="2296" spans="1:7" x14ac:dyDescent="0.3">
      <c r="A2296" t="s">
        <v>77</v>
      </c>
      <c r="B2296" t="s">
        <v>35</v>
      </c>
      <c r="C2296" t="s">
        <v>11</v>
      </c>
      <c r="D2296">
        <v>8081.58</v>
      </c>
      <c r="E2296">
        <v>105</v>
      </c>
      <c r="F2296" s="1">
        <v>45339</v>
      </c>
      <c r="G2296" t="str">
        <f>IF(COUNTIFS(Table1_3[Country],Table1_3[[#This Row],[Country]],Table1_3[Product],Table1_3[[#This Row],[Product]],Table1_3[Sales Person],Table1_3[[#This Row],[Sales Person]],Table1_3[Amount],"&lt;=100")&gt;=2,"Contract","Deal")</f>
        <v>Deal</v>
      </c>
    </row>
    <row r="2297" spans="1:7" x14ac:dyDescent="0.3">
      <c r="A2297" t="s">
        <v>77</v>
      </c>
      <c r="B2297" t="s">
        <v>35</v>
      </c>
      <c r="C2297" t="s">
        <v>65</v>
      </c>
      <c r="D2297">
        <v>7602</v>
      </c>
      <c r="E2297">
        <v>102</v>
      </c>
      <c r="F2297" s="1">
        <v>44795</v>
      </c>
      <c r="G2297" t="str">
        <f>IF(COUNTIFS(Table1_3[Country],Table1_3[[#This Row],[Country]],Table1_3[Product],Table1_3[[#This Row],[Product]],Table1_3[Sales Person],Table1_3[[#This Row],[Sales Person]],Table1_3[Amount],"&lt;=100")&gt;=2,"Contract","Deal")</f>
        <v>Deal</v>
      </c>
    </row>
    <row r="2298" spans="1:7" x14ac:dyDescent="0.3">
      <c r="A2298" t="s">
        <v>77</v>
      </c>
      <c r="B2298" t="s">
        <v>35</v>
      </c>
      <c r="C2298" t="s">
        <v>65</v>
      </c>
      <c r="D2298">
        <v>8282.93</v>
      </c>
      <c r="E2298">
        <v>107</v>
      </c>
      <c r="F2298" s="1">
        <v>45160</v>
      </c>
      <c r="G2298" t="str">
        <f>IF(COUNTIFS(Table1_3[Country],Table1_3[[#This Row],[Country]],Table1_3[Product],Table1_3[[#This Row],[Product]],Table1_3[Sales Person],Table1_3[[#This Row],[Sales Person]],Table1_3[Amount],"&lt;=100")&gt;=2,"Contract","Deal")</f>
        <v>Deal</v>
      </c>
    </row>
    <row r="2299" spans="1:7" x14ac:dyDescent="0.3">
      <c r="A2299" t="s">
        <v>77</v>
      </c>
      <c r="B2299" t="s">
        <v>35</v>
      </c>
      <c r="C2299" t="s">
        <v>65</v>
      </c>
      <c r="D2299">
        <v>8192.6</v>
      </c>
      <c r="E2299">
        <v>100</v>
      </c>
      <c r="F2299" s="1">
        <v>45526</v>
      </c>
      <c r="G2299" t="str">
        <f>IF(COUNTIFS(Table1_3[Country],Table1_3[[#This Row],[Country]],Table1_3[Product],Table1_3[[#This Row],[Product]],Table1_3[Sales Person],Table1_3[[#This Row],[Sales Person]],Table1_3[Amount],"&lt;=100")&gt;=2,"Contract","Deal")</f>
        <v>Deal</v>
      </c>
    </row>
    <row r="2300" spans="1:7" x14ac:dyDescent="0.3">
      <c r="A2300" t="s">
        <v>77</v>
      </c>
      <c r="B2300" t="s">
        <v>35</v>
      </c>
      <c r="C2300" t="s">
        <v>75</v>
      </c>
      <c r="D2300">
        <v>3458</v>
      </c>
      <c r="E2300">
        <v>294</v>
      </c>
      <c r="F2300" s="1">
        <v>44762</v>
      </c>
      <c r="G2300" t="str">
        <f>IF(COUNTIFS(Table1_3[Country],Table1_3[[#This Row],[Country]],Table1_3[Product],Table1_3[[#This Row],[Product]],Table1_3[Sales Person],Table1_3[[#This Row],[Sales Person]],Table1_3[Amount],"&lt;=100")&gt;=2,"Contract","Deal")</f>
        <v>Deal</v>
      </c>
    </row>
    <row r="2301" spans="1:7" x14ac:dyDescent="0.3">
      <c r="A2301" t="s">
        <v>77</v>
      </c>
      <c r="B2301" t="s">
        <v>35</v>
      </c>
      <c r="C2301" t="s">
        <v>75</v>
      </c>
      <c r="D2301">
        <v>3451.24</v>
      </c>
      <c r="E2301">
        <v>283</v>
      </c>
      <c r="F2301" s="1">
        <v>45127</v>
      </c>
      <c r="G2301" t="str">
        <f>IF(COUNTIFS(Table1_3[Country],Table1_3[[#This Row],[Country]],Table1_3[Product],Table1_3[[#This Row],[Product]],Table1_3[Sales Person],Table1_3[[#This Row],[Sales Person]],Table1_3[Amount],"&lt;=100")&gt;=2,"Contract","Deal")</f>
        <v>Deal</v>
      </c>
    </row>
    <row r="2302" spans="1:7" x14ac:dyDescent="0.3">
      <c r="A2302" t="s">
        <v>77</v>
      </c>
      <c r="B2302" t="s">
        <v>35</v>
      </c>
      <c r="C2302" t="s">
        <v>75</v>
      </c>
      <c r="D2302">
        <v>3766.32</v>
      </c>
      <c r="E2302">
        <v>300</v>
      </c>
      <c r="F2302" s="1">
        <v>45493</v>
      </c>
      <c r="G2302" t="str">
        <f>IF(COUNTIFS(Table1_3[Country],Table1_3[[#This Row],[Country]],Table1_3[Product],Table1_3[[#This Row],[Product]],Table1_3[Sales Person],Table1_3[[#This Row],[Sales Person]],Table1_3[Amount],"&lt;=100")&gt;=2,"Contract","Deal")</f>
        <v>Deal</v>
      </c>
    </row>
    <row r="2303" spans="1:7" x14ac:dyDescent="0.3">
      <c r="A2303" t="s">
        <v>77</v>
      </c>
      <c r="B2303" t="s">
        <v>35</v>
      </c>
      <c r="C2303" t="s">
        <v>46</v>
      </c>
      <c r="D2303">
        <v>3612</v>
      </c>
      <c r="E2303">
        <v>82</v>
      </c>
      <c r="F2303" s="1">
        <v>44677</v>
      </c>
      <c r="G2303" t="str">
        <f>IF(COUNTIFS(Table1_3[Country],Table1_3[[#This Row],[Country]],Table1_3[Product],Table1_3[[#This Row],[Product]],Table1_3[Sales Person],Table1_3[[#This Row],[Sales Person]],Table1_3[Amount],"&lt;=100")&gt;=2,"Contract","Deal")</f>
        <v>Deal</v>
      </c>
    </row>
    <row r="2304" spans="1:7" x14ac:dyDescent="0.3">
      <c r="A2304" t="s">
        <v>77</v>
      </c>
      <c r="B2304" t="s">
        <v>35</v>
      </c>
      <c r="C2304" t="s">
        <v>46</v>
      </c>
      <c r="D2304">
        <v>3907.5</v>
      </c>
      <c r="E2304">
        <v>86</v>
      </c>
      <c r="F2304" s="1">
        <v>45042</v>
      </c>
      <c r="G2304" t="str">
        <f>IF(COUNTIFS(Table1_3[Country],Table1_3[[#This Row],[Country]],Table1_3[Product],Table1_3[[#This Row],[Product]],Table1_3[Sales Person],Table1_3[[#This Row],[Sales Person]],Table1_3[Amount],"&lt;=100")&gt;=2,"Contract","Deal")</f>
        <v>Deal</v>
      </c>
    </row>
    <row r="2305" spans="1:7" x14ac:dyDescent="0.3">
      <c r="A2305" t="s">
        <v>77</v>
      </c>
      <c r="B2305" t="s">
        <v>35</v>
      </c>
      <c r="C2305" t="s">
        <v>46</v>
      </c>
      <c r="D2305">
        <v>4285.13</v>
      </c>
      <c r="E2305">
        <v>87</v>
      </c>
      <c r="F2305" s="1">
        <v>45408</v>
      </c>
      <c r="G2305" t="str">
        <f>IF(COUNTIFS(Table1_3[Country],Table1_3[[#This Row],[Country]],Table1_3[Product],Table1_3[[#This Row],[Product]],Table1_3[Sales Person],Table1_3[[#This Row],[Sales Person]],Table1_3[Amount],"&lt;=100")&gt;=2,"Contract","Deal")</f>
        <v>Deal</v>
      </c>
    </row>
    <row r="2306" spans="1:7" x14ac:dyDescent="0.3">
      <c r="A2306" t="s">
        <v>77</v>
      </c>
      <c r="B2306" t="s">
        <v>35</v>
      </c>
      <c r="C2306" t="s">
        <v>13</v>
      </c>
      <c r="D2306">
        <v>14763</v>
      </c>
      <c r="E2306">
        <v>113</v>
      </c>
      <c r="F2306" s="1">
        <v>44747</v>
      </c>
      <c r="G2306" t="str">
        <f>IF(COUNTIFS(Table1_3[Country],Table1_3[[#This Row],[Country]],Table1_3[Product],Table1_3[[#This Row],[Product]],Table1_3[Sales Person],Table1_3[[#This Row],[Sales Person]],Table1_3[Amount],"&lt;=100")&gt;=2,"Contract","Deal")</f>
        <v>Deal</v>
      </c>
    </row>
    <row r="2307" spans="1:7" x14ac:dyDescent="0.3">
      <c r="A2307" t="s">
        <v>77</v>
      </c>
      <c r="B2307" t="s">
        <v>35</v>
      </c>
      <c r="C2307" t="s">
        <v>13</v>
      </c>
      <c r="D2307">
        <v>15276.46</v>
      </c>
      <c r="E2307">
        <v>121</v>
      </c>
      <c r="F2307" s="1">
        <v>45112</v>
      </c>
      <c r="G2307" t="str">
        <f>IF(COUNTIFS(Table1_3[Country],Table1_3[[#This Row],[Country]],Table1_3[Product],Table1_3[[#This Row],[Product]],Table1_3[Sales Person],Table1_3[[#This Row],[Sales Person]],Table1_3[Amount],"&lt;=100")&gt;=2,"Contract","Deal")</f>
        <v>Deal</v>
      </c>
    </row>
    <row r="2308" spans="1:7" x14ac:dyDescent="0.3">
      <c r="A2308" t="s">
        <v>77</v>
      </c>
      <c r="B2308" t="s">
        <v>35</v>
      </c>
      <c r="C2308" t="s">
        <v>13</v>
      </c>
      <c r="D2308">
        <v>17813.77</v>
      </c>
      <c r="E2308">
        <v>120</v>
      </c>
      <c r="F2308" s="1">
        <v>45478</v>
      </c>
      <c r="G2308" t="str">
        <f>IF(COUNTIFS(Table1_3[Country],Table1_3[[#This Row],[Country]],Table1_3[Product],Table1_3[[#This Row],[Product]],Table1_3[Sales Person],Table1_3[[#This Row],[Sales Person]],Table1_3[Amount],"&lt;=100")&gt;=2,"Contract","Deal")</f>
        <v>Deal</v>
      </c>
    </row>
    <row r="2309" spans="1:7" x14ac:dyDescent="0.3">
      <c r="A2309" t="s">
        <v>77</v>
      </c>
      <c r="B2309" t="s">
        <v>10</v>
      </c>
      <c r="C2309" t="s">
        <v>75</v>
      </c>
      <c r="D2309">
        <v>3500</v>
      </c>
      <c r="E2309">
        <v>145</v>
      </c>
      <c r="F2309" s="1">
        <v>44603</v>
      </c>
      <c r="G2309" t="str">
        <f>IF(COUNTIFS(Table1_3[Country],Table1_3[[#This Row],[Country]],Table1_3[Product],Table1_3[[#This Row],[Product]],Table1_3[Sales Person],Table1_3[[#This Row],[Sales Person]],Table1_3[Amount],"&lt;=100")&gt;=2,"Contract","Deal")</f>
        <v>Deal</v>
      </c>
    </row>
    <row r="2310" spans="1:7" x14ac:dyDescent="0.3">
      <c r="A2310" t="s">
        <v>77</v>
      </c>
      <c r="B2310" t="s">
        <v>10</v>
      </c>
      <c r="C2310" t="s">
        <v>75</v>
      </c>
      <c r="D2310">
        <v>3720.22</v>
      </c>
      <c r="E2310">
        <v>141</v>
      </c>
      <c r="F2310" s="1">
        <v>44968</v>
      </c>
      <c r="G2310" t="str">
        <f>IF(COUNTIFS(Table1_3[Country],Table1_3[[#This Row],[Country]],Table1_3[Product],Table1_3[[#This Row],[Product]],Table1_3[Sales Person],Table1_3[[#This Row],[Sales Person]],Table1_3[Amount],"&lt;=100")&gt;=2,"Contract","Deal")</f>
        <v>Deal</v>
      </c>
    </row>
    <row r="2311" spans="1:7" x14ac:dyDescent="0.3">
      <c r="A2311" t="s">
        <v>77</v>
      </c>
      <c r="B2311" t="s">
        <v>10</v>
      </c>
      <c r="C2311" t="s">
        <v>75</v>
      </c>
      <c r="D2311">
        <v>3764.59</v>
      </c>
      <c r="E2311">
        <v>158</v>
      </c>
      <c r="F2311" s="1">
        <v>45333</v>
      </c>
      <c r="G2311" t="str">
        <f>IF(COUNTIFS(Table1_3[Country],Table1_3[[#This Row],[Country]],Table1_3[Product],Table1_3[[#This Row],[Product]],Table1_3[Sales Person],Table1_3[[#This Row],[Sales Person]],Table1_3[Amount],"&lt;=100")&gt;=2,"Contract","Deal")</f>
        <v>Deal</v>
      </c>
    </row>
    <row r="2312" spans="1:7" x14ac:dyDescent="0.3">
      <c r="A2312" t="s">
        <v>77</v>
      </c>
      <c r="B2312" t="s">
        <v>10</v>
      </c>
      <c r="C2312" t="s">
        <v>8</v>
      </c>
      <c r="D2312">
        <v>3836</v>
      </c>
      <c r="E2312">
        <v>71</v>
      </c>
      <c r="F2312" s="1">
        <v>44797</v>
      </c>
      <c r="G2312" t="str">
        <f>IF(COUNTIFS(Table1_3[Country],Table1_3[[#This Row],[Country]],Table1_3[Product],Table1_3[[#This Row],[Product]],Table1_3[Sales Person],Table1_3[[#This Row],[Sales Person]],Table1_3[Amount],"&lt;=100")&gt;=2,"Contract","Deal")</f>
        <v>Deal</v>
      </c>
    </row>
    <row r="2313" spans="1:7" x14ac:dyDescent="0.3">
      <c r="A2313" t="s">
        <v>77</v>
      </c>
      <c r="B2313" t="s">
        <v>10</v>
      </c>
      <c r="C2313" t="s">
        <v>8</v>
      </c>
      <c r="D2313">
        <v>4090.16</v>
      </c>
      <c r="E2313">
        <v>75</v>
      </c>
      <c r="F2313" s="1">
        <v>45162</v>
      </c>
      <c r="G2313" t="str">
        <f>IF(COUNTIFS(Table1_3[Country],Table1_3[[#This Row],[Country]],Table1_3[Product],Table1_3[[#This Row],[Product]],Table1_3[Sales Person],Table1_3[[#This Row],[Sales Person]],Table1_3[Amount],"&lt;=100")&gt;=2,"Contract","Deal")</f>
        <v>Deal</v>
      </c>
    </row>
    <row r="2314" spans="1:7" x14ac:dyDescent="0.3">
      <c r="A2314" t="s">
        <v>77</v>
      </c>
      <c r="B2314" t="s">
        <v>10</v>
      </c>
      <c r="C2314" t="s">
        <v>8</v>
      </c>
      <c r="D2314">
        <v>4016.89</v>
      </c>
      <c r="E2314">
        <v>71</v>
      </c>
      <c r="F2314" s="1">
        <v>45528</v>
      </c>
      <c r="G2314" t="str">
        <f>IF(COUNTIFS(Table1_3[Country],Table1_3[[#This Row],[Country]],Table1_3[Product],Table1_3[[#This Row],[Product]],Table1_3[Sales Person],Table1_3[[#This Row],[Sales Person]],Table1_3[Amount],"&lt;=100")&gt;=2,"Contract","Deal")</f>
        <v>Deal</v>
      </c>
    </row>
    <row r="2315" spans="1:7" x14ac:dyDescent="0.3">
      <c r="A2315" t="s">
        <v>77</v>
      </c>
      <c r="B2315" t="s">
        <v>10</v>
      </c>
      <c r="C2315" t="s">
        <v>42</v>
      </c>
      <c r="D2315">
        <v>4781</v>
      </c>
      <c r="E2315">
        <v>38</v>
      </c>
      <c r="F2315" s="1">
        <v>44587</v>
      </c>
      <c r="G2315" t="str">
        <f>IF(COUNTIFS(Table1_3[Country],Table1_3[[#This Row],[Country]],Table1_3[Product],Table1_3[[#This Row],[Product]],Table1_3[Sales Person],Table1_3[[#This Row],[Sales Person]],Table1_3[Amount],"&lt;=100")&gt;=2,"Contract","Deal")</f>
        <v>Deal</v>
      </c>
    </row>
    <row r="2316" spans="1:7" x14ac:dyDescent="0.3">
      <c r="A2316" t="s">
        <v>77</v>
      </c>
      <c r="B2316" t="s">
        <v>10</v>
      </c>
      <c r="C2316" t="s">
        <v>42</v>
      </c>
      <c r="D2316">
        <v>5418.75</v>
      </c>
      <c r="E2316">
        <v>37</v>
      </c>
      <c r="F2316" s="1">
        <v>44952</v>
      </c>
      <c r="G2316" t="str">
        <f>IF(COUNTIFS(Table1_3[Country],Table1_3[[#This Row],[Country]],Table1_3[Product],Table1_3[[#This Row],[Product]],Table1_3[Sales Person],Table1_3[[#This Row],[Sales Person]],Table1_3[Amount],"&lt;=100")&gt;=2,"Contract","Deal")</f>
        <v>Deal</v>
      </c>
    </row>
    <row r="2317" spans="1:7" x14ac:dyDescent="0.3">
      <c r="A2317" t="s">
        <v>77</v>
      </c>
      <c r="B2317" t="s">
        <v>10</v>
      </c>
      <c r="C2317" t="s">
        <v>42</v>
      </c>
      <c r="D2317">
        <v>5401.01</v>
      </c>
      <c r="E2317">
        <v>41</v>
      </c>
      <c r="F2317" s="1">
        <v>45317</v>
      </c>
      <c r="G2317" t="str">
        <f>IF(COUNTIFS(Table1_3[Country],Table1_3[[#This Row],[Country]],Table1_3[Product],Table1_3[[#This Row],[Product]],Table1_3[Sales Person],Table1_3[[#This Row],[Sales Person]],Table1_3[Amount],"&lt;=100")&gt;=2,"Contract","Deal")</f>
        <v>Deal</v>
      </c>
    </row>
    <row r="2318" spans="1:7" x14ac:dyDescent="0.3">
      <c r="A2318" t="s">
        <v>77</v>
      </c>
      <c r="B2318" t="s">
        <v>10</v>
      </c>
      <c r="C2318" t="s">
        <v>73</v>
      </c>
      <c r="D2318">
        <v>4221</v>
      </c>
      <c r="E2318">
        <v>9</v>
      </c>
      <c r="F2318" s="1">
        <v>44749</v>
      </c>
      <c r="G2318" t="str">
        <f>IF(COUNTIFS(Table1_3[Country],Table1_3[[#This Row],[Country]],Table1_3[Product],Table1_3[[#This Row],[Product]],Table1_3[Sales Person],Table1_3[[#This Row],[Sales Person]],Table1_3[Amount],"&lt;=100")&gt;=2,"Contract","Deal")</f>
        <v>Deal</v>
      </c>
    </row>
    <row r="2319" spans="1:7" x14ac:dyDescent="0.3">
      <c r="A2319" t="s">
        <v>77</v>
      </c>
      <c r="B2319" t="s">
        <v>10</v>
      </c>
      <c r="C2319" t="s">
        <v>73</v>
      </c>
      <c r="D2319">
        <v>4409.21</v>
      </c>
      <c r="E2319">
        <v>10</v>
      </c>
      <c r="F2319" s="1">
        <v>45114</v>
      </c>
      <c r="G2319" t="str">
        <f>IF(COUNTIFS(Table1_3[Country],Table1_3[[#This Row],[Country]],Table1_3[Product],Table1_3[[#This Row],[Product]],Table1_3[Sales Person],Table1_3[[#This Row],[Sales Person]],Table1_3[Amount],"&lt;=100")&gt;=2,"Contract","Deal")</f>
        <v>Deal</v>
      </c>
    </row>
    <row r="2320" spans="1:7" x14ac:dyDescent="0.3">
      <c r="A2320" t="s">
        <v>77</v>
      </c>
      <c r="B2320" t="s">
        <v>10</v>
      </c>
      <c r="C2320" t="s">
        <v>73</v>
      </c>
      <c r="D2320">
        <v>4758.6899999999996</v>
      </c>
      <c r="E2320">
        <v>10</v>
      </c>
      <c r="F2320" s="1">
        <v>45480</v>
      </c>
      <c r="G2320" t="str">
        <f>IF(COUNTIFS(Table1_3[Country],Table1_3[[#This Row],[Country]],Table1_3[Product],Table1_3[[#This Row],[Product]],Table1_3[Sales Person],Table1_3[[#This Row],[Sales Person]],Table1_3[Amount],"&lt;=100")&gt;=2,"Contract","Deal")</f>
        <v>Deal</v>
      </c>
    </row>
    <row r="2321" spans="1:7" x14ac:dyDescent="0.3">
      <c r="A2321" t="s">
        <v>77</v>
      </c>
      <c r="B2321" t="s">
        <v>25</v>
      </c>
      <c r="C2321" t="s">
        <v>100</v>
      </c>
      <c r="D2321">
        <v>13356</v>
      </c>
      <c r="E2321">
        <v>93</v>
      </c>
      <c r="F2321" s="1">
        <v>44614</v>
      </c>
      <c r="G2321" t="str">
        <f>IF(COUNTIFS(Table1_3[Country],Table1_3[[#This Row],[Country]],Table1_3[Product],Table1_3[[#This Row],[Product]],Table1_3[Sales Person],Table1_3[[#This Row],[Sales Person]],Table1_3[Amount],"&lt;=100")&gt;=2,"Contract","Deal")</f>
        <v>Deal</v>
      </c>
    </row>
    <row r="2322" spans="1:7" x14ac:dyDescent="0.3">
      <c r="A2322" t="s">
        <v>77</v>
      </c>
      <c r="B2322" t="s">
        <v>25</v>
      </c>
      <c r="C2322" t="s">
        <v>100</v>
      </c>
      <c r="D2322">
        <v>13370.34</v>
      </c>
      <c r="E2322">
        <v>94</v>
      </c>
      <c r="F2322" s="1">
        <v>44979</v>
      </c>
      <c r="G2322" t="str">
        <f>IF(COUNTIFS(Table1_3[Country],Table1_3[[#This Row],[Country]],Table1_3[Product],Table1_3[[#This Row],[Product]],Table1_3[Sales Person],Table1_3[[#This Row],[Sales Person]],Table1_3[Amount],"&lt;=100")&gt;=2,"Contract","Deal")</f>
        <v>Deal</v>
      </c>
    </row>
    <row r="2323" spans="1:7" x14ac:dyDescent="0.3">
      <c r="A2323" t="s">
        <v>77</v>
      </c>
      <c r="B2323" t="s">
        <v>25</v>
      </c>
      <c r="C2323" t="s">
        <v>100</v>
      </c>
      <c r="D2323">
        <v>14193.58</v>
      </c>
      <c r="E2323">
        <v>102</v>
      </c>
      <c r="F2323" s="1">
        <v>45344</v>
      </c>
      <c r="G2323" t="str">
        <f>IF(COUNTIFS(Table1_3[Country],Table1_3[[#This Row],[Country]],Table1_3[Product],Table1_3[[#This Row],[Product]],Table1_3[Sales Person],Table1_3[[#This Row],[Sales Person]],Table1_3[Amount],"&lt;=100")&gt;=2,"Contract","Deal")</f>
        <v>Deal</v>
      </c>
    </row>
    <row r="2324" spans="1:7" x14ac:dyDescent="0.3">
      <c r="A2324" t="s">
        <v>77</v>
      </c>
      <c r="B2324" t="s">
        <v>25</v>
      </c>
      <c r="C2324" t="s">
        <v>90</v>
      </c>
      <c r="D2324">
        <v>3374</v>
      </c>
      <c r="E2324">
        <v>151</v>
      </c>
      <c r="F2324" s="1">
        <v>44593</v>
      </c>
      <c r="G2324" t="str">
        <f>IF(COUNTIFS(Table1_3[Country],Table1_3[[#This Row],[Country]],Table1_3[Product],Table1_3[[#This Row],[Product]],Table1_3[Sales Person],Table1_3[[#This Row],[Sales Person]],Table1_3[Amount],"&lt;=100")&gt;=2,"Contract","Deal")</f>
        <v>Deal</v>
      </c>
    </row>
    <row r="2325" spans="1:7" x14ac:dyDescent="0.3">
      <c r="A2325" t="s">
        <v>77</v>
      </c>
      <c r="B2325" t="s">
        <v>25</v>
      </c>
      <c r="C2325" t="s">
        <v>90</v>
      </c>
      <c r="D2325">
        <v>3782.83</v>
      </c>
      <c r="E2325">
        <v>150</v>
      </c>
      <c r="F2325" s="1">
        <v>44958</v>
      </c>
      <c r="G2325" t="str">
        <f>IF(COUNTIFS(Table1_3[Country],Table1_3[[#This Row],[Country]],Table1_3[Product],Table1_3[[#This Row],[Product]],Table1_3[Sales Person],Table1_3[[#This Row],[Sales Person]],Table1_3[Amount],"&lt;=100")&gt;=2,"Contract","Deal")</f>
        <v>Deal</v>
      </c>
    </row>
    <row r="2326" spans="1:7" x14ac:dyDescent="0.3">
      <c r="A2326" t="s">
        <v>77</v>
      </c>
      <c r="B2326" t="s">
        <v>25</v>
      </c>
      <c r="C2326" t="s">
        <v>90</v>
      </c>
      <c r="D2326">
        <v>4005.08</v>
      </c>
      <c r="E2326">
        <v>150</v>
      </c>
      <c r="F2326" s="1">
        <v>45323</v>
      </c>
      <c r="G2326" t="str">
        <f>IF(COUNTIFS(Table1_3[Country],Table1_3[[#This Row],[Country]],Table1_3[Product],Table1_3[[#This Row],[Product]],Table1_3[Sales Person],Table1_3[[#This Row],[Sales Person]],Table1_3[Amount],"&lt;=100")&gt;=2,"Contract","Deal")</f>
        <v>Deal</v>
      </c>
    </row>
    <row r="2327" spans="1:7" x14ac:dyDescent="0.3">
      <c r="A2327" t="s">
        <v>77</v>
      </c>
      <c r="B2327" t="s">
        <v>25</v>
      </c>
      <c r="C2327" t="s">
        <v>57</v>
      </c>
      <c r="D2327">
        <v>5677</v>
      </c>
      <c r="E2327">
        <v>21</v>
      </c>
      <c r="F2327" s="1">
        <v>44579</v>
      </c>
      <c r="G2327" t="str">
        <f>IF(COUNTIFS(Table1_3[Country],Table1_3[[#This Row],[Country]],Table1_3[Product],Table1_3[[#This Row],[Product]],Table1_3[Sales Person],Table1_3[[#This Row],[Sales Person]],Table1_3[Amount],"&lt;=100")&gt;=2,"Contract","Deal")</f>
        <v>Deal</v>
      </c>
    </row>
    <row r="2328" spans="1:7" x14ac:dyDescent="0.3">
      <c r="A2328" t="s">
        <v>77</v>
      </c>
      <c r="B2328" t="s">
        <v>25</v>
      </c>
      <c r="C2328" t="s">
        <v>57</v>
      </c>
      <c r="D2328">
        <v>5766.51</v>
      </c>
      <c r="E2328">
        <v>21</v>
      </c>
      <c r="F2328" s="1">
        <v>44944</v>
      </c>
      <c r="G2328" t="str">
        <f>IF(COUNTIFS(Table1_3[Country],Table1_3[[#This Row],[Country]],Table1_3[Product],Table1_3[[#This Row],[Product]],Table1_3[Sales Person],Table1_3[[#This Row],[Sales Person]],Table1_3[Amount],"&lt;=100")&gt;=2,"Contract","Deal")</f>
        <v>Deal</v>
      </c>
    </row>
    <row r="2329" spans="1:7" x14ac:dyDescent="0.3">
      <c r="A2329" t="s">
        <v>77</v>
      </c>
      <c r="B2329" t="s">
        <v>25</v>
      </c>
      <c r="C2329" t="s">
        <v>57</v>
      </c>
      <c r="D2329">
        <v>6764.17</v>
      </c>
      <c r="E2329">
        <v>20</v>
      </c>
      <c r="F2329" s="1">
        <v>45309</v>
      </c>
      <c r="G2329" t="str">
        <f>IF(COUNTIFS(Table1_3[Country],Table1_3[[#This Row],[Country]],Table1_3[Product],Table1_3[[#This Row],[Product]],Table1_3[Sales Person],Table1_3[[#This Row],[Sales Person]],Table1_3[Amount],"&lt;=100")&gt;=2,"Contract","Deal")</f>
        <v>Deal</v>
      </c>
    </row>
    <row r="2330" spans="1:7" x14ac:dyDescent="0.3">
      <c r="A2330" t="s">
        <v>77</v>
      </c>
      <c r="B2330" t="s">
        <v>25</v>
      </c>
      <c r="C2330" t="s">
        <v>46</v>
      </c>
      <c r="D2330">
        <v>12558</v>
      </c>
      <c r="E2330">
        <v>403</v>
      </c>
      <c r="F2330" s="1">
        <v>44649</v>
      </c>
      <c r="G2330" t="str">
        <f>IF(COUNTIFS(Table1_3[Country],Table1_3[[#This Row],[Country]],Table1_3[Product],Table1_3[[#This Row],[Product]],Table1_3[Sales Person],Table1_3[[#This Row],[Sales Person]],Table1_3[Amount],"&lt;=100")&gt;=2,"Contract","Deal")</f>
        <v>Deal</v>
      </c>
    </row>
    <row r="2331" spans="1:7" x14ac:dyDescent="0.3">
      <c r="A2331" t="s">
        <v>77</v>
      </c>
      <c r="B2331" t="s">
        <v>25</v>
      </c>
      <c r="C2331" t="s">
        <v>46</v>
      </c>
      <c r="D2331">
        <v>14002.42</v>
      </c>
      <c r="E2331">
        <v>388</v>
      </c>
      <c r="F2331" s="1">
        <v>45014</v>
      </c>
      <c r="G2331" t="str">
        <f>IF(COUNTIFS(Table1_3[Country],Table1_3[[#This Row],[Country]],Table1_3[Product],Table1_3[[#This Row],[Product]],Table1_3[Sales Person],Table1_3[[#This Row],[Sales Person]],Table1_3[Amount],"&lt;=100")&gt;=2,"Contract","Deal")</f>
        <v>Deal</v>
      </c>
    </row>
    <row r="2332" spans="1:7" x14ac:dyDescent="0.3">
      <c r="A2332" t="s">
        <v>77</v>
      </c>
      <c r="B2332" t="s">
        <v>25</v>
      </c>
      <c r="C2332" t="s">
        <v>46</v>
      </c>
      <c r="D2332">
        <v>13541.21</v>
      </c>
      <c r="E2332">
        <v>434</v>
      </c>
      <c r="F2332" s="1">
        <v>45380</v>
      </c>
      <c r="G2332" t="str">
        <f>IF(COUNTIFS(Table1_3[Country],Table1_3[[#This Row],[Country]],Table1_3[Product],Table1_3[[#This Row],[Product]],Table1_3[Sales Person],Table1_3[[#This Row],[Sales Person]],Table1_3[Amount],"&lt;=100")&gt;=2,"Contract","Deal")</f>
        <v>Deal</v>
      </c>
    </row>
    <row r="2333" spans="1:7" x14ac:dyDescent="0.3">
      <c r="A2333" t="s">
        <v>77</v>
      </c>
      <c r="B2333" t="s">
        <v>25</v>
      </c>
      <c r="C2333" t="s">
        <v>8</v>
      </c>
      <c r="D2333">
        <v>7413</v>
      </c>
      <c r="E2333">
        <v>4</v>
      </c>
      <c r="F2333" s="1">
        <v>44631</v>
      </c>
      <c r="G2333" t="str">
        <f>IF(COUNTIFS(Table1_3[Country],Table1_3[[#This Row],[Country]],Table1_3[Product],Table1_3[[#This Row],[Product]],Table1_3[Sales Person],Table1_3[[#This Row],[Sales Person]],Table1_3[Amount],"&lt;=100")&gt;=2,"Contract","Deal")</f>
        <v>Deal</v>
      </c>
    </row>
    <row r="2334" spans="1:7" x14ac:dyDescent="0.3">
      <c r="A2334" t="s">
        <v>77</v>
      </c>
      <c r="B2334" t="s">
        <v>25</v>
      </c>
      <c r="C2334" t="s">
        <v>8</v>
      </c>
      <c r="D2334">
        <v>8502.77</v>
      </c>
      <c r="E2334">
        <v>4</v>
      </c>
      <c r="F2334" s="1">
        <v>44996</v>
      </c>
      <c r="G2334" t="str">
        <f>IF(COUNTIFS(Table1_3[Country],Table1_3[[#This Row],[Country]],Table1_3[Product],Table1_3[[#This Row],[Product]],Table1_3[Sales Person],Table1_3[[#This Row],[Sales Person]],Table1_3[Amount],"&lt;=100")&gt;=2,"Contract","Deal")</f>
        <v>Deal</v>
      </c>
    </row>
    <row r="2335" spans="1:7" x14ac:dyDescent="0.3">
      <c r="A2335" t="s">
        <v>77</v>
      </c>
      <c r="B2335" t="s">
        <v>25</v>
      </c>
      <c r="C2335" t="s">
        <v>8</v>
      </c>
      <c r="D2335">
        <v>8888.61</v>
      </c>
      <c r="E2335">
        <v>4</v>
      </c>
      <c r="F2335" s="1">
        <v>45362</v>
      </c>
      <c r="G2335" t="str">
        <f>IF(COUNTIFS(Table1_3[Country],Table1_3[[#This Row],[Country]],Table1_3[Product],Table1_3[[#This Row],[Product]],Table1_3[Sales Person],Table1_3[[#This Row],[Sales Person]],Table1_3[Amount],"&lt;=100")&gt;=2,"Contract","Deal")</f>
        <v>Deal</v>
      </c>
    </row>
    <row r="2336" spans="1:7" x14ac:dyDescent="0.3">
      <c r="A2336" t="s">
        <v>77</v>
      </c>
      <c r="B2336" t="s">
        <v>25</v>
      </c>
      <c r="C2336" t="s">
        <v>13</v>
      </c>
      <c r="D2336">
        <v>5152</v>
      </c>
      <c r="E2336">
        <v>333</v>
      </c>
      <c r="F2336" s="1">
        <v>44589</v>
      </c>
      <c r="G2336" t="str">
        <f>IF(COUNTIFS(Table1_3[Country],Table1_3[[#This Row],[Country]],Table1_3[Product],Table1_3[[#This Row],[Product]],Table1_3[Sales Person],Table1_3[[#This Row],[Sales Person]],Table1_3[Amount],"&lt;=100")&gt;=2,"Contract","Deal")</f>
        <v>Deal</v>
      </c>
    </row>
    <row r="2337" spans="1:7" x14ac:dyDescent="0.3">
      <c r="A2337" t="s">
        <v>77</v>
      </c>
      <c r="B2337" t="s">
        <v>25</v>
      </c>
      <c r="C2337" t="s">
        <v>13</v>
      </c>
      <c r="D2337">
        <v>5360.89</v>
      </c>
      <c r="E2337">
        <v>340</v>
      </c>
      <c r="F2337" s="1">
        <v>44954</v>
      </c>
      <c r="G2337" t="str">
        <f>IF(COUNTIFS(Table1_3[Country],Table1_3[[#This Row],[Country]],Table1_3[Product],Table1_3[[#This Row],[Product]],Table1_3[Sales Person],Table1_3[[#This Row],[Sales Person]],Table1_3[Amount],"&lt;=100")&gt;=2,"Contract","Deal")</f>
        <v>Deal</v>
      </c>
    </row>
    <row r="2338" spans="1:7" x14ac:dyDescent="0.3">
      <c r="A2338" t="s">
        <v>77</v>
      </c>
      <c r="B2338" t="s">
        <v>25</v>
      </c>
      <c r="C2338" t="s">
        <v>13</v>
      </c>
      <c r="D2338">
        <v>6030.31</v>
      </c>
      <c r="E2338">
        <v>351</v>
      </c>
      <c r="F2338" s="1">
        <v>45319</v>
      </c>
      <c r="G2338" t="str">
        <f>IF(COUNTIFS(Table1_3[Country],Table1_3[[#This Row],[Country]],Table1_3[Product],Table1_3[[#This Row],[Product]],Table1_3[Sales Person],Table1_3[[#This Row],[Sales Person]],Table1_3[Amount],"&lt;=100")&gt;=2,"Contract","Deal")</f>
        <v>Deal</v>
      </c>
    </row>
    <row r="2339" spans="1:7" x14ac:dyDescent="0.3">
      <c r="A2339" t="s">
        <v>77</v>
      </c>
      <c r="B2339" t="s">
        <v>25</v>
      </c>
      <c r="C2339" t="s">
        <v>73</v>
      </c>
      <c r="D2339">
        <v>9226</v>
      </c>
      <c r="E2339">
        <v>415</v>
      </c>
      <c r="F2339" s="1">
        <v>44699</v>
      </c>
      <c r="G2339" t="str">
        <f>IF(COUNTIFS(Table1_3[Country],Table1_3[[#This Row],[Country]],Table1_3[Product],Table1_3[[#This Row],[Product]],Table1_3[Sales Person],Table1_3[[#This Row],[Sales Person]],Table1_3[Amount],"&lt;=100")&gt;=2,"Contract","Deal")</f>
        <v>Deal</v>
      </c>
    </row>
    <row r="2340" spans="1:7" x14ac:dyDescent="0.3">
      <c r="A2340" t="s">
        <v>77</v>
      </c>
      <c r="B2340" t="s">
        <v>25</v>
      </c>
      <c r="C2340" t="s">
        <v>73</v>
      </c>
      <c r="D2340">
        <v>9672.76</v>
      </c>
      <c r="E2340">
        <v>411</v>
      </c>
      <c r="F2340" s="1">
        <v>45064</v>
      </c>
      <c r="G2340" t="str">
        <f>IF(COUNTIFS(Table1_3[Country],Table1_3[[#This Row],[Country]],Table1_3[Product],Table1_3[[#This Row],[Product]],Table1_3[Sales Person],Table1_3[[#This Row],[Sales Person]],Table1_3[Amount],"&lt;=100")&gt;=2,"Contract","Deal")</f>
        <v>Deal</v>
      </c>
    </row>
    <row r="2341" spans="1:7" x14ac:dyDescent="0.3">
      <c r="A2341" t="s">
        <v>77</v>
      </c>
      <c r="B2341" t="s">
        <v>25</v>
      </c>
      <c r="C2341" t="s">
        <v>73</v>
      </c>
      <c r="D2341">
        <v>10858.21</v>
      </c>
      <c r="E2341">
        <v>451</v>
      </c>
      <c r="F2341" s="1">
        <v>45430</v>
      </c>
      <c r="G2341" t="str">
        <f>IF(COUNTIFS(Table1_3[Country],Table1_3[[#This Row],[Country]],Table1_3[Product],Table1_3[[#This Row],[Product]],Table1_3[Sales Person],Table1_3[[#This Row],[Sales Person]],Table1_3[Amount],"&lt;=100")&gt;=2,"Contract","Deal")</f>
        <v>Deal</v>
      </c>
    </row>
    <row r="2342" spans="1:7" x14ac:dyDescent="0.3">
      <c r="A2342" t="s">
        <v>77</v>
      </c>
      <c r="B2342" t="s">
        <v>25</v>
      </c>
      <c r="C2342" t="s">
        <v>59</v>
      </c>
      <c r="D2342">
        <v>10794</v>
      </c>
      <c r="E2342">
        <v>51</v>
      </c>
      <c r="F2342" s="1">
        <v>44795</v>
      </c>
      <c r="G2342" t="str">
        <f>IF(COUNTIFS(Table1_3[Country],Table1_3[[#This Row],[Country]],Table1_3[Product],Table1_3[[#This Row],[Product]],Table1_3[Sales Person],Table1_3[[#This Row],[Sales Person]],Table1_3[Amount],"&lt;=100")&gt;=2,"Contract","Deal")</f>
        <v>Deal</v>
      </c>
    </row>
    <row r="2343" spans="1:7" x14ac:dyDescent="0.3">
      <c r="A2343" t="s">
        <v>77</v>
      </c>
      <c r="B2343" t="s">
        <v>25</v>
      </c>
      <c r="C2343" t="s">
        <v>59</v>
      </c>
      <c r="D2343">
        <v>11510.71</v>
      </c>
      <c r="E2343">
        <v>56</v>
      </c>
      <c r="F2343" s="1">
        <v>45160</v>
      </c>
      <c r="G2343" t="str">
        <f>IF(COUNTIFS(Table1_3[Country],Table1_3[[#This Row],[Country]],Table1_3[Product],Table1_3[[#This Row],[Product]],Table1_3[Sales Person],Table1_3[[#This Row],[Sales Person]],Table1_3[Amount],"&lt;=100")&gt;=2,"Contract","Deal")</f>
        <v>Deal</v>
      </c>
    </row>
    <row r="2344" spans="1:7" x14ac:dyDescent="0.3">
      <c r="A2344" t="s">
        <v>77</v>
      </c>
      <c r="B2344" t="s">
        <v>25</v>
      </c>
      <c r="C2344" t="s">
        <v>59</v>
      </c>
      <c r="D2344">
        <v>11572.5</v>
      </c>
      <c r="E2344">
        <v>51</v>
      </c>
      <c r="F2344" s="1">
        <v>45526</v>
      </c>
      <c r="G2344" t="str">
        <f>IF(COUNTIFS(Table1_3[Country],Table1_3[[#This Row],[Country]],Table1_3[Product],Table1_3[[#This Row],[Product]],Table1_3[Sales Person],Table1_3[[#This Row],[Sales Person]],Table1_3[Amount],"&lt;=100")&gt;=2,"Contract","Deal")</f>
        <v>Deal</v>
      </c>
    </row>
    <row r="2345" spans="1:7" x14ac:dyDescent="0.3">
      <c r="A2345" t="s">
        <v>77</v>
      </c>
      <c r="B2345" t="s">
        <v>7</v>
      </c>
      <c r="C2345" t="s">
        <v>100</v>
      </c>
      <c r="D2345">
        <v>5397</v>
      </c>
      <c r="E2345">
        <v>239</v>
      </c>
      <c r="F2345" s="1">
        <v>44608</v>
      </c>
      <c r="G2345" t="str">
        <f>IF(COUNTIFS(Table1_3[Country],Table1_3[[#This Row],[Country]],Table1_3[Product],Table1_3[[#This Row],[Product]],Table1_3[Sales Person],Table1_3[[#This Row],[Sales Person]],Table1_3[Amount],"&lt;=100")&gt;=2,"Contract","Deal")</f>
        <v>Deal</v>
      </c>
    </row>
    <row r="2346" spans="1:7" x14ac:dyDescent="0.3">
      <c r="A2346" t="s">
        <v>77</v>
      </c>
      <c r="B2346" t="s">
        <v>7</v>
      </c>
      <c r="C2346" t="s">
        <v>100</v>
      </c>
      <c r="D2346">
        <v>5961.02</v>
      </c>
      <c r="E2346">
        <v>241</v>
      </c>
      <c r="F2346" s="1">
        <v>44973</v>
      </c>
      <c r="G2346" t="str">
        <f>IF(COUNTIFS(Table1_3[Country],Table1_3[[#This Row],[Country]],Table1_3[Product],Table1_3[[#This Row],[Product]],Table1_3[Sales Person],Table1_3[[#This Row],[Sales Person]],Table1_3[Amount],"&lt;=100")&gt;=2,"Contract","Deal")</f>
        <v>Deal</v>
      </c>
    </row>
    <row r="2347" spans="1:7" x14ac:dyDescent="0.3">
      <c r="A2347" t="s">
        <v>77</v>
      </c>
      <c r="B2347" t="s">
        <v>7</v>
      </c>
      <c r="C2347" t="s">
        <v>100</v>
      </c>
      <c r="D2347">
        <v>5931.82</v>
      </c>
      <c r="E2347">
        <v>243</v>
      </c>
      <c r="F2347" s="1">
        <v>45338</v>
      </c>
      <c r="G2347" t="str">
        <f>IF(COUNTIFS(Table1_3[Country],Table1_3[[#This Row],[Country]],Table1_3[Product],Table1_3[[#This Row],[Product]],Table1_3[Sales Person],Table1_3[[#This Row],[Sales Person]],Table1_3[Amount],"&lt;=100")&gt;=2,"Contract","Deal")</f>
        <v>Deal</v>
      </c>
    </row>
    <row r="2348" spans="1:7" x14ac:dyDescent="0.3">
      <c r="A2348" t="s">
        <v>77</v>
      </c>
      <c r="B2348" t="s">
        <v>7</v>
      </c>
      <c r="C2348" t="s">
        <v>20</v>
      </c>
      <c r="D2348">
        <v>10479</v>
      </c>
      <c r="E2348">
        <v>45</v>
      </c>
      <c r="F2348" s="1">
        <v>44587</v>
      </c>
      <c r="G2348" t="str">
        <f>IF(COUNTIFS(Table1_3[Country],Table1_3[[#This Row],[Country]],Table1_3[Product],Table1_3[[#This Row],[Product]],Table1_3[Sales Person],Table1_3[[#This Row],[Sales Person]],Table1_3[Amount],"&lt;=100")&gt;=2,"Contract","Deal")</f>
        <v>Deal</v>
      </c>
    </row>
    <row r="2349" spans="1:7" x14ac:dyDescent="0.3">
      <c r="A2349" t="s">
        <v>77</v>
      </c>
      <c r="B2349" t="s">
        <v>7</v>
      </c>
      <c r="C2349" t="s">
        <v>20</v>
      </c>
      <c r="D2349">
        <v>11796.63</v>
      </c>
      <c r="E2349">
        <v>45</v>
      </c>
      <c r="F2349" s="1">
        <v>44952</v>
      </c>
      <c r="G2349" t="str">
        <f>IF(COUNTIFS(Table1_3[Country],Table1_3[[#This Row],[Country]],Table1_3[Product],Table1_3[[#This Row],[Product]],Table1_3[Sales Person],Table1_3[[#This Row],[Sales Person]],Table1_3[Amount],"&lt;=100")&gt;=2,"Contract","Deal")</f>
        <v>Deal</v>
      </c>
    </row>
    <row r="2350" spans="1:7" x14ac:dyDescent="0.3">
      <c r="A2350" t="s">
        <v>77</v>
      </c>
      <c r="B2350" t="s">
        <v>7</v>
      </c>
      <c r="C2350" t="s">
        <v>20</v>
      </c>
      <c r="D2350">
        <v>11496.42</v>
      </c>
      <c r="E2350">
        <v>49</v>
      </c>
      <c r="F2350" s="1">
        <v>45317</v>
      </c>
      <c r="G2350" t="str">
        <f>IF(COUNTIFS(Table1_3[Country],Table1_3[[#This Row],[Country]],Table1_3[Product],Table1_3[[#This Row],[Product]],Table1_3[Sales Person],Table1_3[[#This Row],[Sales Person]],Table1_3[Amount],"&lt;=100")&gt;=2,"Contract","Deal")</f>
        <v>Deal</v>
      </c>
    </row>
    <row r="2351" spans="1:7" x14ac:dyDescent="0.3">
      <c r="A2351" t="s">
        <v>77</v>
      </c>
      <c r="B2351" t="s">
        <v>7</v>
      </c>
      <c r="C2351" t="s">
        <v>90</v>
      </c>
      <c r="D2351">
        <v>161</v>
      </c>
      <c r="E2351">
        <v>145</v>
      </c>
      <c r="F2351" s="1">
        <v>44666</v>
      </c>
      <c r="G2351" t="str">
        <f>IF(COUNTIFS(Table1_3[Country],Table1_3[[#This Row],[Country]],Table1_3[Product],Table1_3[[#This Row],[Product]],Table1_3[Sales Person],Table1_3[[#This Row],[Sales Person]],Table1_3[Amount],"&lt;=100")&gt;=2,"Contract","Deal")</f>
        <v>Deal</v>
      </c>
    </row>
    <row r="2352" spans="1:7" x14ac:dyDescent="0.3">
      <c r="A2352" t="s">
        <v>77</v>
      </c>
      <c r="B2352" t="s">
        <v>7</v>
      </c>
      <c r="C2352" t="s">
        <v>90</v>
      </c>
      <c r="D2352">
        <v>172.51</v>
      </c>
      <c r="E2352">
        <v>152</v>
      </c>
      <c r="F2352" s="1">
        <v>45031</v>
      </c>
      <c r="G2352" t="str">
        <f>IF(COUNTIFS(Table1_3[Country],Table1_3[[#This Row],[Country]],Table1_3[Product],Table1_3[[#This Row],[Product]],Table1_3[Sales Person],Table1_3[[#This Row],[Sales Person]],Table1_3[Amount],"&lt;=100")&gt;=2,"Contract","Deal")</f>
        <v>Deal</v>
      </c>
    </row>
    <row r="2353" spans="1:7" x14ac:dyDescent="0.3">
      <c r="A2353" t="s">
        <v>77</v>
      </c>
      <c r="B2353" t="s">
        <v>7</v>
      </c>
      <c r="C2353" t="s">
        <v>90</v>
      </c>
      <c r="D2353">
        <v>190.24</v>
      </c>
      <c r="E2353">
        <v>156</v>
      </c>
      <c r="F2353" s="1">
        <v>45397</v>
      </c>
      <c r="G2353" t="str">
        <f>IF(COUNTIFS(Table1_3[Country],Table1_3[[#This Row],[Country]],Table1_3[Product],Table1_3[[#This Row],[Product]],Table1_3[Sales Person],Table1_3[[#This Row],[Sales Person]],Table1_3[Amount],"&lt;=100")&gt;=2,"Contract","Deal")</f>
        <v>Deal</v>
      </c>
    </row>
    <row r="2354" spans="1:7" x14ac:dyDescent="0.3">
      <c r="A2354" t="s">
        <v>77</v>
      </c>
      <c r="B2354" t="s">
        <v>7</v>
      </c>
      <c r="C2354" t="s">
        <v>75</v>
      </c>
      <c r="D2354">
        <v>10164</v>
      </c>
      <c r="E2354">
        <v>134</v>
      </c>
      <c r="F2354" s="1">
        <v>44705</v>
      </c>
      <c r="G2354" t="str">
        <f>IF(COUNTIFS(Table1_3[Country],Table1_3[[#This Row],[Country]],Table1_3[Product],Table1_3[[#This Row],[Product]],Table1_3[Sales Person],Table1_3[[#This Row],[Sales Person]],Table1_3[Amount],"&lt;=100")&gt;=2,"Contract","Deal")</f>
        <v>Deal</v>
      </c>
    </row>
    <row r="2355" spans="1:7" x14ac:dyDescent="0.3">
      <c r="A2355" t="s">
        <v>77</v>
      </c>
      <c r="B2355" t="s">
        <v>7</v>
      </c>
      <c r="C2355" t="s">
        <v>75</v>
      </c>
      <c r="D2355">
        <v>10400.66</v>
      </c>
      <c r="E2355">
        <v>144</v>
      </c>
      <c r="F2355" s="1">
        <v>45070</v>
      </c>
      <c r="G2355" t="str">
        <f>IF(COUNTIFS(Table1_3[Country],Table1_3[[#This Row],[Country]],Table1_3[Product],Table1_3[[#This Row],[Product]],Table1_3[Sales Person],Table1_3[[#This Row],[Sales Person]],Table1_3[Amount],"&lt;=100")&gt;=2,"Contract","Deal")</f>
        <v>Deal</v>
      </c>
    </row>
    <row r="2356" spans="1:7" x14ac:dyDescent="0.3">
      <c r="A2356" t="s">
        <v>77</v>
      </c>
      <c r="B2356" t="s">
        <v>7</v>
      </c>
      <c r="C2356" t="s">
        <v>75</v>
      </c>
      <c r="D2356">
        <v>11786.42</v>
      </c>
      <c r="E2356">
        <v>147</v>
      </c>
      <c r="F2356" s="1">
        <v>45436</v>
      </c>
      <c r="G2356" t="str">
        <f>IF(COUNTIFS(Table1_3[Country],Table1_3[[#This Row],[Country]],Table1_3[Product],Table1_3[[#This Row],[Product]],Table1_3[Sales Person],Table1_3[[#This Row],[Sales Person]],Table1_3[Amount],"&lt;=100")&gt;=2,"Contract","Deal")</f>
        <v>Deal</v>
      </c>
    </row>
    <row r="2357" spans="1:7" x14ac:dyDescent="0.3">
      <c r="A2357" t="s">
        <v>77</v>
      </c>
      <c r="B2357" t="s">
        <v>7</v>
      </c>
      <c r="C2357" t="s">
        <v>57</v>
      </c>
      <c r="D2357">
        <v>8512</v>
      </c>
      <c r="E2357">
        <v>189</v>
      </c>
      <c r="F2357" s="1">
        <v>44566</v>
      </c>
      <c r="G2357" t="str">
        <f>IF(COUNTIFS(Table1_3[Country],Table1_3[[#This Row],[Country]],Table1_3[Product],Table1_3[[#This Row],[Product]],Table1_3[Sales Person],Table1_3[[#This Row],[Sales Person]],Table1_3[Amount],"&lt;=100")&gt;=2,"Contract","Deal")</f>
        <v>Deal</v>
      </c>
    </row>
    <row r="2358" spans="1:7" x14ac:dyDescent="0.3">
      <c r="A2358" t="s">
        <v>77</v>
      </c>
      <c r="B2358" t="s">
        <v>7</v>
      </c>
      <c r="C2358" t="s">
        <v>57</v>
      </c>
      <c r="D2358">
        <v>9538.2099999999991</v>
      </c>
      <c r="E2358">
        <v>198</v>
      </c>
      <c r="F2358" s="1">
        <v>44931</v>
      </c>
      <c r="G2358" t="str">
        <f>IF(COUNTIFS(Table1_3[Country],Table1_3[[#This Row],[Country]],Table1_3[Product],Table1_3[[#This Row],[Product]],Table1_3[Sales Person],Table1_3[[#This Row],[Sales Person]],Table1_3[Amount],"&lt;=100")&gt;=2,"Contract","Deal")</f>
        <v>Deal</v>
      </c>
    </row>
    <row r="2359" spans="1:7" x14ac:dyDescent="0.3">
      <c r="A2359" t="s">
        <v>77</v>
      </c>
      <c r="B2359" t="s">
        <v>7</v>
      </c>
      <c r="C2359" t="s">
        <v>57</v>
      </c>
      <c r="D2359">
        <v>9099.26</v>
      </c>
      <c r="E2359">
        <v>199</v>
      </c>
      <c r="F2359" s="1">
        <v>45296</v>
      </c>
      <c r="G2359" t="str">
        <f>IF(COUNTIFS(Table1_3[Country],Table1_3[[#This Row],[Country]],Table1_3[Product],Table1_3[[#This Row],[Product]],Table1_3[Sales Person],Table1_3[[#This Row],[Sales Person]],Table1_3[Amount],"&lt;=100")&gt;=2,"Contract","Deal")</f>
        <v>Deal</v>
      </c>
    </row>
    <row r="2360" spans="1:7" x14ac:dyDescent="0.3">
      <c r="A2360" t="s">
        <v>77</v>
      </c>
      <c r="B2360" t="s">
        <v>7</v>
      </c>
      <c r="C2360" t="s">
        <v>42</v>
      </c>
      <c r="D2360">
        <v>6965</v>
      </c>
      <c r="E2360">
        <v>163</v>
      </c>
      <c r="F2360" s="1">
        <v>44763</v>
      </c>
      <c r="G2360" t="str">
        <f>IF(COUNTIFS(Table1_3[Country],Table1_3[[#This Row],[Country]],Table1_3[Product],Table1_3[[#This Row],[Product]],Table1_3[Sales Person],Table1_3[[#This Row],[Sales Person]],Table1_3[Amount],"&lt;=100")&gt;=2,"Contract","Deal")</f>
        <v>Deal</v>
      </c>
    </row>
    <row r="2361" spans="1:7" x14ac:dyDescent="0.3">
      <c r="A2361" t="s">
        <v>77</v>
      </c>
      <c r="B2361" t="s">
        <v>7</v>
      </c>
      <c r="C2361" t="s">
        <v>42</v>
      </c>
      <c r="D2361">
        <v>7805.9</v>
      </c>
      <c r="E2361">
        <v>179</v>
      </c>
      <c r="F2361" s="1">
        <v>45128</v>
      </c>
      <c r="G2361" t="str">
        <f>IF(COUNTIFS(Table1_3[Country],Table1_3[[#This Row],[Country]],Table1_3[Product],Table1_3[[#This Row],[Product]],Table1_3[Sales Person],Table1_3[[#This Row],[Sales Person]],Table1_3[Amount],"&lt;=100")&gt;=2,"Contract","Deal")</f>
        <v>Deal</v>
      </c>
    </row>
    <row r="2362" spans="1:7" x14ac:dyDescent="0.3">
      <c r="A2362" t="s">
        <v>77</v>
      </c>
      <c r="B2362" t="s">
        <v>7</v>
      </c>
      <c r="C2362" t="s">
        <v>42</v>
      </c>
      <c r="D2362">
        <v>7943.17</v>
      </c>
      <c r="E2362">
        <v>174</v>
      </c>
      <c r="F2362" s="1">
        <v>45494</v>
      </c>
      <c r="G2362" t="str">
        <f>IF(COUNTIFS(Table1_3[Country],Table1_3[[#This Row],[Country]],Table1_3[Product],Table1_3[[#This Row],[Product]],Table1_3[Sales Person],Table1_3[[#This Row],[Sales Person]],Table1_3[Amount],"&lt;=100")&gt;=2,"Contract","Deal")</f>
        <v>Deal</v>
      </c>
    </row>
    <row r="2363" spans="1:7" x14ac:dyDescent="0.3">
      <c r="A2363" t="s">
        <v>77</v>
      </c>
      <c r="B2363" t="s">
        <v>7</v>
      </c>
      <c r="C2363" t="s">
        <v>13</v>
      </c>
      <c r="D2363">
        <v>7756</v>
      </c>
      <c r="E2363">
        <v>85</v>
      </c>
      <c r="F2363" s="1">
        <v>44785</v>
      </c>
      <c r="G2363" t="str">
        <f>IF(COUNTIFS(Table1_3[Country],Table1_3[[#This Row],[Country]],Table1_3[Product],Table1_3[[#This Row],[Product]],Table1_3[Sales Person],Table1_3[[#This Row],[Sales Person]],Table1_3[Amount],"&lt;=100")&gt;=2,"Contract","Deal")</f>
        <v>Deal</v>
      </c>
    </row>
    <row r="2364" spans="1:7" x14ac:dyDescent="0.3">
      <c r="A2364" t="s">
        <v>77</v>
      </c>
      <c r="B2364" t="s">
        <v>7</v>
      </c>
      <c r="C2364" t="s">
        <v>13</v>
      </c>
      <c r="D2364">
        <v>7916.13</v>
      </c>
      <c r="E2364">
        <v>84</v>
      </c>
      <c r="F2364" s="1">
        <v>45150</v>
      </c>
      <c r="G2364" t="str">
        <f>IF(COUNTIFS(Table1_3[Country],Table1_3[[#This Row],[Country]],Table1_3[Product],Table1_3[[#This Row],[Product]],Table1_3[Sales Person],Table1_3[[#This Row],[Sales Person]],Table1_3[Amount],"&lt;=100")&gt;=2,"Contract","Deal")</f>
        <v>Deal</v>
      </c>
    </row>
    <row r="2365" spans="1:7" x14ac:dyDescent="0.3">
      <c r="A2365" t="s">
        <v>77</v>
      </c>
      <c r="B2365" t="s">
        <v>7</v>
      </c>
      <c r="C2365" t="s">
        <v>13</v>
      </c>
      <c r="D2365">
        <v>8698.4699999999993</v>
      </c>
      <c r="E2365">
        <v>89</v>
      </c>
      <c r="F2365" s="1">
        <v>45516</v>
      </c>
      <c r="G2365" t="str">
        <f>IF(COUNTIFS(Table1_3[Country],Table1_3[[#This Row],[Country]],Table1_3[Product],Table1_3[[#This Row],[Product]],Table1_3[Sales Person],Table1_3[[#This Row],[Sales Person]],Table1_3[Amount],"&lt;=100")&gt;=2,"Contract","Deal")</f>
        <v>Deal</v>
      </c>
    </row>
    <row r="2366" spans="1:7" x14ac:dyDescent="0.3">
      <c r="A2366" t="s">
        <v>77</v>
      </c>
      <c r="B2366" t="s">
        <v>7</v>
      </c>
      <c r="C2366" t="s">
        <v>73</v>
      </c>
      <c r="D2366">
        <v>7357</v>
      </c>
      <c r="E2366">
        <v>341</v>
      </c>
      <c r="F2366" s="1">
        <v>44799</v>
      </c>
      <c r="G2366" t="str">
        <f>IF(COUNTIFS(Table1_3[Country],Table1_3[[#This Row],[Country]],Table1_3[Product],Table1_3[[#This Row],[Product]],Table1_3[Sales Person],Table1_3[[#This Row],[Sales Person]],Table1_3[Amount],"&lt;=100")&gt;=2,"Contract","Deal")</f>
        <v>Deal</v>
      </c>
    </row>
    <row r="2367" spans="1:7" x14ac:dyDescent="0.3">
      <c r="A2367" t="s">
        <v>77</v>
      </c>
      <c r="B2367" t="s">
        <v>7</v>
      </c>
      <c r="C2367" t="s">
        <v>73</v>
      </c>
      <c r="D2367">
        <v>7361.93</v>
      </c>
      <c r="E2367">
        <v>344</v>
      </c>
      <c r="F2367" s="1">
        <v>45164</v>
      </c>
      <c r="G2367" t="str">
        <f>IF(COUNTIFS(Table1_3[Country],Table1_3[[#This Row],[Country]],Table1_3[Product],Table1_3[[#This Row],[Product]],Table1_3[Sales Person],Table1_3[[#This Row],[Sales Person]],Table1_3[Amount],"&lt;=100")&gt;=2,"Contract","Deal")</f>
        <v>Deal</v>
      </c>
    </row>
    <row r="2368" spans="1:7" x14ac:dyDescent="0.3">
      <c r="A2368" t="s">
        <v>77</v>
      </c>
      <c r="B2368" t="s">
        <v>7</v>
      </c>
      <c r="C2368" t="s">
        <v>73</v>
      </c>
      <c r="D2368">
        <v>8442.19</v>
      </c>
      <c r="E2368">
        <v>347</v>
      </c>
      <c r="F2368" s="1">
        <v>45530</v>
      </c>
      <c r="G2368" t="str">
        <f>IF(COUNTIFS(Table1_3[Country],Table1_3[[#This Row],[Country]],Table1_3[Product],Table1_3[[#This Row],[Product]],Table1_3[Sales Person],Table1_3[[#This Row],[Sales Person]],Table1_3[Amount],"&lt;=100")&gt;=2,"Contract","Deal")</f>
        <v>Deal</v>
      </c>
    </row>
    <row r="2369" spans="1:7" x14ac:dyDescent="0.3">
      <c r="A2369" t="s">
        <v>77</v>
      </c>
      <c r="B2369" t="s">
        <v>7</v>
      </c>
      <c r="C2369" t="s">
        <v>18</v>
      </c>
      <c r="D2369">
        <v>14539</v>
      </c>
      <c r="E2369">
        <v>84</v>
      </c>
      <c r="F2369" s="1">
        <v>44624</v>
      </c>
      <c r="G2369" t="str">
        <f>IF(COUNTIFS(Table1_3[Country],Table1_3[[#This Row],[Country]],Table1_3[Product],Table1_3[[#This Row],[Product]],Table1_3[Sales Person],Table1_3[[#This Row],[Sales Person]],Table1_3[Amount],"&lt;=100")&gt;=2,"Contract","Deal")</f>
        <v>Deal</v>
      </c>
    </row>
    <row r="2370" spans="1:7" x14ac:dyDescent="0.3">
      <c r="A2370" t="s">
        <v>77</v>
      </c>
      <c r="B2370" t="s">
        <v>7</v>
      </c>
      <c r="C2370" t="s">
        <v>18</v>
      </c>
      <c r="D2370">
        <v>14769.97</v>
      </c>
      <c r="E2370">
        <v>87</v>
      </c>
      <c r="F2370" s="1">
        <v>44989</v>
      </c>
      <c r="G2370" t="str">
        <f>IF(COUNTIFS(Table1_3[Country],Table1_3[[#This Row],[Country]],Table1_3[Product],Table1_3[[#This Row],[Product]],Table1_3[Sales Person],Table1_3[[#This Row],[Sales Person]],Table1_3[Amount],"&lt;=100")&gt;=2,"Contract","Deal")</f>
        <v>Deal</v>
      </c>
    </row>
    <row r="2371" spans="1:7" x14ac:dyDescent="0.3">
      <c r="A2371" t="s">
        <v>77</v>
      </c>
      <c r="B2371" t="s">
        <v>7</v>
      </c>
      <c r="C2371" t="s">
        <v>18</v>
      </c>
      <c r="D2371">
        <v>16733.759999999998</v>
      </c>
      <c r="E2371">
        <v>88</v>
      </c>
      <c r="F2371" s="1">
        <v>45355</v>
      </c>
      <c r="G2371" t="str">
        <f>IF(COUNTIFS(Table1_3[Country],Table1_3[[#This Row],[Country]],Table1_3[Product],Table1_3[[#This Row],[Product]],Table1_3[Sales Person],Table1_3[[#This Row],[Sales Person]],Table1_3[Amount],"&lt;=100")&gt;=2,"Contract","Deal")</f>
        <v>Deal</v>
      </c>
    </row>
    <row r="2372" spans="1:7" x14ac:dyDescent="0.3">
      <c r="A2372" t="s">
        <v>77</v>
      </c>
      <c r="B2372" t="s">
        <v>32</v>
      </c>
      <c r="C2372" t="s">
        <v>23</v>
      </c>
      <c r="D2372">
        <v>4571</v>
      </c>
      <c r="E2372">
        <v>430</v>
      </c>
      <c r="F2372" s="1">
        <v>44635</v>
      </c>
      <c r="G2372" t="str">
        <f>IF(COUNTIFS(Table1_3[Country],Table1_3[[#This Row],[Country]],Table1_3[Product],Table1_3[[#This Row],[Product]],Table1_3[Sales Person],Table1_3[[#This Row],[Sales Person]],Table1_3[Amount],"&lt;=100")&gt;=2,"Contract","Deal")</f>
        <v>Deal</v>
      </c>
    </row>
    <row r="2373" spans="1:7" x14ac:dyDescent="0.3">
      <c r="A2373" t="s">
        <v>77</v>
      </c>
      <c r="B2373" t="s">
        <v>32</v>
      </c>
      <c r="C2373" t="s">
        <v>23</v>
      </c>
      <c r="D2373">
        <v>4676.32</v>
      </c>
      <c r="E2373">
        <v>440</v>
      </c>
      <c r="F2373" s="1">
        <v>45000</v>
      </c>
      <c r="G2373" t="str">
        <f>IF(COUNTIFS(Table1_3[Country],Table1_3[[#This Row],[Country]],Table1_3[Product],Table1_3[[#This Row],[Product]],Table1_3[Sales Person],Table1_3[[#This Row],[Sales Person]],Table1_3[Amount],"&lt;=100")&gt;=2,"Contract","Deal")</f>
        <v>Deal</v>
      </c>
    </row>
    <row r="2374" spans="1:7" x14ac:dyDescent="0.3">
      <c r="A2374" t="s">
        <v>77</v>
      </c>
      <c r="B2374" t="s">
        <v>32</v>
      </c>
      <c r="C2374" t="s">
        <v>23</v>
      </c>
      <c r="D2374">
        <v>5432.84</v>
      </c>
      <c r="E2374">
        <v>450</v>
      </c>
      <c r="F2374" s="1">
        <v>45366</v>
      </c>
      <c r="G2374" t="str">
        <f>IF(COUNTIFS(Table1_3[Country],Table1_3[[#This Row],[Country]],Table1_3[Product],Table1_3[[#This Row],[Product]],Table1_3[Sales Person],Table1_3[[#This Row],[Sales Person]],Table1_3[Amount],"&lt;=100")&gt;=2,"Contract","Deal")</f>
        <v>Deal</v>
      </c>
    </row>
    <row r="2375" spans="1:7" x14ac:dyDescent="0.3">
      <c r="A2375" t="s">
        <v>77</v>
      </c>
      <c r="B2375" t="s">
        <v>32</v>
      </c>
      <c r="C2375" t="s">
        <v>65</v>
      </c>
      <c r="D2375">
        <v>10143</v>
      </c>
      <c r="E2375">
        <v>24</v>
      </c>
      <c r="F2375" s="1">
        <v>44712</v>
      </c>
      <c r="G2375" t="str">
        <f>IF(COUNTIFS(Table1_3[Country],Table1_3[[#This Row],[Country]],Table1_3[Product],Table1_3[[#This Row],[Product]],Table1_3[Sales Person],Table1_3[[#This Row],[Sales Person]],Table1_3[Amount],"&lt;=100")&gt;=2,"Contract","Deal")</f>
        <v>Deal</v>
      </c>
    </row>
    <row r="2376" spans="1:7" x14ac:dyDescent="0.3">
      <c r="A2376" t="s">
        <v>77</v>
      </c>
      <c r="B2376" t="s">
        <v>32</v>
      </c>
      <c r="C2376" t="s">
        <v>65</v>
      </c>
      <c r="D2376">
        <v>11103.47</v>
      </c>
      <c r="E2376">
        <v>24</v>
      </c>
      <c r="F2376" s="1">
        <v>45077</v>
      </c>
      <c r="G2376" t="str">
        <f>IF(COUNTIFS(Table1_3[Country],Table1_3[[#This Row],[Country]],Table1_3[Product],Table1_3[[#This Row],[Product]],Table1_3[Sales Person],Table1_3[[#This Row],[Sales Person]],Table1_3[Amount],"&lt;=100")&gt;=2,"Contract","Deal")</f>
        <v>Deal</v>
      </c>
    </row>
    <row r="2377" spans="1:7" x14ac:dyDescent="0.3">
      <c r="A2377" t="s">
        <v>77</v>
      </c>
      <c r="B2377" t="s">
        <v>32</v>
      </c>
      <c r="C2377" t="s">
        <v>65</v>
      </c>
      <c r="D2377">
        <v>11863.69</v>
      </c>
      <c r="E2377">
        <v>24</v>
      </c>
      <c r="F2377" s="1">
        <v>45443</v>
      </c>
      <c r="G2377" t="str">
        <f>IF(COUNTIFS(Table1_3[Country],Table1_3[[#This Row],[Country]],Table1_3[Product],Table1_3[[#This Row],[Product]],Table1_3[Sales Person],Table1_3[[#This Row],[Sales Person]],Table1_3[Amount],"&lt;=100")&gt;=2,"Contract","Deal")</f>
        <v>Deal</v>
      </c>
    </row>
    <row r="2378" spans="1:7" x14ac:dyDescent="0.3">
      <c r="A2378" t="s">
        <v>77</v>
      </c>
      <c r="B2378" t="s">
        <v>32</v>
      </c>
      <c r="C2378" t="s">
        <v>87</v>
      </c>
      <c r="D2378">
        <v>5621</v>
      </c>
      <c r="E2378">
        <v>140</v>
      </c>
      <c r="F2378" s="1">
        <v>44795</v>
      </c>
      <c r="G2378" t="str">
        <f>IF(COUNTIFS(Table1_3[Country],Table1_3[[#This Row],[Country]],Table1_3[Product],Table1_3[[#This Row],[Product]],Table1_3[Sales Person],Table1_3[[#This Row],[Sales Person]],Table1_3[Amount],"&lt;=100")&gt;=2,"Contract","Deal")</f>
        <v>Deal</v>
      </c>
    </row>
    <row r="2379" spans="1:7" x14ac:dyDescent="0.3">
      <c r="A2379" t="s">
        <v>77</v>
      </c>
      <c r="B2379" t="s">
        <v>32</v>
      </c>
      <c r="C2379" t="s">
        <v>87</v>
      </c>
      <c r="D2379">
        <v>6067.19</v>
      </c>
      <c r="E2379">
        <v>151</v>
      </c>
      <c r="F2379" s="1">
        <v>45160</v>
      </c>
      <c r="G2379" t="str">
        <f>IF(COUNTIFS(Table1_3[Country],Table1_3[[#This Row],[Country]],Table1_3[Product],Table1_3[[#This Row],[Product]],Table1_3[Sales Person],Table1_3[[#This Row],[Sales Person]],Table1_3[Amount],"&lt;=100")&gt;=2,"Contract","Deal")</f>
        <v>Deal</v>
      </c>
    </row>
    <row r="2380" spans="1:7" x14ac:dyDescent="0.3">
      <c r="A2380" t="s">
        <v>77</v>
      </c>
      <c r="B2380" t="s">
        <v>32</v>
      </c>
      <c r="C2380" t="s">
        <v>87</v>
      </c>
      <c r="D2380">
        <v>6541.75</v>
      </c>
      <c r="E2380">
        <v>141</v>
      </c>
      <c r="F2380" s="1">
        <v>45526</v>
      </c>
      <c r="G2380" t="str">
        <f>IF(COUNTIFS(Table1_3[Country],Table1_3[[#This Row],[Country]],Table1_3[Product],Table1_3[[#This Row],[Product]],Table1_3[Sales Person],Table1_3[[#This Row],[Sales Person]],Table1_3[Amount],"&lt;=100")&gt;=2,"Contract","Deal")</f>
        <v>Deal</v>
      </c>
    </row>
    <row r="2381" spans="1:7" x14ac:dyDescent="0.3">
      <c r="A2381" t="s">
        <v>77</v>
      </c>
      <c r="B2381" t="s">
        <v>32</v>
      </c>
      <c r="C2381" t="s">
        <v>75</v>
      </c>
      <c r="D2381">
        <v>5446</v>
      </c>
      <c r="E2381">
        <v>132</v>
      </c>
      <c r="F2381" s="1">
        <v>44719</v>
      </c>
      <c r="G2381" t="str">
        <f>IF(COUNTIFS(Table1_3[Country],Table1_3[[#This Row],[Country]],Table1_3[Product],Table1_3[[#This Row],[Product]],Table1_3[Sales Person],Table1_3[[#This Row],[Sales Person]],Table1_3[Amount],"&lt;=100")&gt;=2,"Contract","Deal")</f>
        <v>Deal</v>
      </c>
    </row>
    <row r="2382" spans="1:7" x14ac:dyDescent="0.3">
      <c r="A2382" t="s">
        <v>77</v>
      </c>
      <c r="B2382" t="s">
        <v>32</v>
      </c>
      <c r="C2382" t="s">
        <v>75</v>
      </c>
      <c r="D2382">
        <v>6016.32</v>
      </c>
      <c r="E2382">
        <v>143</v>
      </c>
      <c r="F2382" s="1">
        <v>45084</v>
      </c>
      <c r="G2382" t="str">
        <f>IF(COUNTIFS(Table1_3[Country],Table1_3[[#This Row],[Country]],Table1_3[Product],Table1_3[[#This Row],[Product]],Table1_3[Sales Person],Table1_3[[#This Row],[Sales Person]],Table1_3[Amount],"&lt;=100")&gt;=2,"Contract","Deal")</f>
        <v>Deal</v>
      </c>
    </row>
    <row r="2383" spans="1:7" x14ac:dyDescent="0.3">
      <c r="A2383" t="s">
        <v>77</v>
      </c>
      <c r="B2383" t="s">
        <v>32</v>
      </c>
      <c r="C2383" t="s">
        <v>75</v>
      </c>
      <c r="D2383">
        <v>6025.6</v>
      </c>
      <c r="E2383">
        <v>137</v>
      </c>
      <c r="F2383" s="1">
        <v>45450</v>
      </c>
      <c r="G2383" t="str">
        <f>IF(COUNTIFS(Table1_3[Country],Table1_3[[#This Row],[Country]],Table1_3[Product],Table1_3[[#This Row],[Product]],Table1_3[Sales Person],Table1_3[[#This Row],[Sales Person]],Table1_3[Amount],"&lt;=100")&gt;=2,"Contract","Deal")</f>
        <v>Deal</v>
      </c>
    </row>
    <row r="2384" spans="1:7" x14ac:dyDescent="0.3">
      <c r="A2384" t="s">
        <v>77</v>
      </c>
      <c r="B2384" t="s">
        <v>32</v>
      </c>
      <c r="C2384" t="s">
        <v>36</v>
      </c>
      <c r="D2384">
        <v>8883</v>
      </c>
      <c r="E2384">
        <v>200</v>
      </c>
      <c r="F2384" s="1">
        <v>44638</v>
      </c>
      <c r="G2384" t="str">
        <f>IF(COUNTIFS(Table1_3[Country],Table1_3[[#This Row],[Country]],Table1_3[Product],Table1_3[[#This Row],[Product]],Table1_3[Sales Person],Table1_3[[#This Row],[Sales Person]],Table1_3[Amount],"&lt;=100")&gt;=2,"Contract","Deal")</f>
        <v>Deal</v>
      </c>
    </row>
    <row r="2385" spans="1:7" x14ac:dyDescent="0.3">
      <c r="A2385" t="s">
        <v>77</v>
      </c>
      <c r="B2385" t="s">
        <v>32</v>
      </c>
      <c r="C2385" t="s">
        <v>36</v>
      </c>
      <c r="D2385">
        <v>9108.33</v>
      </c>
      <c r="E2385">
        <v>213</v>
      </c>
      <c r="F2385" s="1">
        <v>45003</v>
      </c>
      <c r="G2385" t="str">
        <f>IF(COUNTIFS(Table1_3[Country],Table1_3[[#This Row],[Country]],Table1_3[Product],Table1_3[[#This Row],[Product]],Table1_3[Sales Person],Table1_3[[#This Row],[Sales Person]],Table1_3[Amount],"&lt;=100")&gt;=2,"Contract","Deal")</f>
        <v>Deal</v>
      </c>
    </row>
    <row r="2386" spans="1:7" x14ac:dyDescent="0.3">
      <c r="A2386" t="s">
        <v>77</v>
      </c>
      <c r="B2386" t="s">
        <v>32</v>
      </c>
      <c r="C2386" t="s">
        <v>36</v>
      </c>
      <c r="D2386">
        <v>9446.67</v>
      </c>
      <c r="E2386">
        <v>193</v>
      </c>
      <c r="F2386" s="1">
        <v>45369</v>
      </c>
      <c r="G2386" t="str">
        <f>IF(COUNTIFS(Table1_3[Country],Table1_3[[#This Row],[Country]],Table1_3[Product],Table1_3[[#This Row],[Product]],Table1_3[Sales Person],Table1_3[[#This Row],[Sales Person]],Table1_3[Amount],"&lt;=100")&gt;=2,"Contract","Deal")</f>
        <v>Deal</v>
      </c>
    </row>
    <row r="2387" spans="1:7" x14ac:dyDescent="0.3">
      <c r="A2387" t="s">
        <v>77</v>
      </c>
      <c r="B2387" t="s">
        <v>32</v>
      </c>
      <c r="C2387" t="s">
        <v>33</v>
      </c>
      <c r="D2387">
        <v>7742</v>
      </c>
      <c r="E2387">
        <v>138</v>
      </c>
      <c r="F2387" s="1">
        <v>44697</v>
      </c>
      <c r="G2387" t="str">
        <f>IF(COUNTIFS(Table1_3[Country],Table1_3[[#This Row],[Country]],Table1_3[Product],Table1_3[[#This Row],[Product]],Table1_3[Sales Person],Table1_3[[#This Row],[Sales Person]],Table1_3[Amount],"&lt;=100")&gt;=2,"Contract","Deal")</f>
        <v>Deal</v>
      </c>
    </row>
    <row r="2388" spans="1:7" x14ac:dyDescent="0.3">
      <c r="A2388" t="s">
        <v>77</v>
      </c>
      <c r="B2388" t="s">
        <v>32</v>
      </c>
      <c r="C2388" t="s">
        <v>33</v>
      </c>
      <c r="D2388">
        <v>8258.3700000000008</v>
      </c>
      <c r="E2388">
        <v>132</v>
      </c>
      <c r="F2388" s="1">
        <v>45062</v>
      </c>
      <c r="G2388" t="str">
        <f>IF(COUNTIFS(Table1_3[Country],Table1_3[[#This Row],[Country]],Table1_3[Product],Table1_3[[#This Row],[Product]],Table1_3[Sales Person],Table1_3[[#This Row],[Sales Person]],Table1_3[Amount],"&lt;=100")&gt;=2,"Contract","Deal")</f>
        <v>Deal</v>
      </c>
    </row>
    <row r="2389" spans="1:7" x14ac:dyDescent="0.3">
      <c r="A2389" t="s">
        <v>77</v>
      </c>
      <c r="B2389" t="s">
        <v>32</v>
      </c>
      <c r="C2389" t="s">
        <v>33</v>
      </c>
      <c r="D2389">
        <v>9205.15</v>
      </c>
      <c r="E2389">
        <v>144</v>
      </c>
      <c r="F2389" s="1">
        <v>45428</v>
      </c>
      <c r="G2389" t="str">
        <f>IF(COUNTIFS(Table1_3[Country],Table1_3[[#This Row],[Country]],Table1_3[Product],Table1_3[[#This Row],[Product]],Table1_3[Sales Person],Table1_3[[#This Row],[Sales Person]],Table1_3[Amount],"&lt;=100")&gt;=2,"Contract","Deal")</f>
        <v>Deal</v>
      </c>
    </row>
    <row r="2390" spans="1:7" x14ac:dyDescent="0.3">
      <c r="A2390" t="s">
        <v>77</v>
      </c>
      <c r="B2390" t="s">
        <v>32</v>
      </c>
      <c r="C2390" t="s">
        <v>59</v>
      </c>
      <c r="D2390">
        <v>12250</v>
      </c>
      <c r="E2390">
        <v>213</v>
      </c>
      <c r="F2390" s="1">
        <v>44685</v>
      </c>
      <c r="G2390" t="str">
        <f>IF(COUNTIFS(Table1_3[Country],Table1_3[[#This Row],[Country]],Table1_3[Product],Table1_3[[#This Row],[Product]],Table1_3[Sales Person],Table1_3[[#This Row],[Sales Person]],Table1_3[Amount],"&lt;=100")&gt;=2,"Contract","Deal")</f>
        <v>Deal</v>
      </c>
    </row>
    <row r="2391" spans="1:7" x14ac:dyDescent="0.3">
      <c r="A2391" t="s">
        <v>77</v>
      </c>
      <c r="B2391" t="s">
        <v>32</v>
      </c>
      <c r="C2391" t="s">
        <v>59</v>
      </c>
      <c r="D2391">
        <v>12571.07</v>
      </c>
      <c r="E2391">
        <v>226</v>
      </c>
      <c r="F2391" s="1">
        <v>45050</v>
      </c>
      <c r="G2391" t="str">
        <f>IF(COUNTIFS(Table1_3[Country],Table1_3[[#This Row],[Country]],Table1_3[Product],Table1_3[[#This Row],[Product]],Table1_3[Sales Person],Table1_3[[#This Row],[Sales Person]],Table1_3[Amount],"&lt;=100")&gt;=2,"Contract","Deal")</f>
        <v>Deal</v>
      </c>
    </row>
    <row r="2392" spans="1:7" x14ac:dyDescent="0.3">
      <c r="A2392" t="s">
        <v>77</v>
      </c>
      <c r="B2392" t="s">
        <v>32</v>
      </c>
      <c r="C2392" t="s">
        <v>59</v>
      </c>
      <c r="D2392">
        <v>14360.42</v>
      </c>
      <c r="E2392">
        <v>218</v>
      </c>
      <c r="F2392" s="1">
        <v>45416</v>
      </c>
      <c r="G2392" t="str">
        <f>IF(COUNTIFS(Table1_3[Country],Table1_3[[#This Row],[Country]],Table1_3[Product],Table1_3[[#This Row],[Product]],Table1_3[Sales Person],Table1_3[[#This Row],[Sales Person]],Table1_3[Amount],"&lt;=100")&gt;=2,"Contract","Deal")</f>
        <v>Deal</v>
      </c>
    </row>
    <row r="2393" spans="1:7" x14ac:dyDescent="0.3">
      <c r="A2393" t="s">
        <v>34</v>
      </c>
      <c r="B2393" t="s">
        <v>15</v>
      </c>
      <c r="C2393" t="s">
        <v>11</v>
      </c>
      <c r="D2393">
        <v>2541</v>
      </c>
      <c r="E2393">
        <v>53</v>
      </c>
      <c r="F2393" s="1">
        <v>44799</v>
      </c>
      <c r="G2393" t="str">
        <f>IF(COUNTIFS(Table1_3[Country],Table1_3[[#This Row],[Country]],Table1_3[Product],Table1_3[[#This Row],[Product]],Table1_3[Sales Person],Table1_3[[#This Row],[Sales Person]],Table1_3[Amount],"&lt;=100")&gt;=2,"Contract","Deal")</f>
        <v>Deal</v>
      </c>
    </row>
    <row r="2394" spans="1:7" x14ac:dyDescent="0.3">
      <c r="A2394" t="s">
        <v>34</v>
      </c>
      <c r="B2394" t="s">
        <v>15</v>
      </c>
      <c r="C2394" t="s">
        <v>11</v>
      </c>
      <c r="D2394">
        <v>2714.76</v>
      </c>
      <c r="E2394">
        <v>52</v>
      </c>
      <c r="F2394" s="1">
        <v>45164</v>
      </c>
      <c r="G2394" t="str">
        <f>IF(COUNTIFS(Table1_3[Country],Table1_3[[#This Row],[Country]],Table1_3[Product],Table1_3[[#This Row],[Product]],Table1_3[Sales Person],Table1_3[[#This Row],[Sales Person]],Table1_3[Amount],"&lt;=100")&gt;=2,"Contract","Deal")</f>
        <v>Deal</v>
      </c>
    </row>
    <row r="2395" spans="1:7" x14ac:dyDescent="0.3">
      <c r="A2395" t="s">
        <v>34</v>
      </c>
      <c r="B2395" t="s">
        <v>15</v>
      </c>
      <c r="C2395" t="s">
        <v>11</v>
      </c>
      <c r="D2395">
        <v>2665.28</v>
      </c>
      <c r="E2395">
        <v>54</v>
      </c>
      <c r="F2395" s="1">
        <v>45530</v>
      </c>
      <c r="G2395" t="str">
        <f>IF(COUNTIFS(Table1_3[Country],Table1_3[[#This Row],[Country]],Table1_3[Product],Table1_3[[#This Row],[Product]],Table1_3[Sales Person],Table1_3[[#This Row],[Sales Person]],Table1_3[Amount],"&lt;=100")&gt;=2,"Contract","Deal")</f>
        <v>Deal</v>
      </c>
    </row>
    <row r="2396" spans="1:7" x14ac:dyDescent="0.3">
      <c r="A2396" t="s">
        <v>34</v>
      </c>
      <c r="B2396" t="s">
        <v>15</v>
      </c>
      <c r="C2396" t="s">
        <v>65</v>
      </c>
      <c r="D2396">
        <v>7882</v>
      </c>
      <c r="E2396">
        <v>125</v>
      </c>
      <c r="F2396" s="1">
        <v>44774</v>
      </c>
      <c r="G2396" t="str">
        <f>IF(COUNTIFS(Table1_3[Country],Table1_3[[#This Row],[Country]],Table1_3[Product],Table1_3[[#This Row],[Product]],Table1_3[Sales Person],Table1_3[[#This Row],[Sales Person]],Table1_3[Amount],"&lt;=100")&gt;=2,"Contract","Deal")</f>
        <v>Deal</v>
      </c>
    </row>
    <row r="2397" spans="1:7" x14ac:dyDescent="0.3">
      <c r="A2397" t="s">
        <v>34</v>
      </c>
      <c r="B2397" t="s">
        <v>15</v>
      </c>
      <c r="C2397" t="s">
        <v>65</v>
      </c>
      <c r="D2397">
        <v>8522.7999999999993</v>
      </c>
      <c r="E2397">
        <v>137</v>
      </c>
      <c r="F2397" s="1">
        <v>45139</v>
      </c>
      <c r="G2397" t="str">
        <f>IF(COUNTIFS(Table1_3[Country],Table1_3[[#This Row],[Country]],Table1_3[Product],Table1_3[[#This Row],[Product]],Table1_3[Sales Person],Table1_3[[#This Row],[Sales Person]],Table1_3[Amount],"&lt;=100")&gt;=2,"Contract","Deal")</f>
        <v>Deal</v>
      </c>
    </row>
    <row r="2398" spans="1:7" x14ac:dyDescent="0.3">
      <c r="A2398" t="s">
        <v>34</v>
      </c>
      <c r="B2398" t="s">
        <v>15</v>
      </c>
      <c r="C2398" t="s">
        <v>65</v>
      </c>
      <c r="D2398">
        <v>8273.83</v>
      </c>
      <c r="E2398">
        <v>130</v>
      </c>
      <c r="F2398" s="1">
        <v>45505</v>
      </c>
      <c r="G2398" t="str">
        <f>IF(COUNTIFS(Table1_3[Country],Table1_3[[#This Row],[Country]],Table1_3[Product],Table1_3[[#This Row],[Product]],Table1_3[Sales Person],Table1_3[[#This Row],[Sales Person]],Table1_3[Amount],"&lt;=100")&gt;=2,"Contract","Deal")</f>
        <v>Deal</v>
      </c>
    </row>
    <row r="2399" spans="1:7" x14ac:dyDescent="0.3">
      <c r="A2399" t="s">
        <v>34</v>
      </c>
      <c r="B2399" t="s">
        <v>15</v>
      </c>
      <c r="C2399" t="s">
        <v>75</v>
      </c>
      <c r="D2399">
        <v>15750</v>
      </c>
      <c r="E2399">
        <v>92</v>
      </c>
      <c r="F2399" s="1">
        <v>44638</v>
      </c>
      <c r="G2399" t="str">
        <f>IF(COUNTIFS(Table1_3[Country],Table1_3[[#This Row],[Country]],Table1_3[Product],Table1_3[[#This Row],[Product]],Table1_3[Sales Person],Table1_3[[#This Row],[Sales Person]],Table1_3[Amount],"&lt;=100")&gt;=2,"Contract","Deal")</f>
        <v>Deal</v>
      </c>
    </row>
    <row r="2400" spans="1:7" x14ac:dyDescent="0.3">
      <c r="A2400" t="s">
        <v>34</v>
      </c>
      <c r="B2400" t="s">
        <v>15</v>
      </c>
      <c r="C2400" t="s">
        <v>75</v>
      </c>
      <c r="D2400">
        <v>16230.41</v>
      </c>
      <c r="E2400">
        <v>94</v>
      </c>
      <c r="F2400" s="1">
        <v>45003</v>
      </c>
      <c r="G2400" t="str">
        <f>IF(COUNTIFS(Table1_3[Country],Table1_3[[#This Row],[Country]],Table1_3[Product],Table1_3[[#This Row],[Product]],Table1_3[Sales Person],Table1_3[[#This Row],[Sales Person]],Table1_3[Amount],"&lt;=100")&gt;=2,"Contract","Deal")</f>
        <v>Deal</v>
      </c>
    </row>
    <row r="2401" spans="1:7" x14ac:dyDescent="0.3">
      <c r="A2401" t="s">
        <v>34</v>
      </c>
      <c r="B2401" t="s">
        <v>15</v>
      </c>
      <c r="C2401" t="s">
        <v>75</v>
      </c>
      <c r="D2401">
        <v>18473.63</v>
      </c>
      <c r="E2401">
        <v>88</v>
      </c>
      <c r="F2401" s="1">
        <v>45369</v>
      </c>
      <c r="G2401" t="str">
        <f>IF(COUNTIFS(Table1_3[Country],Table1_3[[#This Row],[Country]],Table1_3[Product],Table1_3[[#This Row],[Product]],Table1_3[Sales Person],Table1_3[[#This Row],[Sales Person]],Table1_3[Amount],"&lt;=100")&gt;=2,"Contract","Deal")</f>
        <v>Deal</v>
      </c>
    </row>
    <row r="2402" spans="1:7" x14ac:dyDescent="0.3">
      <c r="A2402" t="s">
        <v>34</v>
      </c>
      <c r="B2402" t="s">
        <v>15</v>
      </c>
      <c r="C2402" t="s">
        <v>36</v>
      </c>
      <c r="D2402">
        <v>9527</v>
      </c>
      <c r="E2402">
        <v>222</v>
      </c>
      <c r="F2402" s="1">
        <v>44795</v>
      </c>
      <c r="G2402" t="str">
        <f>IF(COUNTIFS(Table1_3[Country],Table1_3[[#This Row],[Country]],Table1_3[Product],Table1_3[[#This Row],[Product]],Table1_3[Sales Person],Table1_3[[#This Row],[Sales Person]],Table1_3[Amount],"&lt;=100")&gt;=2,"Contract","Deal")</f>
        <v>Deal</v>
      </c>
    </row>
    <row r="2403" spans="1:7" x14ac:dyDescent="0.3">
      <c r="A2403" t="s">
        <v>34</v>
      </c>
      <c r="B2403" t="s">
        <v>15</v>
      </c>
      <c r="C2403" t="s">
        <v>36</v>
      </c>
      <c r="D2403">
        <v>10856.55</v>
      </c>
      <c r="E2403">
        <v>229</v>
      </c>
      <c r="F2403" s="1">
        <v>45160</v>
      </c>
      <c r="G2403" t="str">
        <f>IF(COUNTIFS(Table1_3[Country],Table1_3[[#This Row],[Country]],Table1_3[Product],Table1_3[[#This Row],[Product]],Table1_3[Sales Person],Table1_3[[#This Row],[Sales Person]],Table1_3[Amount],"&lt;=100")&gt;=2,"Contract","Deal")</f>
        <v>Deal</v>
      </c>
    </row>
    <row r="2404" spans="1:7" x14ac:dyDescent="0.3">
      <c r="A2404" t="s">
        <v>34</v>
      </c>
      <c r="B2404" t="s">
        <v>15</v>
      </c>
      <c r="C2404" t="s">
        <v>36</v>
      </c>
      <c r="D2404">
        <v>11293.17</v>
      </c>
      <c r="E2404">
        <v>219</v>
      </c>
      <c r="F2404" s="1">
        <v>45526</v>
      </c>
      <c r="G2404" t="str">
        <f>IF(COUNTIFS(Table1_3[Country],Table1_3[[#This Row],[Country]],Table1_3[Product],Table1_3[[#This Row],[Product]],Table1_3[Sales Person],Table1_3[[#This Row],[Sales Person]],Table1_3[Amount],"&lt;=100")&gt;=2,"Contract","Deal")</f>
        <v>Deal</v>
      </c>
    </row>
    <row r="2405" spans="1:7" x14ac:dyDescent="0.3">
      <c r="A2405" t="s">
        <v>34</v>
      </c>
      <c r="B2405" t="s">
        <v>15</v>
      </c>
      <c r="C2405" t="s">
        <v>46</v>
      </c>
      <c r="D2405">
        <v>2779</v>
      </c>
      <c r="E2405">
        <v>104</v>
      </c>
      <c r="F2405" s="1">
        <v>44771</v>
      </c>
      <c r="G2405" t="str">
        <f>IF(COUNTIFS(Table1_3[Country],Table1_3[[#This Row],[Country]],Table1_3[Product],Table1_3[[#This Row],[Product]],Table1_3[Sales Person],Table1_3[[#This Row],[Sales Person]],Table1_3[Amount],"&lt;=100")&gt;=2,"Contract","Deal")</f>
        <v>Deal</v>
      </c>
    </row>
    <row r="2406" spans="1:7" x14ac:dyDescent="0.3">
      <c r="A2406" t="s">
        <v>34</v>
      </c>
      <c r="B2406" t="s">
        <v>15</v>
      </c>
      <c r="C2406" t="s">
        <v>46</v>
      </c>
      <c r="D2406">
        <v>2829.57</v>
      </c>
      <c r="E2406">
        <v>106</v>
      </c>
      <c r="F2406" s="1">
        <v>45136</v>
      </c>
      <c r="G2406" t="str">
        <f>IF(COUNTIFS(Table1_3[Country],Table1_3[[#This Row],[Country]],Table1_3[Product],Table1_3[[#This Row],[Product]],Table1_3[Sales Person],Table1_3[[#This Row],[Sales Person]],Table1_3[Amount],"&lt;=100")&gt;=2,"Contract","Deal")</f>
        <v>Deal</v>
      </c>
    </row>
    <row r="2407" spans="1:7" x14ac:dyDescent="0.3">
      <c r="A2407" t="s">
        <v>34</v>
      </c>
      <c r="B2407" t="s">
        <v>15</v>
      </c>
      <c r="C2407" t="s">
        <v>46</v>
      </c>
      <c r="D2407">
        <v>3112.2</v>
      </c>
      <c r="E2407">
        <v>107</v>
      </c>
      <c r="F2407" s="1">
        <v>45502</v>
      </c>
      <c r="G2407" t="str">
        <f>IF(COUNTIFS(Table1_3[Country],Table1_3[[#This Row],[Country]],Table1_3[Product],Table1_3[[#This Row],[Product]],Table1_3[Sales Person],Table1_3[[#This Row],[Sales Person]],Table1_3[Amount],"&lt;=100")&gt;=2,"Contract","Deal")</f>
        <v>Deal</v>
      </c>
    </row>
    <row r="2408" spans="1:7" x14ac:dyDescent="0.3">
      <c r="A2408" t="s">
        <v>34</v>
      </c>
      <c r="B2408" t="s">
        <v>15</v>
      </c>
      <c r="C2408" t="s">
        <v>33</v>
      </c>
      <c r="D2408">
        <v>14658</v>
      </c>
      <c r="E2408">
        <v>275</v>
      </c>
      <c r="F2408" s="1">
        <v>44627</v>
      </c>
      <c r="G2408" t="str">
        <f>IF(COUNTIFS(Table1_3[Country],Table1_3[[#This Row],[Country]],Table1_3[Product],Table1_3[[#This Row],[Product]],Table1_3[Sales Person],Table1_3[[#This Row],[Sales Person]],Table1_3[Amount],"&lt;=100")&gt;=2,"Contract","Deal")</f>
        <v>Deal</v>
      </c>
    </row>
    <row r="2409" spans="1:7" x14ac:dyDescent="0.3">
      <c r="A2409" t="s">
        <v>34</v>
      </c>
      <c r="B2409" t="s">
        <v>15</v>
      </c>
      <c r="C2409" t="s">
        <v>33</v>
      </c>
      <c r="D2409">
        <v>16112.73</v>
      </c>
      <c r="E2409">
        <v>282</v>
      </c>
      <c r="F2409" s="1">
        <v>44992</v>
      </c>
      <c r="G2409" t="str">
        <f>IF(COUNTIFS(Table1_3[Country],Table1_3[[#This Row],[Country]],Table1_3[Product],Table1_3[[#This Row],[Product]],Table1_3[Sales Person],Table1_3[[#This Row],[Sales Person]],Table1_3[Amount],"&lt;=100")&gt;=2,"Contract","Deal")</f>
        <v>Deal</v>
      </c>
    </row>
    <row r="2410" spans="1:7" x14ac:dyDescent="0.3">
      <c r="A2410" t="s">
        <v>34</v>
      </c>
      <c r="B2410" t="s">
        <v>15</v>
      </c>
      <c r="C2410" t="s">
        <v>33</v>
      </c>
      <c r="D2410">
        <v>15825.08</v>
      </c>
      <c r="E2410">
        <v>284</v>
      </c>
      <c r="F2410" s="1">
        <v>45358</v>
      </c>
      <c r="G2410" t="str">
        <f>IF(COUNTIFS(Table1_3[Country],Table1_3[[#This Row],[Country]],Table1_3[Product],Table1_3[[#This Row],[Product]],Table1_3[Sales Person],Table1_3[[#This Row],[Sales Person]],Table1_3[Amount],"&lt;=100")&gt;=2,"Contract","Deal")</f>
        <v>Deal</v>
      </c>
    </row>
    <row r="2411" spans="1:7" x14ac:dyDescent="0.3">
      <c r="A2411" t="s">
        <v>34</v>
      </c>
      <c r="B2411" t="s">
        <v>15</v>
      </c>
      <c r="C2411" t="s">
        <v>73</v>
      </c>
      <c r="D2411">
        <v>8400</v>
      </c>
      <c r="E2411">
        <v>27</v>
      </c>
      <c r="F2411" s="1">
        <v>44676</v>
      </c>
      <c r="G2411" t="str">
        <f>IF(COUNTIFS(Table1_3[Country],Table1_3[[#This Row],[Country]],Table1_3[Product],Table1_3[[#This Row],[Product]],Table1_3[Sales Person],Table1_3[[#This Row],[Sales Person]],Table1_3[Amount],"&lt;=100")&gt;=2,"Contract","Deal")</f>
        <v>Deal</v>
      </c>
    </row>
    <row r="2412" spans="1:7" x14ac:dyDescent="0.3">
      <c r="A2412" t="s">
        <v>34</v>
      </c>
      <c r="B2412" t="s">
        <v>15</v>
      </c>
      <c r="C2412" t="s">
        <v>73</v>
      </c>
      <c r="D2412">
        <v>9479.65</v>
      </c>
      <c r="E2412">
        <v>26</v>
      </c>
      <c r="F2412" s="1">
        <v>45041</v>
      </c>
      <c r="G2412" t="str">
        <f>IF(COUNTIFS(Table1_3[Country],Table1_3[[#This Row],[Country]],Table1_3[Product],Table1_3[[#This Row],[Product]],Table1_3[Sales Person],Table1_3[[#This Row],[Sales Person]],Table1_3[Amount],"&lt;=100")&gt;=2,"Contract","Deal")</f>
        <v>Deal</v>
      </c>
    </row>
    <row r="2413" spans="1:7" x14ac:dyDescent="0.3">
      <c r="A2413" t="s">
        <v>34</v>
      </c>
      <c r="B2413" t="s">
        <v>15</v>
      </c>
      <c r="C2413" t="s">
        <v>73</v>
      </c>
      <c r="D2413">
        <v>8818.17</v>
      </c>
      <c r="E2413">
        <v>29</v>
      </c>
      <c r="F2413" s="1">
        <v>45407</v>
      </c>
      <c r="G2413" t="str">
        <f>IF(COUNTIFS(Table1_3[Country],Table1_3[[#This Row],[Country]],Table1_3[Product],Table1_3[[#This Row],[Product]],Table1_3[Sales Person],Table1_3[[#This Row],[Sales Person]],Table1_3[Amount],"&lt;=100")&gt;=2,"Contract","Deal")</f>
        <v>Deal</v>
      </c>
    </row>
    <row r="2414" spans="1:7" x14ac:dyDescent="0.3">
      <c r="A2414" t="s">
        <v>34</v>
      </c>
      <c r="B2414" t="s">
        <v>15</v>
      </c>
      <c r="C2414" t="s">
        <v>18</v>
      </c>
      <c r="D2414">
        <v>4158</v>
      </c>
      <c r="E2414">
        <v>109</v>
      </c>
      <c r="F2414" s="1">
        <v>44603</v>
      </c>
      <c r="G2414" t="str">
        <f>IF(COUNTIFS(Table1_3[Country],Table1_3[[#This Row],[Country]],Table1_3[Product],Table1_3[[#This Row],[Product]],Table1_3[Sales Person],Table1_3[[#This Row],[Sales Person]],Table1_3[Amount],"&lt;=100")&gt;=2,"Contract","Deal")</f>
        <v>Deal</v>
      </c>
    </row>
    <row r="2415" spans="1:7" x14ac:dyDescent="0.3">
      <c r="A2415" t="s">
        <v>34</v>
      </c>
      <c r="B2415" t="s">
        <v>15</v>
      </c>
      <c r="C2415" t="s">
        <v>18</v>
      </c>
      <c r="D2415">
        <v>4454.71</v>
      </c>
      <c r="E2415">
        <v>117</v>
      </c>
      <c r="F2415" s="1">
        <v>44968</v>
      </c>
      <c r="G2415" t="str">
        <f>IF(COUNTIFS(Table1_3[Country],Table1_3[[#This Row],[Country]],Table1_3[Product],Table1_3[[#This Row],[Product]],Table1_3[Sales Person],Table1_3[[#This Row],[Sales Person]],Table1_3[Amount],"&lt;=100")&gt;=2,"Contract","Deal")</f>
        <v>Deal</v>
      </c>
    </row>
    <row r="2416" spans="1:7" x14ac:dyDescent="0.3">
      <c r="A2416" t="s">
        <v>34</v>
      </c>
      <c r="B2416" t="s">
        <v>15</v>
      </c>
      <c r="C2416" t="s">
        <v>18</v>
      </c>
      <c r="D2416">
        <v>4786.05</v>
      </c>
      <c r="E2416">
        <v>107</v>
      </c>
      <c r="F2416" s="1">
        <v>45333</v>
      </c>
      <c r="G2416" t="str">
        <f>IF(COUNTIFS(Table1_3[Country],Table1_3[[#This Row],[Country]],Table1_3[Product],Table1_3[[#This Row],[Product]],Table1_3[Sales Person],Table1_3[[#This Row],[Sales Person]],Table1_3[Amount],"&lt;=100")&gt;=2,"Contract","Deal")</f>
        <v>Deal</v>
      </c>
    </row>
    <row r="2417" spans="1:7" x14ac:dyDescent="0.3">
      <c r="A2417" t="s">
        <v>34</v>
      </c>
      <c r="B2417" t="s">
        <v>15</v>
      </c>
      <c r="C2417" t="s">
        <v>50</v>
      </c>
      <c r="D2417">
        <v>5439</v>
      </c>
      <c r="E2417">
        <v>287</v>
      </c>
      <c r="F2417" s="1">
        <v>44741</v>
      </c>
      <c r="G2417" t="str">
        <f>IF(COUNTIFS(Table1_3[Country],Table1_3[[#This Row],[Country]],Table1_3[Product],Table1_3[[#This Row],[Product]],Table1_3[Sales Person],Table1_3[[#This Row],[Sales Person]],Table1_3[Amount],"&lt;=100")&gt;=2,"Contract","Deal")</f>
        <v>Deal</v>
      </c>
    </row>
    <row r="2418" spans="1:7" x14ac:dyDescent="0.3">
      <c r="A2418" t="s">
        <v>34</v>
      </c>
      <c r="B2418" t="s">
        <v>15</v>
      </c>
      <c r="C2418" t="s">
        <v>50</v>
      </c>
      <c r="D2418">
        <v>6054.04</v>
      </c>
      <c r="E2418">
        <v>287</v>
      </c>
      <c r="F2418" s="1">
        <v>45106</v>
      </c>
      <c r="G2418" t="str">
        <f>IF(COUNTIFS(Table1_3[Country],Table1_3[[#This Row],[Country]],Table1_3[Product],Table1_3[[#This Row],[Product]],Table1_3[Sales Person],Table1_3[[#This Row],[Sales Person]],Table1_3[Amount],"&lt;=100")&gt;=2,"Contract","Deal")</f>
        <v>Deal</v>
      </c>
    </row>
    <row r="2419" spans="1:7" x14ac:dyDescent="0.3">
      <c r="A2419" t="s">
        <v>34</v>
      </c>
      <c r="B2419" t="s">
        <v>15</v>
      </c>
      <c r="C2419" t="s">
        <v>50</v>
      </c>
      <c r="D2419">
        <v>6476.09</v>
      </c>
      <c r="E2419">
        <v>304</v>
      </c>
      <c r="F2419" s="1">
        <v>45472</v>
      </c>
      <c r="G2419" t="str">
        <f>IF(COUNTIFS(Table1_3[Country],Table1_3[[#This Row],[Country]],Table1_3[Product],Table1_3[[#This Row],[Product]],Table1_3[Sales Person],Table1_3[[#This Row],[Sales Person]],Table1_3[Amount],"&lt;=100")&gt;=2,"Contract","Deal")</f>
        <v>Deal</v>
      </c>
    </row>
    <row r="2420" spans="1:7" x14ac:dyDescent="0.3">
      <c r="A2420" t="s">
        <v>34</v>
      </c>
      <c r="B2420" t="s">
        <v>35</v>
      </c>
      <c r="C2420" t="s">
        <v>11</v>
      </c>
      <c r="D2420">
        <v>1428</v>
      </c>
      <c r="E2420">
        <v>424</v>
      </c>
      <c r="F2420" s="1">
        <v>44671</v>
      </c>
      <c r="G2420" t="str">
        <f>IF(COUNTIFS(Table1_3[Country],Table1_3[[#This Row],[Country]],Table1_3[Product],Table1_3[[#This Row],[Product]],Table1_3[Sales Person],Table1_3[[#This Row],[Sales Person]],Table1_3[Amount],"&lt;=100")&gt;=2,"Contract","Deal")</f>
        <v>Deal</v>
      </c>
    </row>
    <row r="2421" spans="1:7" x14ac:dyDescent="0.3">
      <c r="A2421" t="s">
        <v>34</v>
      </c>
      <c r="B2421" t="s">
        <v>35</v>
      </c>
      <c r="C2421" t="s">
        <v>11</v>
      </c>
      <c r="D2421">
        <v>1639.01</v>
      </c>
      <c r="E2421">
        <v>430</v>
      </c>
      <c r="F2421" s="1">
        <v>45036</v>
      </c>
      <c r="G2421" t="str">
        <f>IF(COUNTIFS(Table1_3[Country],Table1_3[[#This Row],[Country]],Table1_3[Product],Table1_3[[#This Row],[Product]],Table1_3[Sales Person],Table1_3[[#This Row],[Sales Person]],Table1_3[Amount],"&lt;=100")&gt;=2,"Contract","Deal")</f>
        <v>Deal</v>
      </c>
    </row>
    <row r="2422" spans="1:7" x14ac:dyDescent="0.3">
      <c r="A2422" t="s">
        <v>34</v>
      </c>
      <c r="B2422" t="s">
        <v>35</v>
      </c>
      <c r="C2422" t="s">
        <v>11</v>
      </c>
      <c r="D2422">
        <v>1664.68</v>
      </c>
      <c r="E2422">
        <v>465</v>
      </c>
      <c r="F2422" s="1">
        <v>45402</v>
      </c>
      <c r="G2422" t="str">
        <f>IF(COUNTIFS(Table1_3[Country],Table1_3[[#This Row],[Country]],Table1_3[Product],Table1_3[[#This Row],[Product]],Table1_3[Sales Person],Table1_3[[#This Row],[Sales Person]],Table1_3[Amount],"&lt;=100")&gt;=2,"Contract","Deal")</f>
        <v>Deal</v>
      </c>
    </row>
    <row r="2423" spans="1:7" x14ac:dyDescent="0.3">
      <c r="A2423" t="s">
        <v>34</v>
      </c>
      <c r="B2423" t="s">
        <v>35</v>
      </c>
      <c r="C2423" t="s">
        <v>65</v>
      </c>
      <c r="D2423">
        <v>4214</v>
      </c>
      <c r="E2423">
        <v>35</v>
      </c>
      <c r="F2423" s="1">
        <v>44693</v>
      </c>
      <c r="G2423" t="str">
        <f>IF(COUNTIFS(Table1_3[Country],Table1_3[[#This Row],[Country]],Table1_3[Product],Table1_3[[#This Row],[Product]],Table1_3[Sales Person],Table1_3[[#This Row],[Sales Person]],Table1_3[Amount],"&lt;=100")&gt;=2,"Contract","Deal")</f>
        <v>Deal</v>
      </c>
    </row>
    <row r="2424" spans="1:7" x14ac:dyDescent="0.3">
      <c r="A2424" t="s">
        <v>34</v>
      </c>
      <c r="B2424" t="s">
        <v>35</v>
      </c>
      <c r="C2424" t="s">
        <v>65</v>
      </c>
      <c r="D2424">
        <v>4753.93</v>
      </c>
      <c r="E2424">
        <v>37</v>
      </c>
      <c r="F2424" s="1">
        <v>45058</v>
      </c>
      <c r="G2424" t="str">
        <f>IF(COUNTIFS(Table1_3[Country],Table1_3[[#This Row],[Country]],Table1_3[Product],Table1_3[[#This Row],[Product]],Table1_3[Sales Person],Table1_3[[#This Row],[Sales Person]],Table1_3[Amount],"&lt;=100")&gt;=2,"Contract","Deal")</f>
        <v>Deal</v>
      </c>
    </row>
    <row r="2425" spans="1:7" x14ac:dyDescent="0.3">
      <c r="A2425" t="s">
        <v>34</v>
      </c>
      <c r="B2425" t="s">
        <v>35</v>
      </c>
      <c r="C2425" t="s">
        <v>65</v>
      </c>
      <c r="D2425">
        <v>4871.07</v>
      </c>
      <c r="E2425">
        <v>33</v>
      </c>
      <c r="F2425" s="1">
        <v>45424</v>
      </c>
      <c r="G2425" t="str">
        <f>IF(COUNTIFS(Table1_3[Country],Table1_3[[#This Row],[Country]],Table1_3[Product],Table1_3[[#This Row],[Product]],Table1_3[Sales Person],Table1_3[[#This Row],[Sales Person]],Table1_3[Amount],"&lt;=100")&gt;=2,"Contract","Deal")</f>
        <v>Deal</v>
      </c>
    </row>
    <row r="2426" spans="1:7" x14ac:dyDescent="0.3">
      <c r="A2426" t="s">
        <v>34</v>
      </c>
      <c r="B2426" t="s">
        <v>35</v>
      </c>
      <c r="C2426" t="s">
        <v>90</v>
      </c>
      <c r="D2426">
        <v>4844</v>
      </c>
      <c r="E2426">
        <v>539</v>
      </c>
      <c r="F2426" s="1">
        <v>44722</v>
      </c>
      <c r="G2426" t="str">
        <f>IF(COUNTIFS(Table1_3[Country],Table1_3[[#This Row],[Country]],Table1_3[Product],Table1_3[[#This Row],[Product]],Table1_3[Sales Person],Table1_3[[#This Row],[Sales Person]],Table1_3[Amount],"&lt;=100")&gt;=2,"Contract","Deal")</f>
        <v>Deal</v>
      </c>
    </row>
    <row r="2427" spans="1:7" x14ac:dyDescent="0.3">
      <c r="A2427" t="s">
        <v>34</v>
      </c>
      <c r="B2427" t="s">
        <v>35</v>
      </c>
      <c r="C2427" t="s">
        <v>90</v>
      </c>
      <c r="D2427">
        <v>5194.28</v>
      </c>
      <c r="E2427">
        <v>547</v>
      </c>
      <c r="F2427" s="1">
        <v>45087</v>
      </c>
      <c r="G2427" t="str">
        <f>IF(COUNTIFS(Table1_3[Country],Table1_3[[#This Row],[Country]],Table1_3[Product],Table1_3[[#This Row],[Product]],Table1_3[Sales Person],Table1_3[[#This Row],[Sales Person]],Table1_3[Amount],"&lt;=100")&gt;=2,"Contract","Deal")</f>
        <v>Deal</v>
      </c>
    </row>
    <row r="2428" spans="1:7" x14ac:dyDescent="0.3">
      <c r="A2428" t="s">
        <v>34</v>
      </c>
      <c r="B2428" t="s">
        <v>35</v>
      </c>
      <c r="C2428" t="s">
        <v>90</v>
      </c>
      <c r="D2428">
        <v>5093.92</v>
      </c>
      <c r="E2428">
        <v>524</v>
      </c>
      <c r="F2428" s="1">
        <v>45453</v>
      </c>
      <c r="G2428" t="str">
        <f>IF(COUNTIFS(Table1_3[Country],Table1_3[[#This Row],[Country]],Table1_3[Product],Table1_3[[#This Row],[Product]],Table1_3[Sales Person],Table1_3[[#This Row],[Sales Person]],Table1_3[Amount],"&lt;=100")&gt;=2,"Contract","Deal")</f>
        <v>Deal</v>
      </c>
    </row>
    <row r="2429" spans="1:7" x14ac:dyDescent="0.3">
      <c r="A2429" t="s">
        <v>34</v>
      </c>
      <c r="B2429" t="s">
        <v>35</v>
      </c>
      <c r="C2429" t="s">
        <v>75</v>
      </c>
      <c r="D2429">
        <v>4781</v>
      </c>
      <c r="E2429">
        <v>241</v>
      </c>
      <c r="F2429" s="1">
        <v>44753</v>
      </c>
      <c r="G2429" t="str">
        <f>IF(COUNTIFS(Table1_3[Country],Table1_3[[#This Row],[Country]],Table1_3[Product],Table1_3[[#This Row],[Product]],Table1_3[Sales Person],Table1_3[[#This Row],[Sales Person]],Table1_3[Amount],"&lt;=100")&gt;=2,"Contract","Deal")</f>
        <v>Deal</v>
      </c>
    </row>
    <row r="2430" spans="1:7" x14ac:dyDescent="0.3">
      <c r="A2430" t="s">
        <v>34</v>
      </c>
      <c r="B2430" t="s">
        <v>35</v>
      </c>
      <c r="C2430" t="s">
        <v>75</v>
      </c>
      <c r="D2430">
        <v>5345.58</v>
      </c>
      <c r="E2430">
        <v>250</v>
      </c>
      <c r="F2430" s="1">
        <v>45118</v>
      </c>
      <c r="G2430" t="str">
        <f>IF(COUNTIFS(Table1_3[Country],Table1_3[[#This Row],[Country]],Table1_3[Product],Table1_3[[#This Row],[Product]],Table1_3[Sales Person],Table1_3[[#This Row],[Sales Person]],Table1_3[Amount],"&lt;=100")&gt;=2,"Contract","Deal")</f>
        <v>Deal</v>
      </c>
    </row>
    <row r="2431" spans="1:7" x14ac:dyDescent="0.3">
      <c r="A2431" t="s">
        <v>34</v>
      </c>
      <c r="B2431" t="s">
        <v>35</v>
      </c>
      <c r="C2431" t="s">
        <v>75</v>
      </c>
      <c r="D2431">
        <v>5706.43</v>
      </c>
      <c r="E2431">
        <v>247</v>
      </c>
      <c r="F2431" s="1">
        <v>45484</v>
      </c>
      <c r="G2431" t="str">
        <f>IF(COUNTIFS(Table1_3[Country],Table1_3[[#This Row],[Country]],Table1_3[Product],Table1_3[[#This Row],[Product]],Table1_3[Sales Person],Table1_3[[#This Row],[Sales Person]],Table1_3[Amount],"&lt;=100")&gt;=2,"Contract","Deal")</f>
        <v>Deal</v>
      </c>
    </row>
    <row r="2432" spans="1:7" x14ac:dyDescent="0.3">
      <c r="A2432" t="s">
        <v>34</v>
      </c>
      <c r="B2432" t="s">
        <v>35</v>
      </c>
      <c r="C2432" t="s">
        <v>36</v>
      </c>
      <c r="D2432">
        <v>1442</v>
      </c>
      <c r="E2432">
        <v>286</v>
      </c>
      <c r="F2432" s="1">
        <v>44574</v>
      </c>
      <c r="G2432" t="str">
        <f>IF(COUNTIFS(Table1_3[Country],Table1_3[[#This Row],[Country]],Table1_3[Product],Table1_3[[#This Row],[Product]],Table1_3[Sales Person],Table1_3[[#This Row],[Sales Person]],Table1_3[Amount],"&lt;=100")&gt;=2,"Contract","Deal")</f>
        <v>Deal</v>
      </c>
    </row>
    <row r="2433" spans="1:7" x14ac:dyDescent="0.3">
      <c r="A2433" t="s">
        <v>34</v>
      </c>
      <c r="B2433" t="s">
        <v>35</v>
      </c>
      <c r="C2433" t="s">
        <v>36</v>
      </c>
      <c r="D2433">
        <v>1652.61</v>
      </c>
      <c r="E2433">
        <v>277</v>
      </c>
      <c r="F2433" s="1">
        <v>44939</v>
      </c>
      <c r="G2433" t="str">
        <f>IF(COUNTIFS(Table1_3[Country],Table1_3[[#This Row],[Country]],Table1_3[Product],Table1_3[[#This Row],[Product]],Table1_3[Sales Person],Table1_3[[#This Row],[Sales Person]],Table1_3[Amount],"&lt;=100")&gt;=2,"Contract","Deal")</f>
        <v>Deal</v>
      </c>
    </row>
    <row r="2434" spans="1:7" x14ac:dyDescent="0.3">
      <c r="A2434" t="s">
        <v>34</v>
      </c>
      <c r="B2434" t="s">
        <v>35</v>
      </c>
      <c r="C2434" t="s">
        <v>36</v>
      </c>
      <c r="D2434">
        <v>1671.64</v>
      </c>
      <c r="E2434">
        <v>277</v>
      </c>
      <c r="F2434" s="1">
        <v>45304</v>
      </c>
      <c r="G2434" t="str">
        <f>IF(COUNTIFS(Table1_3[Country],Table1_3[[#This Row],[Country]],Table1_3[Product],Table1_3[[#This Row],[Product]],Table1_3[Sales Person],Table1_3[[#This Row],[Sales Person]],Table1_3[Amount],"&lt;=100")&gt;=2,"Contract","Deal")</f>
        <v>Deal</v>
      </c>
    </row>
    <row r="2435" spans="1:7" x14ac:dyDescent="0.3">
      <c r="A2435" t="s">
        <v>34</v>
      </c>
      <c r="B2435" t="s">
        <v>35</v>
      </c>
      <c r="C2435" t="s">
        <v>60</v>
      </c>
      <c r="D2435">
        <v>1435</v>
      </c>
      <c r="E2435">
        <v>112</v>
      </c>
      <c r="F2435" s="1">
        <v>44627</v>
      </c>
      <c r="G2435" t="str">
        <f>IF(COUNTIFS(Table1_3[Country],Table1_3[[#This Row],[Country]],Table1_3[Product],Table1_3[[#This Row],[Product]],Table1_3[Sales Person],Table1_3[[#This Row],[Sales Person]],Table1_3[Amount],"&lt;=100")&gt;=2,"Contract","Deal")</f>
        <v>Deal</v>
      </c>
    </row>
    <row r="2436" spans="1:7" x14ac:dyDescent="0.3">
      <c r="A2436" t="s">
        <v>34</v>
      </c>
      <c r="B2436" t="s">
        <v>35</v>
      </c>
      <c r="C2436" t="s">
        <v>60</v>
      </c>
      <c r="D2436">
        <v>1583.57</v>
      </c>
      <c r="E2436">
        <v>122</v>
      </c>
      <c r="F2436" s="1">
        <v>44992</v>
      </c>
      <c r="G2436" t="str">
        <f>IF(COUNTIFS(Table1_3[Country],Table1_3[[#This Row],[Country]],Table1_3[Product],Table1_3[[#This Row],[Product]],Table1_3[Sales Person],Table1_3[[#This Row],[Sales Person]],Table1_3[Amount],"&lt;=100")&gt;=2,"Contract","Deal")</f>
        <v>Deal</v>
      </c>
    </row>
    <row r="2437" spans="1:7" x14ac:dyDescent="0.3">
      <c r="A2437" t="s">
        <v>34</v>
      </c>
      <c r="B2437" t="s">
        <v>35</v>
      </c>
      <c r="C2437" t="s">
        <v>60</v>
      </c>
      <c r="D2437">
        <v>1540.11</v>
      </c>
      <c r="E2437">
        <v>117</v>
      </c>
      <c r="F2437" s="1">
        <v>45358</v>
      </c>
      <c r="G2437" t="str">
        <f>IF(COUNTIFS(Table1_3[Country],Table1_3[[#This Row],[Country]],Table1_3[Product],Table1_3[[#This Row],[Product]],Table1_3[Sales Person],Table1_3[[#This Row],[Sales Person]],Table1_3[Amount],"&lt;=100")&gt;=2,"Contract","Deal")</f>
        <v>Deal</v>
      </c>
    </row>
    <row r="2438" spans="1:7" x14ac:dyDescent="0.3">
      <c r="A2438" t="s">
        <v>34</v>
      </c>
      <c r="B2438" t="s">
        <v>35</v>
      </c>
      <c r="C2438" t="s">
        <v>33</v>
      </c>
      <c r="D2438">
        <v>3577</v>
      </c>
      <c r="E2438">
        <v>178</v>
      </c>
      <c r="F2438" s="1">
        <v>44643</v>
      </c>
      <c r="G2438" t="str">
        <f>IF(COUNTIFS(Table1_3[Country],Table1_3[[#This Row],[Country]],Table1_3[Product],Table1_3[[#This Row],[Product]],Table1_3[Sales Person],Table1_3[[#This Row],[Sales Person]],Table1_3[Amount],"&lt;=100")&gt;=2,"Contract","Deal")</f>
        <v>Deal</v>
      </c>
    </row>
    <row r="2439" spans="1:7" x14ac:dyDescent="0.3">
      <c r="A2439" t="s">
        <v>34</v>
      </c>
      <c r="B2439" t="s">
        <v>35</v>
      </c>
      <c r="C2439" t="s">
        <v>33</v>
      </c>
      <c r="D2439">
        <v>3820.94</v>
      </c>
      <c r="E2439">
        <v>179</v>
      </c>
      <c r="F2439" s="1">
        <v>45008</v>
      </c>
      <c r="G2439" t="str">
        <f>IF(COUNTIFS(Table1_3[Country],Table1_3[[#This Row],[Country]],Table1_3[Product],Table1_3[[#This Row],[Product]],Table1_3[Sales Person],Table1_3[[#This Row],[Sales Person]],Table1_3[Amount],"&lt;=100")&gt;=2,"Contract","Deal")</f>
        <v>Deal</v>
      </c>
    </row>
    <row r="2440" spans="1:7" x14ac:dyDescent="0.3">
      <c r="A2440" t="s">
        <v>34</v>
      </c>
      <c r="B2440" t="s">
        <v>35</v>
      </c>
      <c r="C2440" t="s">
        <v>33</v>
      </c>
      <c r="D2440">
        <v>4173.7299999999996</v>
      </c>
      <c r="E2440">
        <v>175</v>
      </c>
      <c r="F2440" s="1">
        <v>45374</v>
      </c>
      <c r="G2440" t="str">
        <f>IF(COUNTIFS(Table1_3[Country],Table1_3[[#This Row],[Country]],Table1_3[Product],Table1_3[[#This Row],[Product]],Table1_3[Sales Person],Table1_3[[#This Row],[Sales Person]],Table1_3[Amount],"&lt;=100")&gt;=2,"Contract","Deal")</f>
        <v>Deal</v>
      </c>
    </row>
    <row r="2441" spans="1:7" x14ac:dyDescent="0.3">
      <c r="A2441" t="s">
        <v>34</v>
      </c>
      <c r="B2441" t="s">
        <v>35</v>
      </c>
      <c r="C2441" t="s">
        <v>18</v>
      </c>
      <c r="D2441">
        <v>1939</v>
      </c>
      <c r="E2441">
        <v>98</v>
      </c>
      <c r="F2441" s="1">
        <v>44641</v>
      </c>
      <c r="G2441" t="str">
        <f>IF(COUNTIFS(Table1_3[Country],Table1_3[[#This Row],[Country]],Table1_3[Product],Table1_3[[#This Row],[Product]],Table1_3[Sales Person],Table1_3[[#This Row],[Sales Person]],Table1_3[Amount],"&lt;=100")&gt;=2,"Contract","Deal")</f>
        <v>Deal</v>
      </c>
    </row>
    <row r="2442" spans="1:7" x14ac:dyDescent="0.3">
      <c r="A2442" t="s">
        <v>34</v>
      </c>
      <c r="B2442" t="s">
        <v>35</v>
      </c>
      <c r="C2442" t="s">
        <v>18</v>
      </c>
      <c r="D2442">
        <v>2056.92</v>
      </c>
      <c r="E2442">
        <v>103</v>
      </c>
      <c r="F2442" s="1">
        <v>45006</v>
      </c>
      <c r="G2442" t="str">
        <f>IF(COUNTIFS(Table1_3[Country],Table1_3[[#This Row],[Country]],Table1_3[Product],Table1_3[[#This Row],[Product]],Table1_3[Sales Person],Table1_3[[#This Row],[Sales Person]],Table1_3[Amount],"&lt;=100")&gt;=2,"Contract","Deal")</f>
        <v>Deal</v>
      </c>
    </row>
    <row r="2443" spans="1:7" x14ac:dyDescent="0.3">
      <c r="A2443" t="s">
        <v>34</v>
      </c>
      <c r="B2443" t="s">
        <v>35</v>
      </c>
      <c r="C2443" t="s">
        <v>18</v>
      </c>
      <c r="D2443">
        <v>2202.46</v>
      </c>
      <c r="E2443">
        <v>97</v>
      </c>
      <c r="F2443" s="1">
        <v>45372</v>
      </c>
      <c r="G2443" t="str">
        <f>IF(COUNTIFS(Table1_3[Country],Table1_3[[#This Row],[Country]],Table1_3[Product],Table1_3[[#This Row],[Product]],Table1_3[Sales Person],Table1_3[[#This Row],[Sales Person]],Table1_3[Amount],"&lt;=100")&gt;=2,"Contract","Deal")</f>
        <v>Deal</v>
      </c>
    </row>
    <row r="2444" spans="1:7" x14ac:dyDescent="0.3">
      <c r="A2444" t="s">
        <v>34</v>
      </c>
      <c r="B2444" t="s">
        <v>35</v>
      </c>
      <c r="C2444" t="s">
        <v>59</v>
      </c>
      <c r="D2444">
        <v>3381</v>
      </c>
      <c r="E2444">
        <v>72</v>
      </c>
      <c r="F2444" s="1">
        <v>44623</v>
      </c>
      <c r="G2444" t="str">
        <f>IF(COUNTIFS(Table1_3[Country],Table1_3[[#This Row],[Country]],Table1_3[Product],Table1_3[[#This Row],[Product]],Table1_3[Sales Person],Table1_3[[#This Row],[Sales Person]],Table1_3[Amount],"&lt;=100")&gt;=2,"Contract","Deal")</f>
        <v>Deal</v>
      </c>
    </row>
    <row r="2445" spans="1:7" x14ac:dyDescent="0.3">
      <c r="A2445" t="s">
        <v>34</v>
      </c>
      <c r="B2445" t="s">
        <v>35</v>
      </c>
      <c r="C2445" t="s">
        <v>59</v>
      </c>
      <c r="D2445">
        <v>3398.51</v>
      </c>
      <c r="E2445">
        <v>74</v>
      </c>
      <c r="F2445" s="1">
        <v>44988</v>
      </c>
      <c r="G2445" t="str">
        <f>IF(COUNTIFS(Table1_3[Country],Table1_3[[#This Row],[Country]],Table1_3[Product],Table1_3[[#This Row],[Product]],Table1_3[Sales Person],Table1_3[[#This Row],[Sales Person]],Table1_3[Amount],"&lt;=100")&gt;=2,"Contract","Deal")</f>
        <v>Deal</v>
      </c>
    </row>
    <row r="2446" spans="1:7" x14ac:dyDescent="0.3">
      <c r="A2446" t="s">
        <v>34</v>
      </c>
      <c r="B2446" t="s">
        <v>35</v>
      </c>
      <c r="C2446" t="s">
        <v>59</v>
      </c>
      <c r="D2446">
        <v>3799.5</v>
      </c>
      <c r="E2446">
        <v>71</v>
      </c>
      <c r="F2446" s="1">
        <v>45354</v>
      </c>
      <c r="G2446" t="str">
        <f>IF(COUNTIFS(Table1_3[Country],Table1_3[[#This Row],[Country]],Table1_3[Product],Table1_3[[#This Row],[Product]],Table1_3[Sales Person],Table1_3[[#This Row],[Sales Person]],Table1_3[Amount],"&lt;=100")&gt;=2,"Contract","Deal")</f>
        <v>Deal</v>
      </c>
    </row>
    <row r="2447" spans="1:7" x14ac:dyDescent="0.3">
      <c r="A2447" t="s">
        <v>34</v>
      </c>
      <c r="B2447" t="s">
        <v>10</v>
      </c>
      <c r="C2447" t="s">
        <v>26</v>
      </c>
      <c r="D2447">
        <v>588</v>
      </c>
      <c r="E2447">
        <v>139</v>
      </c>
      <c r="F2447" s="1">
        <v>44712</v>
      </c>
      <c r="G2447" t="str">
        <f>IF(COUNTIFS(Table1_3[Country],Table1_3[[#This Row],[Country]],Table1_3[Product],Table1_3[[#This Row],[Product]],Table1_3[Sales Person],Table1_3[[#This Row],[Sales Person]],Table1_3[Amount],"&lt;=100")&gt;=2,"Contract","Deal")</f>
        <v>Deal</v>
      </c>
    </row>
    <row r="2448" spans="1:7" x14ac:dyDescent="0.3">
      <c r="A2448" t="s">
        <v>34</v>
      </c>
      <c r="B2448" t="s">
        <v>10</v>
      </c>
      <c r="C2448" t="s">
        <v>26</v>
      </c>
      <c r="D2448">
        <v>664.82</v>
      </c>
      <c r="E2448">
        <v>147</v>
      </c>
      <c r="F2448" s="1">
        <v>45077</v>
      </c>
      <c r="G2448" t="str">
        <f>IF(COUNTIFS(Table1_3[Country],Table1_3[[#This Row],[Country]],Table1_3[Product],Table1_3[[#This Row],[Product]],Table1_3[Sales Person],Table1_3[[#This Row],[Sales Person]],Table1_3[Amount],"&lt;=100")&gt;=2,"Contract","Deal")</f>
        <v>Deal</v>
      </c>
    </row>
    <row r="2449" spans="1:7" x14ac:dyDescent="0.3">
      <c r="A2449" t="s">
        <v>34</v>
      </c>
      <c r="B2449" t="s">
        <v>10</v>
      </c>
      <c r="C2449" t="s">
        <v>26</v>
      </c>
      <c r="D2449">
        <v>631.02</v>
      </c>
      <c r="E2449">
        <v>140</v>
      </c>
      <c r="F2449" s="1">
        <v>45443</v>
      </c>
      <c r="G2449" t="str">
        <f>IF(COUNTIFS(Table1_3[Country],Table1_3[[#This Row],[Country]],Table1_3[Product],Table1_3[[#This Row],[Product]],Table1_3[Sales Person],Table1_3[[#This Row],[Sales Person]],Table1_3[Amount],"&lt;=100")&gt;=2,"Contract","Deal")</f>
        <v>Deal</v>
      </c>
    </row>
    <row r="2450" spans="1:7" x14ac:dyDescent="0.3">
      <c r="A2450" t="s">
        <v>34</v>
      </c>
      <c r="B2450" t="s">
        <v>10</v>
      </c>
      <c r="C2450" t="s">
        <v>38</v>
      </c>
      <c r="D2450">
        <v>3948</v>
      </c>
      <c r="E2450">
        <v>142</v>
      </c>
      <c r="F2450" s="1">
        <v>44627</v>
      </c>
      <c r="G2450" t="str">
        <f>IF(COUNTIFS(Table1_3[Country],Table1_3[[#This Row],[Country]],Table1_3[Product],Table1_3[[#This Row],[Product]],Table1_3[Sales Person],Table1_3[[#This Row],[Sales Person]],Table1_3[Amount],"&lt;=100")&gt;=2,"Contract","Deal")</f>
        <v>Deal</v>
      </c>
    </row>
    <row r="2451" spans="1:7" x14ac:dyDescent="0.3">
      <c r="A2451" t="s">
        <v>34</v>
      </c>
      <c r="B2451" t="s">
        <v>10</v>
      </c>
      <c r="C2451" t="s">
        <v>38</v>
      </c>
      <c r="D2451">
        <v>4525.72</v>
      </c>
      <c r="E2451">
        <v>146</v>
      </c>
      <c r="F2451" s="1">
        <v>44992</v>
      </c>
      <c r="G2451" t="str">
        <f>IF(COUNTIFS(Table1_3[Country],Table1_3[[#This Row],[Country]],Table1_3[Product],Table1_3[[#This Row],[Product]],Table1_3[Sales Person],Table1_3[[#This Row],[Sales Person]],Table1_3[Amount],"&lt;=100")&gt;=2,"Contract","Deal")</f>
        <v>Deal</v>
      </c>
    </row>
    <row r="2452" spans="1:7" x14ac:dyDescent="0.3">
      <c r="A2452" t="s">
        <v>34</v>
      </c>
      <c r="B2452" t="s">
        <v>10</v>
      </c>
      <c r="C2452" t="s">
        <v>38</v>
      </c>
      <c r="D2452">
        <v>4650.58</v>
      </c>
      <c r="E2452">
        <v>143</v>
      </c>
      <c r="F2452" s="1">
        <v>45358</v>
      </c>
      <c r="G2452" t="str">
        <f>IF(COUNTIFS(Table1_3[Country],Table1_3[[#This Row],[Country]],Table1_3[Product],Table1_3[[#This Row],[Product]],Table1_3[Sales Person],Table1_3[[#This Row],[Sales Person]],Table1_3[Amount],"&lt;=100")&gt;=2,"Contract","Deal")</f>
        <v>Deal</v>
      </c>
    </row>
    <row r="2453" spans="1:7" x14ac:dyDescent="0.3">
      <c r="A2453" t="s">
        <v>34</v>
      </c>
      <c r="B2453" t="s">
        <v>10</v>
      </c>
      <c r="C2453" t="s">
        <v>36</v>
      </c>
      <c r="D2453">
        <v>10437</v>
      </c>
      <c r="E2453">
        <v>46</v>
      </c>
      <c r="F2453" s="1">
        <v>44663</v>
      </c>
      <c r="G2453" t="str">
        <f>IF(COUNTIFS(Table1_3[Country],Table1_3[[#This Row],[Country]],Table1_3[Product],Table1_3[[#This Row],[Product]],Table1_3[Sales Person],Table1_3[[#This Row],[Sales Person]],Table1_3[Amount],"&lt;=100")&gt;=2,"Contract","Deal")</f>
        <v>Deal</v>
      </c>
    </row>
    <row r="2454" spans="1:7" x14ac:dyDescent="0.3">
      <c r="A2454" t="s">
        <v>34</v>
      </c>
      <c r="B2454" t="s">
        <v>10</v>
      </c>
      <c r="C2454" t="s">
        <v>36</v>
      </c>
      <c r="D2454">
        <v>11032.79</v>
      </c>
      <c r="E2454">
        <v>49</v>
      </c>
      <c r="F2454" s="1">
        <v>45028</v>
      </c>
      <c r="G2454" t="str">
        <f>IF(COUNTIFS(Table1_3[Country],Table1_3[[#This Row],[Country]],Table1_3[Product],Table1_3[[#This Row],[Product]],Table1_3[Sales Person],Table1_3[[#This Row],[Sales Person]],Table1_3[Amount],"&lt;=100")&gt;=2,"Contract","Deal")</f>
        <v>Deal</v>
      </c>
    </row>
    <row r="2455" spans="1:7" x14ac:dyDescent="0.3">
      <c r="A2455" t="s">
        <v>34</v>
      </c>
      <c r="B2455" t="s">
        <v>10</v>
      </c>
      <c r="C2455" t="s">
        <v>36</v>
      </c>
      <c r="D2455">
        <v>11720.11</v>
      </c>
      <c r="E2455">
        <v>48</v>
      </c>
      <c r="F2455" s="1">
        <v>45394</v>
      </c>
      <c r="G2455" t="str">
        <f>IF(COUNTIFS(Table1_3[Country],Table1_3[[#This Row],[Country]],Table1_3[Product],Table1_3[[#This Row],[Product]],Table1_3[Sales Person],Table1_3[[#This Row],[Sales Person]],Table1_3[Amount],"&lt;=100")&gt;=2,"Contract","Deal")</f>
        <v>Deal</v>
      </c>
    </row>
    <row r="2456" spans="1:7" x14ac:dyDescent="0.3">
      <c r="A2456" t="s">
        <v>34</v>
      </c>
      <c r="B2456" t="s">
        <v>10</v>
      </c>
      <c r="C2456" t="s">
        <v>73</v>
      </c>
      <c r="D2456">
        <v>1400</v>
      </c>
      <c r="E2456">
        <v>2</v>
      </c>
      <c r="F2456" s="1">
        <v>44622</v>
      </c>
      <c r="G2456" t="str">
        <f>IF(COUNTIFS(Table1_3[Country],Table1_3[[#This Row],[Country]],Table1_3[Product],Table1_3[[#This Row],[Product]],Table1_3[Sales Person],Table1_3[[#This Row],[Sales Person]],Table1_3[Amount],"&lt;=100")&gt;=2,"Contract","Deal")</f>
        <v>Deal</v>
      </c>
    </row>
    <row r="2457" spans="1:7" x14ac:dyDescent="0.3">
      <c r="A2457" t="s">
        <v>34</v>
      </c>
      <c r="B2457" t="s">
        <v>10</v>
      </c>
      <c r="C2457" t="s">
        <v>73</v>
      </c>
      <c r="D2457">
        <v>1516.56</v>
      </c>
      <c r="E2457">
        <v>2</v>
      </c>
      <c r="F2457" s="1">
        <v>44987</v>
      </c>
      <c r="G2457" t="str">
        <f>IF(COUNTIFS(Table1_3[Country],Table1_3[[#This Row],[Country]],Table1_3[Product],Table1_3[[#This Row],[Product]],Table1_3[Sales Person],Table1_3[[#This Row],[Sales Person]],Table1_3[Amount],"&lt;=100")&gt;=2,"Contract","Deal")</f>
        <v>Deal</v>
      </c>
    </row>
    <row r="2458" spans="1:7" x14ac:dyDescent="0.3">
      <c r="A2458" t="s">
        <v>34</v>
      </c>
      <c r="B2458" t="s">
        <v>10</v>
      </c>
      <c r="C2458" t="s">
        <v>73</v>
      </c>
      <c r="D2458">
        <v>1676.82</v>
      </c>
      <c r="E2458">
        <v>2</v>
      </c>
      <c r="F2458" s="1">
        <v>45353</v>
      </c>
      <c r="G2458" t="str">
        <f>IF(COUNTIFS(Table1_3[Country],Table1_3[[#This Row],[Country]],Table1_3[Product],Table1_3[[#This Row],[Product]],Table1_3[Sales Person],Table1_3[[#This Row],[Sales Person]],Table1_3[Amount],"&lt;=100")&gt;=2,"Contract","Deal")</f>
        <v>Deal</v>
      </c>
    </row>
    <row r="2459" spans="1:7" x14ac:dyDescent="0.3">
      <c r="A2459" t="s">
        <v>34</v>
      </c>
      <c r="B2459" t="s">
        <v>10</v>
      </c>
      <c r="C2459" t="s">
        <v>59</v>
      </c>
      <c r="D2459">
        <v>819</v>
      </c>
      <c r="E2459">
        <v>213</v>
      </c>
      <c r="F2459" s="1">
        <v>44768</v>
      </c>
      <c r="G2459" t="str">
        <f>IF(COUNTIFS(Table1_3[Country],Table1_3[[#This Row],[Country]],Table1_3[Product],Table1_3[[#This Row],[Product]],Table1_3[Sales Person],Table1_3[[#This Row],[Sales Person]],Table1_3[Amount],"&lt;=100")&gt;=2,"Contract","Deal")</f>
        <v>Deal</v>
      </c>
    </row>
    <row r="2460" spans="1:7" x14ac:dyDescent="0.3">
      <c r="A2460" t="s">
        <v>34</v>
      </c>
      <c r="B2460" t="s">
        <v>10</v>
      </c>
      <c r="C2460" t="s">
        <v>59</v>
      </c>
      <c r="D2460">
        <v>872.83</v>
      </c>
      <c r="E2460">
        <v>224</v>
      </c>
      <c r="F2460" s="1">
        <v>45133</v>
      </c>
      <c r="G2460" t="str">
        <f>IF(COUNTIFS(Table1_3[Country],Table1_3[[#This Row],[Country]],Table1_3[Product],Table1_3[[#This Row],[Product]],Table1_3[Sales Person],Table1_3[[#This Row],[Sales Person]],Table1_3[Amount],"&lt;=100")&gt;=2,"Contract","Deal")</f>
        <v>Deal</v>
      </c>
    </row>
    <row r="2461" spans="1:7" x14ac:dyDescent="0.3">
      <c r="A2461" t="s">
        <v>34</v>
      </c>
      <c r="B2461" t="s">
        <v>10</v>
      </c>
      <c r="C2461" t="s">
        <v>59</v>
      </c>
      <c r="D2461">
        <v>969.15</v>
      </c>
      <c r="E2461">
        <v>233</v>
      </c>
      <c r="F2461" s="1">
        <v>45499</v>
      </c>
      <c r="G2461" t="str">
        <f>IF(COUNTIFS(Table1_3[Country],Table1_3[[#This Row],[Country]],Table1_3[Product],Table1_3[[#This Row],[Product]],Table1_3[Sales Person],Table1_3[[#This Row],[Sales Person]],Table1_3[Amount],"&lt;=100")&gt;=2,"Contract","Deal")</f>
        <v>Deal</v>
      </c>
    </row>
    <row r="2462" spans="1:7" x14ac:dyDescent="0.3">
      <c r="A2462" t="s">
        <v>34</v>
      </c>
      <c r="B2462" t="s">
        <v>25</v>
      </c>
      <c r="C2462" t="s">
        <v>11</v>
      </c>
      <c r="D2462">
        <v>7714</v>
      </c>
      <c r="E2462">
        <v>106</v>
      </c>
      <c r="F2462" s="1">
        <v>44718</v>
      </c>
      <c r="G2462" t="str">
        <f>IF(COUNTIFS(Table1_3[Country],Table1_3[[#This Row],[Country]],Table1_3[Product],Table1_3[[#This Row],[Product]],Table1_3[Sales Person],Table1_3[[#This Row],[Sales Person]],Table1_3[Amount],"&lt;=100")&gt;=2,"Contract","Deal")</f>
        <v>Deal</v>
      </c>
    </row>
    <row r="2463" spans="1:7" x14ac:dyDescent="0.3">
      <c r="A2463" t="s">
        <v>34</v>
      </c>
      <c r="B2463" t="s">
        <v>25</v>
      </c>
      <c r="C2463" t="s">
        <v>11</v>
      </c>
      <c r="D2463">
        <v>8167.18</v>
      </c>
      <c r="E2463">
        <v>102</v>
      </c>
      <c r="F2463" s="1">
        <v>45083</v>
      </c>
      <c r="G2463" t="str">
        <f>IF(COUNTIFS(Table1_3[Country],Table1_3[[#This Row],[Country]],Table1_3[Product],Table1_3[[#This Row],[Product]],Table1_3[Sales Person],Table1_3[[#This Row],[Sales Person]],Table1_3[Amount],"&lt;=100")&gt;=2,"Contract","Deal")</f>
        <v>Deal</v>
      </c>
    </row>
    <row r="2464" spans="1:7" x14ac:dyDescent="0.3">
      <c r="A2464" t="s">
        <v>34</v>
      </c>
      <c r="B2464" t="s">
        <v>25</v>
      </c>
      <c r="C2464" t="s">
        <v>11</v>
      </c>
      <c r="D2464">
        <v>8775.4500000000007</v>
      </c>
      <c r="E2464">
        <v>113</v>
      </c>
      <c r="F2464" s="1">
        <v>45449</v>
      </c>
      <c r="G2464" t="str">
        <f>IF(COUNTIFS(Table1_3[Country],Table1_3[[#This Row],[Country]],Table1_3[Product],Table1_3[[#This Row],[Product]],Table1_3[Sales Person],Table1_3[[#This Row],[Sales Person]],Table1_3[Amount],"&lt;=100")&gt;=2,"Contract","Deal")</f>
        <v>Deal</v>
      </c>
    </row>
    <row r="2465" spans="1:7" x14ac:dyDescent="0.3">
      <c r="A2465" t="s">
        <v>34</v>
      </c>
      <c r="B2465" t="s">
        <v>25</v>
      </c>
      <c r="C2465" t="s">
        <v>23</v>
      </c>
      <c r="D2465">
        <v>483</v>
      </c>
      <c r="E2465">
        <v>228</v>
      </c>
      <c r="F2465" s="1">
        <v>44685</v>
      </c>
      <c r="G2465" t="str">
        <f>IF(COUNTIFS(Table1_3[Country],Table1_3[[#This Row],[Country]],Table1_3[Product],Table1_3[[#This Row],[Product]],Table1_3[Sales Person],Table1_3[[#This Row],[Sales Person]],Table1_3[Amount],"&lt;=100")&gt;=2,"Contract","Deal")</f>
        <v>Deal</v>
      </c>
    </row>
    <row r="2466" spans="1:7" x14ac:dyDescent="0.3">
      <c r="A2466" t="s">
        <v>34</v>
      </c>
      <c r="B2466" t="s">
        <v>25</v>
      </c>
      <c r="C2466" t="s">
        <v>23</v>
      </c>
      <c r="D2466">
        <v>501.79</v>
      </c>
      <c r="E2466">
        <v>241</v>
      </c>
      <c r="F2466" s="1">
        <v>45050</v>
      </c>
      <c r="G2466" t="str">
        <f>IF(COUNTIFS(Table1_3[Country],Table1_3[[#This Row],[Country]],Table1_3[Product],Table1_3[[#This Row],[Product]],Table1_3[Sales Person],Table1_3[[#This Row],[Sales Person]],Table1_3[Amount],"&lt;=100")&gt;=2,"Contract","Deal")</f>
        <v>Deal</v>
      </c>
    </row>
    <row r="2467" spans="1:7" x14ac:dyDescent="0.3">
      <c r="A2467" t="s">
        <v>34</v>
      </c>
      <c r="B2467" t="s">
        <v>25</v>
      </c>
      <c r="C2467" t="s">
        <v>23</v>
      </c>
      <c r="D2467">
        <v>567.91</v>
      </c>
      <c r="E2467">
        <v>225</v>
      </c>
      <c r="F2467" s="1">
        <v>45416</v>
      </c>
      <c r="G2467" t="str">
        <f>IF(COUNTIFS(Table1_3[Country],Table1_3[[#This Row],[Country]],Table1_3[Product],Table1_3[[#This Row],[Product]],Table1_3[Sales Person],Table1_3[[#This Row],[Sales Person]],Table1_3[Amount],"&lt;=100")&gt;=2,"Contract","Deal")</f>
        <v>Deal</v>
      </c>
    </row>
    <row r="2468" spans="1:7" x14ac:dyDescent="0.3">
      <c r="A2468" t="s">
        <v>34</v>
      </c>
      <c r="B2468" t="s">
        <v>25</v>
      </c>
      <c r="C2468" t="s">
        <v>60</v>
      </c>
      <c r="D2468">
        <v>9436</v>
      </c>
      <c r="E2468">
        <v>11</v>
      </c>
      <c r="F2468" s="1">
        <v>44664</v>
      </c>
      <c r="G2468" t="str">
        <f>IF(COUNTIFS(Table1_3[Country],Table1_3[[#This Row],[Country]],Table1_3[Product],Table1_3[[#This Row],[Product]],Table1_3[Sales Person],Table1_3[[#This Row],[Sales Person]],Table1_3[Amount],"&lt;=100")&gt;=2,"Contract","Deal")</f>
        <v>Deal</v>
      </c>
    </row>
    <row r="2469" spans="1:7" x14ac:dyDescent="0.3">
      <c r="A2469" t="s">
        <v>34</v>
      </c>
      <c r="B2469" t="s">
        <v>25</v>
      </c>
      <c r="C2469" t="s">
        <v>60</v>
      </c>
      <c r="D2469">
        <v>10229.99</v>
      </c>
      <c r="E2469">
        <v>12</v>
      </c>
      <c r="F2469" s="1">
        <v>45029</v>
      </c>
      <c r="G2469" t="str">
        <f>IF(COUNTIFS(Table1_3[Country],Table1_3[[#This Row],[Country]],Table1_3[Product],Table1_3[[#This Row],[Product]],Table1_3[Sales Person],Table1_3[[#This Row],[Sales Person]],Table1_3[Amount],"&lt;=100")&gt;=2,"Contract","Deal")</f>
        <v>Deal</v>
      </c>
    </row>
    <row r="2470" spans="1:7" x14ac:dyDescent="0.3">
      <c r="A2470" t="s">
        <v>34</v>
      </c>
      <c r="B2470" t="s">
        <v>25</v>
      </c>
      <c r="C2470" t="s">
        <v>60</v>
      </c>
      <c r="D2470">
        <v>10927.22</v>
      </c>
      <c r="E2470">
        <v>11</v>
      </c>
      <c r="F2470" s="1">
        <v>45395</v>
      </c>
      <c r="G2470" t="str">
        <f>IF(COUNTIFS(Table1_3[Country],Table1_3[[#This Row],[Country]],Table1_3[Product],Table1_3[[#This Row],[Product]],Table1_3[Sales Person],Table1_3[[#This Row],[Sales Person]],Table1_3[Amount],"&lt;=100")&gt;=2,"Contract","Deal")</f>
        <v>Deal</v>
      </c>
    </row>
    <row r="2471" spans="1:7" x14ac:dyDescent="0.3">
      <c r="A2471" t="s">
        <v>34</v>
      </c>
      <c r="B2471" t="s">
        <v>25</v>
      </c>
      <c r="C2471" t="s">
        <v>8</v>
      </c>
      <c r="D2471">
        <v>1316</v>
      </c>
      <c r="E2471">
        <v>107</v>
      </c>
      <c r="F2471" s="1">
        <v>44592</v>
      </c>
      <c r="G2471" t="str">
        <f>IF(COUNTIFS(Table1_3[Country],Table1_3[[#This Row],[Country]],Table1_3[Product],Table1_3[[#This Row],[Product]],Table1_3[Sales Person],Table1_3[[#This Row],[Sales Person]],Table1_3[Amount],"&lt;=100")&gt;=2,"Contract","Deal")</f>
        <v>Deal</v>
      </c>
    </row>
    <row r="2472" spans="1:7" x14ac:dyDescent="0.3">
      <c r="A2472" t="s">
        <v>34</v>
      </c>
      <c r="B2472" t="s">
        <v>25</v>
      </c>
      <c r="C2472" t="s">
        <v>8</v>
      </c>
      <c r="D2472">
        <v>1461.99</v>
      </c>
      <c r="E2472">
        <v>109</v>
      </c>
      <c r="F2472" s="1">
        <v>44957</v>
      </c>
      <c r="G2472" t="str">
        <f>IF(COUNTIFS(Table1_3[Country],Table1_3[[#This Row],[Country]],Table1_3[Product],Table1_3[[#This Row],[Product]],Table1_3[Sales Person],Table1_3[[#This Row],[Sales Person]],Table1_3[Amount],"&lt;=100")&gt;=2,"Contract","Deal")</f>
        <v>Deal</v>
      </c>
    </row>
    <row r="2473" spans="1:7" x14ac:dyDescent="0.3">
      <c r="A2473" t="s">
        <v>34</v>
      </c>
      <c r="B2473" t="s">
        <v>25</v>
      </c>
      <c r="C2473" t="s">
        <v>8</v>
      </c>
      <c r="D2473">
        <v>1386.1</v>
      </c>
      <c r="E2473">
        <v>104</v>
      </c>
      <c r="F2473" s="1">
        <v>45322</v>
      </c>
      <c r="G2473" t="str">
        <f>IF(COUNTIFS(Table1_3[Country],Table1_3[[#This Row],[Country]],Table1_3[Product],Table1_3[[#This Row],[Product]],Table1_3[Sales Person],Table1_3[[#This Row],[Sales Person]],Table1_3[Amount],"&lt;=100")&gt;=2,"Contract","Deal")</f>
        <v>Deal</v>
      </c>
    </row>
    <row r="2474" spans="1:7" x14ac:dyDescent="0.3">
      <c r="A2474" t="s">
        <v>34</v>
      </c>
      <c r="B2474" t="s">
        <v>25</v>
      </c>
      <c r="C2474" t="s">
        <v>33</v>
      </c>
      <c r="D2474">
        <v>6510</v>
      </c>
      <c r="E2474">
        <v>23</v>
      </c>
      <c r="F2474" s="1">
        <v>44593</v>
      </c>
      <c r="G2474" t="str">
        <f>IF(COUNTIFS(Table1_3[Country],Table1_3[[#This Row],[Country]],Table1_3[Product],Table1_3[[#This Row],[Product]],Table1_3[Sales Person],Table1_3[[#This Row],[Sales Person]],Table1_3[Amount],"&lt;=100")&gt;=2,"Contract","Deal")</f>
        <v>Deal</v>
      </c>
    </row>
    <row r="2475" spans="1:7" x14ac:dyDescent="0.3">
      <c r="A2475" t="s">
        <v>34</v>
      </c>
      <c r="B2475" t="s">
        <v>25</v>
      </c>
      <c r="C2475" t="s">
        <v>33</v>
      </c>
      <c r="D2475">
        <v>6811.37</v>
      </c>
      <c r="E2475">
        <v>25</v>
      </c>
      <c r="F2475" s="1">
        <v>44958</v>
      </c>
      <c r="G2475" t="str">
        <f>IF(COUNTIFS(Table1_3[Country],Table1_3[[#This Row],[Country]],Table1_3[Product],Table1_3[[#This Row],[Product]],Table1_3[Sales Person],Table1_3[[#This Row],[Sales Person]],Table1_3[Amount],"&lt;=100")&gt;=2,"Contract","Deal")</f>
        <v>Deal</v>
      </c>
    </row>
    <row r="2476" spans="1:7" x14ac:dyDescent="0.3">
      <c r="A2476" t="s">
        <v>34</v>
      </c>
      <c r="B2476" t="s">
        <v>25</v>
      </c>
      <c r="C2476" t="s">
        <v>33</v>
      </c>
      <c r="D2476">
        <v>7459.88</v>
      </c>
      <c r="E2476">
        <v>23</v>
      </c>
      <c r="F2476" s="1">
        <v>45323</v>
      </c>
      <c r="G2476" t="str">
        <f>IF(COUNTIFS(Table1_3[Country],Table1_3[[#This Row],[Country]],Table1_3[Product],Table1_3[[#This Row],[Product]],Table1_3[Sales Person],Table1_3[[#This Row],[Sales Person]],Table1_3[Amount],"&lt;=100")&gt;=2,"Contract","Deal")</f>
        <v>Deal</v>
      </c>
    </row>
    <row r="2477" spans="1:7" x14ac:dyDescent="0.3">
      <c r="A2477" t="s">
        <v>34</v>
      </c>
      <c r="B2477" t="s">
        <v>25</v>
      </c>
      <c r="C2477" t="s">
        <v>42</v>
      </c>
      <c r="D2477">
        <v>5075</v>
      </c>
      <c r="E2477">
        <v>256</v>
      </c>
      <c r="F2477" s="1">
        <v>44743</v>
      </c>
      <c r="G2477" t="str">
        <f>IF(COUNTIFS(Table1_3[Country],Table1_3[[#This Row],[Country]],Table1_3[Product],Table1_3[[#This Row],[Product]],Table1_3[Sales Person],Table1_3[[#This Row],[Sales Person]],Table1_3[Amount],"&lt;=100")&gt;=2,"Contract","Deal")</f>
        <v>Deal</v>
      </c>
    </row>
    <row r="2478" spans="1:7" x14ac:dyDescent="0.3">
      <c r="A2478" t="s">
        <v>34</v>
      </c>
      <c r="B2478" t="s">
        <v>25</v>
      </c>
      <c r="C2478" t="s">
        <v>42</v>
      </c>
      <c r="D2478">
        <v>5098.29</v>
      </c>
      <c r="E2478">
        <v>276</v>
      </c>
      <c r="F2478" s="1">
        <v>45108</v>
      </c>
      <c r="G2478" t="str">
        <f>IF(COUNTIFS(Table1_3[Country],Table1_3[[#This Row],[Country]],Table1_3[Product],Table1_3[[#This Row],[Product]],Table1_3[Sales Person],Table1_3[[#This Row],[Sales Person]],Table1_3[Amount],"&lt;=100")&gt;=2,"Contract","Deal")</f>
        <v>Deal</v>
      </c>
    </row>
    <row r="2479" spans="1:7" x14ac:dyDescent="0.3">
      <c r="A2479" t="s">
        <v>34</v>
      </c>
      <c r="B2479" t="s">
        <v>25</v>
      </c>
      <c r="C2479" t="s">
        <v>42</v>
      </c>
      <c r="D2479">
        <v>5318</v>
      </c>
      <c r="E2479">
        <v>281</v>
      </c>
      <c r="F2479" s="1">
        <v>45474</v>
      </c>
      <c r="G2479" t="str">
        <f>IF(COUNTIFS(Table1_3[Country],Table1_3[[#This Row],[Country]],Table1_3[Product],Table1_3[[#This Row],[Product]],Table1_3[Sales Person],Table1_3[[#This Row],[Sales Person]],Table1_3[Amount],"&lt;=100")&gt;=2,"Contract","Deal")</f>
        <v>Deal</v>
      </c>
    </row>
    <row r="2480" spans="1:7" x14ac:dyDescent="0.3">
      <c r="A2480" t="s">
        <v>34</v>
      </c>
      <c r="B2480" t="s">
        <v>25</v>
      </c>
      <c r="C2480" t="s">
        <v>59</v>
      </c>
      <c r="D2480">
        <v>3171</v>
      </c>
      <c r="E2480">
        <v>246</v>
      </c>
      <c r="F2480" s="1">
        <v>44617</v>
      </c>
      <c r="G2480" t="str">
        <f>IF(COUNTIFS(Table1_3[Country],Table1_3[[#This Row],[Country]],Table1_3[Product],Table1_3[[#This Row],[Product]],Table1_3[Sales Person],Table1_3[[#This Row],[Sales Person]],Table1_3[Amount],"&lt;=100")&gt;=2,"Contract","Deal")</f>
        <v>Deal</v>
      </c>
    </row>
    <row r="2481" spans="1:7" x14ac:dyDescent="0.3">
      <c r="A2481" t="s">
        <v>34</v>
      </c>
      <c r="B2481" t="s">
        <v>25</v>
      </c>
      <c r="C2481" t="s">
        <v>59</v>
      </c>
      <c r="D2481">
        <v>3364.28</v>
      </c>
      <c r="E2481">
        <v>265</v>
      </c>
      <c r="F2481" s="1">
        <v>44982</v>
      </c>
      <c r="G2481" t="str">
        <f>IF(COUNTIFS(Table1_3[Country],Table1_3[[#This Row],[Country]],Table1_3[Product],Table1_3[[#This Row],[Product]],Table1_3[Sales Person],Table1_3[[#This Row],[Sales Person]],Table1_3[Amount],"&lt;=100")&gt;=2,"Contract","Deal")</f>
        <v>Deal</v>
      </c>
    </row>
    <row r="2482" spans="1:7" x14ac:dyDescent="0.3">
      <c r="A2482" t="s">
        <v>34</v>
      </c>
      <c r="B2482" t="s">
        <v>25</v>
      </c>
      <c r="C2482" t="s">
        <v>59</v>
      </c>
      <c r="D2482">
        <v>3356.27</v>
      </c>
      <c r="E2482">
        <v>238</v>
      </c>
      <c r="F2482" s="1">
        <v>45347</v>
      </c>
      <c r="G2482" t="str">
        <f>IF(COUNTIFS(Table1_3[Country],Table1_3[[#This Row],[Country]],Table1_3[Product],Table1_3[[#This Row],[Product]],Table1_3[Sales Person],Table1_3[[#This Row],[Sales Person]],Table1_3[Amount],"&lt;=100")&gt;=2,"Contract","Deal")</f>
        <v>Deal</v>
      </c>
    </row>
    <row r="2483" spans="1:7" x14ac:dyDescent="0.3">
      <c r="A2483" t="s">
        <v>34</v>
      </c>
      <c r="B2483" t="s">
        <v>7</v>
      </c>
      <c r="C2483" t="s">
        <v>26</v>
      </c>
      <c r="D2483">
        <v>5502</v>
      </c>
      <c r="E2483">
        <v>99</v>
      </c>
      <c r="F2483" s="1">
        <v>44613</v>
      </c>
      <c r="G2483" t="str">
        <f>IF(COUNTIFS(Table1_3[Country],Table1_3[[#This Row],[Country]],Table1_3[Product],Table1_3[[#This Row],[Product]],Table1_3[Sales Person],Table1_3[[#This Row],[Sales Person]],Table1_3[Amount],"&lt;=100")&gt;=2,"Contract","Deal")</f>
        <v>Deal</v>
      </c>
    </row>
    <row r="2484" spans="1:7" x14ac:dyDescent="0.3">
      <c r="A2484" t="s">
        <v>34</v>
      </c>
      <c r="B2484" t="s">
        <v>7</v>
      </c>
      <c r="C2484" t="s">
        <v>26</v>
      </c>
      <c r="D2484">
        <v>6160.89</v>
      </c>
      <c r="E2484">
        <v>95</v>
      </c>
      <c r="F2484" s="1">
        <v>44978</v>
      </c>
      <c r="G2484" t="str">
        <f>IF(COUNTIFS(Table1_3[Country],Table1_3[[#This Row],[Country]],Table1_3[Product],Table1_3[[#This Row],[Product]],Table1_3[Sales Person],Table1_3[[#This Row],[Sales Person]],Table1_3[Amount],"&lt;=100")&gt;=2,"Contract","Deal")</f>
        <v>Deal</v>
      </c>
    </row>
    <row r="2485" spans="1:7" x14ac:dyDescent="0.3">
      <c r="A2485" t="s">
        <v>34</v>
      </c>
      <c r="B2485" t="s">
        <v>7</v>
      </c>
      <c r="C2485" t="s">
        <v>26</v>
      </c>
      <c r="D2485">
        <v>6654.14</v>
      </c>
      <c r="E2485">
        <v>102</v>
      </c>
      <c r="F2485" s="1">
        <v>45343</v>
      </c>
      <c r="G2485" t="str">
        <f>IF(COUNTIFS(Table1_3[Country],Table1_3[[#This Row],[Country]],Table1_3[Product],Table1_3[[#This Row],[Product]],Table1_3[Sales Person],Table1_3[[#This Row],[Sales Person]],Table1_3[Amount],"&lt;=100")&gt;=2,"Contract","Deal")</f>
        <v>Deal</v>
      </c>
    </row>
    <row r="2486" spans="1:7" x14ac:dyDescent="0.3">
      <c r="A2486" t="s">
        <v>34</v>
      </c>
      <c r="B2486" t="s">
        <v>7</v>
      </c>
      <c r="C2486" t="s">
        <v>38</v>
      </c>
      <c r="D2486">
        <v>3423</v>
      </c>
      <c r="E2486">
        <v>100</v>
      </c>
      <c r="F2486" s="1">
        <v>44708</v>
      </c>
      <c r="G2486" t="str">
        <f>IF(COUNTIFS(Table1_3[Country],Table1_3[[#This Row],[Country]],Table1_3[Product],Table1_3[[#This Row],[Product]],Table1_3[Sales Person],Table1_3[[#This Row],[Sales Person]],Table1_3[Amount],"&lt;=100")&gt;=2,"Contract","Deal")</f>
        <v>Deal</v>
      </c>
    </row>
    <row r="2487" spans="1:7" x14ac:dyDescent="0.3">
      <c r="A2487" t="s">
        <v>34</v>
      </c>
      <c r="B2487" t="s">
        <v>7</v>
      </c>
      <c r="C2487" t="s">
        <v>38</v>
      </c>
      <c r="D2487">
        <v>3666.04</v>
      </c>
      <c r="E2487">
        <v>107</v>
      </c>
      <c r="F2487" s="1">
        <v>45073</v>
      </c>
      <c r="G2487" t="str">
        <f>IF(COUNTIFS(Table1_3[Country],Table1_3[[#This Row],[Country]],Table1_3[Product],Table1_3[[#This Row],[Product]],Table1_3[Sales Person],Table1_3[[#This Row],[Sales Person]],Table1_3[Amount],"&lt;=100")&gt;=2,"Contract","Deal")</f>
        <v>Deal</v>
      </c>
    </row>
    <row r="2488" spans="1:7" x14ac:dyDescent="0.3">
      <c r="A2488" t="s">
        <v>34</v>
      </c>
      <c r="B2488" t="s">
        <v>7</v>
      </c>
      <c r="C2488" t="s">
        <v>38</v>
      </c>
      <c r="D2488">
        <v>3780.02</v>
      </c>
      <c r="E2488">
        <v>97</v>
      </c>
      <c r="F2488" s="1">
        <v>45439</v>
      </c>
      <c r="G2488" t="str">
        <f>IF(COUNTIFS(Table1_3[Country],Table1_3[[#This Row],[Country]],Table1_3[Product],Table1_3[[#This Row],[Product]],Table1_3[Sales Person],Table1_3[[#This Row],[Sales Person]],Table1_3[Amount],"&lt;=100")&gt;=2,"Contract","Deal")</f>
        <v>Deal</v>
      </c>
    </row>
    <row r="2489" spans="1:7" x14ac:dyDescent="0.3">
      <c r="A2489" t="s">
        <v>34</v>
      </c>
      <c r="B2489" t="s">
        <v>7</v>
      </c>
      <c r="C2489" t="s">
        <v>60</v>
      </c>
      <c r="D2489">
        <v>8379</v>
      </c>
      <c r="E2489">
        <v>43</v>
      </c>
      <c r="F2489" s="1">
        <v>44727</v>
      </c>
      <c r="G2489" t="str">
        <f>IF(COUNTIFS(Table1_3[Country],Table1_3[[#This Row],[Country]],Table1_3[Product],Table1_3[[#This Row],[Product]],Table1_3[Sales Person],Table1_3[[#This Row],[Sales Person]],Table1_3[Amount],"&lt;=100")&gt;=2,"Contract","Deal")</f>
        <v>Deal</v>
      </c>
    </row>
    <row r="2490" spans="1:7" x14ac:dyDescent="0.3">
      <c r="A2490" t="s">
        <v>34</v>
      </c>
      <c r="B2490" t="s">
        <v>7</v>
      </c>
      <c r="C2490" t="s">
        <v>60</v>
      </c>
      <c r="D2490">
        <v>8519.3700000000008</v>
      </c>
      <c r="E2490">
        <v>45</v>
      </c>
      <c r="F2490" s="1">
        <v>45092</v>
      </c>
      <c r="G2490" t="str">
        <f>IF(COUNTIFS(Table1_3[Country],Table1_3[[#This Row],[Country]],Table1_3[Product],Table1_3[[#This Row],[Product]],Table1_3[Sales Person],Table1_3[[#This Row],[Sales Person]],Table1_3[Amount],"&lt;=100")&gt;=2,"Contract","Deal")</f>
        <v>Deal</v>
      </c>
    </row>
    <row r="2491" spans="1:7" x14ac:dyDescent="0.3">
      <c r="A2491" t="s">
        <v>34</v>
      </c>
      <c r="B2491" t="s">
        <v>7</v>
      </c>
      <c r="C2491" t="s">
        <v>60</v>
      </c>
      <c r="D2491">
        <v>9852.89</v>
      </c>
      <c r="E2491">
        <v>43</v>
      </c>
      <c r="F2491" s="1">
        <v>45458</v>
      </c>
      <c r="G2491" t="str">
        <f>IF(COUNTIFS(Table1_3[Country],Table1_3[[#This Row],[Country]],Table1_3[Product],Table1_3[[#This Row],[Product]],Table1_3[Sales Person],Table1_3[[#This Row],[Sales Person]],Table1_3[Amount],"&lt;=100")&gt;=2,"Contract","Deal")</f>
        <v>Deal</v>
      </c>
    </row>
    <row r="2492" spans="1:7" x14ac:dyDescent="0.3">
      <c r="A2492" t="s">
        <v>34</v>
      </c>
      <c r="B2492" t="s">
        <v>7</v>
      </c>
      <c r="C2492" t="s">
        <v>46</v>
      </c>
      <c r="D2492">
        <v>3563</v>
      </c>
      <c r="E2492">
        <v>284</v>
      </c>
      <c r="F2492" s="1">
        <v>44571</v>
      </c>
      <c r="G2492" t="str">
        <f>IF(COUNTIFS(Table1_3[Country],Table1_3[[#This Row],[Country]],Table1_3[Product],Table1_3[[#This Row],[Product]],Table1_3[Sales Person],Table1_3[[#This Row],[Sales Person]],Table1_3[Amount],"&lt;=100")&gt;=2,"Contract","Deal")</f>
        <v>Deal</v>
      </c>
    </row>
    <row r="2493" spans="1:7" x14ac:dyDescent="0.3">
      <c r="A2493" t="s">
        <v>34</v>
      </c>
      <c r="B2493" t="s">
        <v>7</v>
      </c>
      <c r="C2493" t="s">
        <v>46</v>
      </c>
      <c r="D2493">
        <v>3737.68</v>
      </c>
      <c r="E2493">
        <v>282</v>
      </c>
      <c r="F2493" s="1">
        <v>44936</v>
      </c>
      <c r="G2493" t="str">
        <f>IF(COUNTIFS(Table1_3[Country],Table1_3[[#This Row],[Country]],Table1_3[Product],Table1_3[[#This Row],[Product]],Table1_3[Sales Person],Table1_3[[#This Row],[Sales Person]],Table1_3[Amount],"&lt;=100")&gt;=2,"Contract","Deal")</f>
        <v>Deal</v>
      </c>
    </row>
    <row r="2494" spans="1:7" x14ac:dyDescent="0.3">
      <c r="A2494" t="s">
        <v>34</v>
      </c>
      <c r="B2494" t="s">
        <v>7</v>
      </c>
      <c r="C2494" t="s">
        <v>46</v>
      </c>
      <c r="D2494">
        <v>3951.74</v>
      </c>
      <c r="E2494">
        <v>287</v>
      </c>
      <c r="F2494" s="1">
        <v>45301</v>
      </c>
      <c r="G2494" t="str">
        <f>IF(COUNTIFS(Table1_3[Country],Table1_3[[#This Row],[Country]],Table1_3[Product],Table1_3[[#This Row],[Product]],Table1_3[Sales Person],Table1_3[[#This Row],[Sales Person]],Table1_3[Amount],"&lt;=100")&gt;=2,"Contract","Deal")</f>
        <v>Deal</v>
      </c>
    </row>
    <row r="2495" spans="1:7" x14ac:dyDescent="0.3">
      <c r="A2495" t="s">
        <v>34</v>
      </c>
      <c r="B2495" t="s">
        <v>7</v>
      </c>
      <c r="C2495" t="s">
        <v>8</v>
      </c>
      <c r="D2495">
        <v>6384</v>
      </c>
      <c r="E2495">
        <v>2</v>
      </c>
      <c r="F2495" s="1">
        <v>44741</v>
      </c>
      <c r="G2495" t="str">
        <f>IF(COUNTIFS(Table1_3[Country],Table1_3[[#This Row],[Country]],Table1_3[Product],Table1_3[[#This Row],[Product]],Table1_3[Sales Person],Table1_3[[#This Row],[Sales Person]],Table1_3[Amount],"&lt;=100")&gt;=2,"Contract","Deal")</f>
        <v>Deal</v>
      </c>
    </row>
    <row r="2496" spans="1:7" x14ac:dyDescent="0.3">
      <c r="A2496" t="s">
        <v>34</v>
      </c>
      <c r="B2496" t="s">
        <v>7</v>
      </c>
      <c r="C2496" t="s">
        <v>8</v>
      </c>
      <c r="D2496">
        <v>6540.3</v>
      </c>
      <c r="E2496">
        <v>2</v>
      </c>
      <c r="F2496" s="1">
        <v>45106</v>
      </c>
      <c r="G2496" t="str">
        <f>IF(COUNTIFS(Table1_3[Country],Table1_3[[#This Row],[Country]],Table1_3[Product],Table1_3[[#This Row],[Product]],Table1_3[Sales Person],Table1_3[[#This Row],[Sales Person]],Table1_3[Amount],"&lt;=100")&gt;=2,"Contract","Deal")</f>
        <v>Deal</v>
      </c>
    </row>
    <row r="2497" spans="1:7" x14ac:dyDescent="0.3">
      <c r="A2497" t="s">
        <v>34</v>
      </c>
      <c r="B2497" t="s">
        <v>7</v>
      </c>
      <c r="C2497" t="s">
        <v>8</v>
      </c>
      <c r="D2497">
        <v>6767.42</v>
      </c>
      <c r="E2497">
        <v>2</v>
      </c>
      <c r="F2497" s="1">
        <v>45472</v>
      </c>
      <c r="G2497" t="str">
        <f>IF(COUNTIFS(Table1_3[Country],Table1_3[[#This Row],[Country]],Table1_3[Product],Table1_3[[#This Row],[Product]],Table1_3[Sales Person],Table1_3[[#This Row],[Sales Person]],Table1_3[Amount],"&lt;=100")&gt;=2,"Contract","Deal")</f>
        <v>Deal</v>
      </c>
    </row>
    <row r="2498" spans="1:7" x14ac:dyDescent="0.3">
      <c r="A2498" t="s">
        <v>34</v>
      </c>
      <c r="B2498" t="s">
        <v>32</v>
      </c>
      <c r="C2498" t="s">
        <v>26</v>
      </c>
      <c r="D2498">
        <v>1736</v>
      </c>
      <c r="E2498">
        <v>13</v>
      </c>
      <c r="F2498" s="1">
        <v>44670</v>
      </c>
      <c r="G2498" t="str">
        <f>IF(COUNTIFS(Table1_3[Country],Table1_3[[#This Row],[Country]],Table1_3[Product],Table1_3[[#This Row],[Product]],Table1_3[Sales Person],Table1_3[[#This Row],[Sales Person]],Table1_3[Amount],"&lt;=100")&gt;=2,"Contract","Deal")</f>
        <v>Deal</v>
      </c>
    </row>
    <row r="2499" spans="1:7" x14ac:dyDescent="0.3">
      <c r="A2499" t="s">
        <v>34</v>
      </c>
      <c r="B2499" t="s">
        <v>32</v>
      </c>
      <c r="C2499" t="s">
        <v>26</v>
      </c>
      <c r="D2499">
        <v>1960.1</v>
      </c>
      <c r="E2499">
        <v>14</v>
      </c>
      <c r="F2499" s="1">
        <v>45035</v>
      </c>
      <c r="G2499" t="str">
        <f>IF(COUNTIFS(Table1_3[Country],Table1_3[[#This Row],[Country]],Table1_3[Product],Table1_3[[#This Row],[Product]],Table1_3[Sales Person],Table1_3[[#This Row],[Sales Person]],Table1_3[Amount],"&lt;=100")&gt;=2,"Contract","Deal")</f>
        <v>Deal</v>
      </c>
    </row>
    <row r="2500" spans="1:7" x14ac:dyDescent="0.3">
      <c r="A2500" t="s">
        <v>34</v>
      </c>
      <c r="B2500" t="s">
        <v>32</v>
      </c>
      <c r="C2500" t="s">
        <v>26</v>
      </c>
      <c r="D2500">
        <v>1945.05</v>
      </c>
      <c r="E2500">
        <v>14</v>
      </c>
      <c r="F2500" s="1">
        <v>45401</v>
      </c>
      <c r="G2500" t="str">
        <f>IF(COUNTIFS(Table1_3[Country],Table1_3[[#This Row],[Country]],Table1_3[Product],Table1_3[[#This Row],[Product]],Table1_3[Sales Person],Table1_3[[#This Row],[Sales Person]],Table1_3[Amount],"&lt;=100")&gt;=2,"Contract","Deal")</f>
        <v>Deal</v>
      </c>
    </row>
    <row r="2501" spans="1:7" x14ac:dyDescent="0.3">
      <c r="A2501" t="s">
        <v>34</v>
      </c>
      <c r="B2501" t="s">
        <v>32</v>
      </c>
      <c r="C2501" t="s">
        <v>11</v>
      </c>
      <c r="D2501">
        <v>2632</v>
      </c>
      <c r="E2501">
        <v>108</v>
      </c>
      <c r="F2501" s="1">
        <v>44692</v>
      </c>
      <c r="G2501" t="str">
        <f>IF(COUNTIFS(Table1_3[Country],Table1_3[[#This Row],[Country]],Table1_3[Product],Table1_3[[#This Row],[Product]],Table1_3[Sales Person],Table1_3[[#This Row],[Sales Person]],Table1_3[Amount],"&lt;=100")&gt;=2,"Contract","Deal")</f>
        <v>Deal</v>
      </c>
    </row>
    <row r="2502" spans="1:7" x14ac:dyDescent="0.3">
      <c r="A2502" t="s">
        <v>34</v>
      </c>
      <c r="B2502" t="s">
        <v>32</v>
      </c>
      <c r="C2502" t="s">
        <v>11</v>
      </c>
      <c r="D2502">
        <v>2700.61</v>
      </c>
      <c r="E2502">
        <v>112</v>
      </c>
      <c r="F2502" s="1">
        <v>45057</v>
      </c>
      <c r="G2502" t="str">
        <f>IF(COUNTIFS(Table1_3[Country],Table1_3[[#This Row],[Country]],Table1_3[Product],Table1_3[[#This Row],[Product]],Table1_3[Sales Person],Table1_3[[#This Row],[Sales Person]],Table1_3[Amount],"&lt;=100")&gt;=2,"Contract","Deal")</f>
        <v>Deal</v>
      </c>
    </row>
    <row r="2503" spans="1:7" x14ac:dyDescent="0.3">
      <c r="A2503" t="s">
        <v>34</v>
      </c>
      <c r="B2503" t="s">
        <v>32</v>
      </c>
      <c r="C2503" t="s">
        <v>11</v>
      </c>
      <c r="D2503">
        <v>2847.18</v>
      </c>
      <c r="E2503">
        <v>115</v>
      </c>
      <c r="F2503" s="1">
        <v>45423</v>
      </c>
      <c r="G2503" t="str">
        <f>IF(COUNTIFS(Table1_3[Country],Table1_3[[#This Row],[Country]],Table1_3[Product],Table1_3[[#This Row],[Product]],Table1_3[Sales Person],Table1_3[[#This Row],[Sales Person]],Table1_3[Amount],"&lt;=100")&gt;=2,"Contract","Deal")</f>
        <v>Deal</v>
      </c>
    </row>
    <row r="2504" spans="1:7" x14ac:dyDescent="0.3">
      <c r="A2504" t="s">
        <v>34</v>
      </c>
      <c r="B2504" t="s">
        <v>32</v>
      </c>
      <c r="C2504" t="s">
        <v>65</v>
      </c>
      <c r="D2504">
        <v>6986</v>
      </c>
      <c r="E2504">
        <v>368</v>
      </c>
      <c r="F2504" s="1">
        <v>44589</v>
      </c>
      <c r="G2504" t="str">
        <f>IF(COUNTIFS(Table1_3[Country],Table1_3[[#This Row],[Country]],Table1_3[Product],Table1_3[[#This Row],[Product]],Table1_3[Sales Person],Table1_3[[#This Row],[Sales Person]],Table1_3[Amount],"&lt;=100")&gt;=2,"Contract","Deal")</f>
        <v>Deal</v>
      </c>
    </row>
    <row r="2505" spans="1:7" x14ac:dyDescent="0.3">
      <c r="A2505" t="s">
        <v>34</v>
      </c>
      <c r="B2505" t="s">
        <v>32</v>
      </c>
      <c r="C2505" t="s">
        <v>65</v>
      </c>
      <c r="D2505">
        <v>7613.37</v>
      </c>
      <c r="E2505">
        <v>370</v>
      </c>
      <c r="F2505" s="1">
        <v>44954</v>
      </c>
      <c r="G2505" t="str">
        <f>IF(COUNTIFS(Table1_3[Country],Table1_3[[#This Row],[Country]],Table1_3[Product],Table1_3[[#This Row],[Product]],Table1_3[Sales Person],Table1_3[[#This Row],[Sales Person]],Table1_3[Amount],"&lt;=100")&gt;=2,"Contract","Deal")</f>
        <v>Deal</v>
      </c>
    </row>
    <row r="2506" spans="1:7" x14ac:dyDescent="0.3">
      <c r="A2506" t="s">
        <v>34</v>
      </c>
      <c r="B2506" t="s">
        <v>32</v>
      </c>
      <c r="C2506" t="s">
        <v>65</v>
      </c>
      <c r="D2506">
        <v>7400.07</v>
      </c>
      <c r="E2506">
        <v>383</v>
      </c>
      <c r="F2506" s="1">
        <v>45319</v>
      </c>
      <c r="G2506" t="str">
        <f>IF(COUNTIFS(Table1_3[Country],Table1_3[[#This Row],[Country]],Table1_3[Product],Table1_3[[#This Row],[Product]],Table1_3[Sales Person],Table1_3[[#This Row],[Sales Person]],Table1_3[Amount],"&lt;=100")&gt;=2,"Contract","Deal")</f>
        <v>Deal</v>
      </c>
    </row>
    <row r="2507" spans="1:7" x14ac:dyDescent="0.3">
      <c r="A2507" t="s">
        <v>34</v>
      </c>
      <c r="B2507" t="s">
        <v>32</v>
      </c>
      <c r="C2507" t="s">
        <v>36</v>
      </c>
      <c r="D2507">
        <v>6328</v>
      </c>
      <c r="E2507">
        <v>51</v>
      </c>
      <c r="F2507" s="1">
        <v>44642</v>
      </c>
      <c r="G2507" t="str">
        <f>IF(COUNTIFS(Table1_3[Country],Table1_3[[#This Row],[Country]],Table1_3[Product],Table1_3[[#This Row],[Product]],Table1_3[Sales Person],Table1_3[[#This Row],[Sales Person]],Table1_3[Amount],"&lt;=100")&gt;=2,"Contract","Deal")</f>
        <v>Deal</v>
      </c>
    </row>
    <row r="2508" spans="1:7" x14ac:dyDescent="0.3">
      <c r="A2508" t="s">
        <v>34</v>
      </c>
      <c r="B2508" t="s">
        <v>32</v>
      </c>
      <c r="C2508" t="s">
        <v>36</v>
      </c>
      <c r="D2508">
        <v>7219.96</v>
      </c>
      <c r="E2508">
        <v>53</v>
      </c>
      <c r="F2508" s="1">
        <v>45007</v>
      </c>
      <c r="G2508" t="str">
        <f>IF(COUNTIFS(Table1_3[Country],Table1_3[[#This Row],[Country]],Table1_3[Product],Table1_3[[#This Row],[Product]],Table1_3[Sales Person],Table1_3[[#This Row],[Sales Person]],Table1_3[Amount],"&lt;=100")&gt;=2,"Contract","Deal")</f>
        <v>Deal</v>
      </c>
    </row>
    <row r="2509" spans="1:7" x14ac:dyDescent="0.3">
      <c r="A2509" t="s">
        <v>34</v>
      </c>
      <c r="B2509" t="s">
        <v>32</v>
      </c>
      <c r="C2509" t="s">
        <v>36</v>
      </c>
      <c r="D2509">
        <v>7511.77</v>
      </c>
      <c r="E2509">
        <v>49</v>
      </c>
      <c r="F2509" s="1">
        <v>45373</v>
      </c>
      <c r="G2509" t="str">
        <f>IF(COUNTIFS(Table1_3[Country],Table1_3[[#This Row],[Country]],Table1_3[Product],Table1_3[[#This Row],[Product]],Table1_3[Sales Person],Table1_3[[#This Row],[Sales Person]],Table1_3[Amount],"&lt;=100")&gt;=2,"Contract","Deal")</f>
        <v>Deal</v>
      </c>
    </row>
    <row r="2510" spans="1:7" x14ac:dyDescent="0.3">
      <c r="A2510" t="s">
        <v>34</v>
      </c>
      <c r="B2510" t="s">
        <v>32</v>
      </c>
      <c r="C2510" t="s">
        <v>60</v>
      </c>
      <c r="D2510">
        <v>5425</v>
      </c>
      <c r="E2510">
        <v>96</v>
      </c>
      <c r="F2510" s="1">
        <v>44746</v>
      </c>
      <c r="G2510" t="str">
        <f>IF(COUNTIFS(Table1_3[Country],Table1_3[[#This Row],[Country]],Table1_3[Product],Table1_3[[#This Row],[Product]],Table1_3[Sales Person],Table1_3[[#This Row],[Sales Person]],Table1_3[Amount],"&lt;=100")&gt;=2,"Contract","Deal")</f>
        <v>Deal</v>
      </c>
    </row>
    <row r="2511" spans="1:7" x14ac:dyDescent="0.3">
      <c r="A2511" t="s">
        <v>34</v>
      </c>
      <c r="B2511" t="s">
        <v>32</v>
      </c>
      <c r="C2511" t="s">
        <v>60</v>
      </c>
      <c r="D2511">
        <v>6136.99</v>
      </c>
      <c r="E2511">
        <v>94</v>
      </c>
      <c r="F2511" s="1">
        <v>45111</v>
      </c>
      <c r="G2511" t="str">
        <f>IF(COUNTIFS(Table1_3[Country],Table1_3[[#This Row],[Country]],Table1_3[Product],Table1_3[[#This Row],[Product]],Table1_3[Sales Person],Table1_3[[#This Row],[Sales Person]],Table1_3[Amount],"&lt;=100")&gt;=2,"Contract","Deal")</f>
        <v>Deal</v>
      </c>
    </row>
    <row r="2512" spans="1:7" x14ac:dyDescent="0.3">
      <c r="A2512" t="s">
        <v>34</v>
      </c>
      <c r="B2512" t="s">
        <v>32</v>
      </c>
      <c r="C2512" t="s">
        <v>60</v>
      </c>
      <c r="D2512">
        <v>5910.67</v>
      </c>
      <c r="E2512">
        <v>100</v>
      </c>
      <c r="F2512" s="1">
        <v>45477</v>
      </c>
      <c r="G2512" t="str">
        <f>IF(COUNTIFS(Table1_3[Country],Table1_3[[#This Row],[Country]],Table1_3[Product],Table1_3[[#This Row],[Product]],Table1_3[Sales Person],Table1_3[[#This Row],[Sales Person]],Table1_3[Amount],"&lt;=100")&gt;=2,"Contract","Deal")</f>
        <v>Deal</v>
      </c>
    </row>
    <row r="2513" spans="1:7" x14ac:dyDescent="0.3">
      <c r="A2513" t="s">
        <v>34</v>
      </c>
      <c r="B2513" t="s">
        <v>32</v>
      </c>
      <c r="C2513" t="s">
        <v>13</v>
      </c>
      <c r="D2513">
        <v>1162</v>
      </c>
      <c r="E2513">
        <v>18</v>
      </c>
      <c r="F2513" s="1">
        <v>44704</v>
      </c>
      <c r="G2513" t="str">
        <f>IF(COUNTIFS(Table1_3[Country],Table1_3[[#This Row],[Country]],Table1_3[Product],Table1_3[[#This Row],[Product]],Table1_3[Sales Person],Table1_3[[#This Row],[Sales Person]],Table1_3[Amount],"&lt;=100")&gt;=2,"Contract","Deal")</f>
        <v>Deal</v>
      </c>
    </row>
    <row r="2514" spans="1:7" x14ac:dyDescent="0.3">
      <c r="A2514" t="s">
        <v>34</v>
      </c>
      <c r="B2514" t="s">
        <v>32</v>
      </c>
      <c r="C2514" t="s">
        <v>13</v>
      </c>
      <c r="D2514">
        <v>1337.36</v>
      </c>
      <c r="E2514">
        <v>18</v>
      </c>
      <c r="F2514" s="1">
        <v>45069</v>
      </c>
      <c r="G2514" t="str">
        <f>IF(COUNTIFS(Table1_3[Country],Table1_3[[#This Row],[Country]],Table1_3[Product],Table1_3[[#This Row],[Product]],Table1_3[Sales Person],Table1_3[[#This Row],[Sales Person]],Table1_3[Amount],"&lt;=100")&gt;=2,"Contract","Deal")</f>
        <v>Deal</v>
      </c>
    </row>
    <row r="2515" spans="1:7" x14ac:dyDescent="0.3">
      <c r="A2515" t="s">
        <v>34</v>
      </c>
      <c r="B2515" t="s">
        <v>32</v>
      </c>
      <c r="C2515" t="s">
        <v>13</v>
      </c>
      <c r="D2515">
        <v>1263.98</v>
      </c>
      <c r="E2515">
        <v>19</v>
      </c>
      <c r="F2515" s="1">
        <v>45435</v>
      </c>
      <c r="G2515" t="str">
        <f>IF(COUNTIFS(Table1_3[Country],Table1_3[[#This Row],[Country]],Table1_3[Product],Table1_3[[#This Row],[Product]],Table1_3[Sales Person],Table1_3[[#This Row],[Sales Person]],Table1_3[Amount],"&lt;=100")&gt;=2,"Contract","Deal")</f>
        <v>Deal</v>
      </c>
    </row>
    <row r="2516" spans="1:7" x14ac:dyDescent="0.3">
      <c r="A2516" t="s">
        <v>40</v>
      </c>
      <c r="B2516" t="s">
        <v>15</v>
      </c>
      <c r="C2516" t="s">
        <v>87</v>
      </c>
      <c r="D2516">
        <v>5810</v>
      </c>
      <c r="E2516">
        <v>101</v>
      </c>
      <c r="F2516" s="1">
        <v>44574</v>
      </c>
      <c r="G2516" t="str">
        <f>IF(COUNTIFS(Table1_3[Country],Table1_3[[#This Row],[Country]],Table1_3[Product],Table1_3[[#This Row],[Product]],Table1_3[Sales Person],Table1_3[[#This Row],[Sales Person]],Table1_3[Amount],"&lt;=100")&gt;=2,"Contract","Deal")</f>
        <v>Deal</v>
      </c>
    </row>
    <row r="2517" spans="1:7" x14ac:dyDescent="0.3">
      <c r="A2517" t="s">
        <v>40</v>
      </c>
      <c r="B2517" t="s">
        <v>15</v>
      </c>
      <c r="C2517" t="s">
        <v>87</v>
      </c>
      <c r="D2517">
        <v>5891.94</v>
      </c>
      <c r="E2517">
        <v>109</v>
      </c>
      <c r="F2517" s="1">
        <v>44939</v>
      </c>
      <c r="G2517" t="str">
        <f>IF(COUNTIFS(Table1_3[Country],Table1_3[[#This Row],[Country]],Table1_3[Product],Table1_3[[#This Row],[Product]],Table1_3[Sales Person],Table1_3[[#This Row],[Sales Person]],Table1_3[Amount],"&lt;=100")&gt;=2,"Contract","Deal")</f>
        <v>Deal</v>
      </c>
    </row>
    <row r="2518" spans="1:7" x14ac:dyDescent="0.3">
      <c r="A2518" t="s">
        <v>40</v>
      </c>
      <c r="B2518" t="s">
        <v>15</v>
      </c>
      <c r="C2518" t="s">
        <v>87</v>
      </c>
      <c r="D2518">
        <v>6224.33</v>
      </c>
      <c r="E2518">
        <v>100</v>
      </c>
      <c r="F2518" s="1">
        <v>45304</v>
      </c>
      <c r="G2518" t="str">
        <f>IF(COUNTIFS(Table1_3[Country],Table1_3[[#This Row],[Country]],Table1_3[Product],Table1_3[[#This Row],[Product]],Table1_3[Sales Person],Table1_3[[#This Row],[Sales Person]],Table1_3[Amount],"&lt;=100")&gt;=2,"Contract","Deal")</f>
        <v>Deal</v>
      </c>
    </row>
    <row r="2519" spans="1:7" x14ac:dyDescent="0.3">
      <c r="A2519" t="s">
        <v>40</v>
      </c>
      <c r="B2519" t="s">
        <v>15</v>
      </c>
      <c r="C2519" t="s">
        <v>75</v>
      </c>
      <c r="D2519">
        <v>11298</v>
      </c>
      <c r="E2519">
        <v>41</v>
      </c>
      <c r="F2519" s="1">
        <v>44769</v>
      </c>
      <c r="G2519" t="str">
        <f>IF(COUNTIFS(Table1_3[Country],Table1_3[[#This Row],[Country]],Table1_3[Product],Table1_3[[#This Row],[Product]],Table1_3[Sales Person],Table1_3[[#This Row],[Sales Person]],Table1_3[Amount],"&lt;=100")&gt;=2,"Contract","Deal")</f>
        <v>Deal</v>
      </c>
    </row>
    <row r="2520" spans="1:7" x14ac:dyDescent="0.3">
      <c r="A2520" t="s">
        <v>40</v>
      </c>
      <c r="B2520" t="s">
        <v>15</v>
      </c>
      <c r="C2520" t="s">
        <v>75</v>
      </c>
      <c r="D2520">
        <v>12624.64</v>
      </c>
      <c r="E2520">
        <v>41</v>
      </c>
      <c r="F2520" s="1">
        <v>45134</v>
      </c>
      <c r="G2520" t="str">
        <f>IF(COUNTIFS(Table1_3[Country],Table1_3[[#This Row],[Country]],Table1_3[Product],Table1_3[[#This Row],[Product]],Table1_3[Sales Person],Table1_3[[#This Row],[Sales Person]],Table1_3[Amount],"&lt;=100")&gt;=2,"Contract","Deal")</f>
        <v>Deal</v>
      </c>
    </row>
    <row r="2521" spans="1:7" x14ac:dyDescent="0.3">
      <c r="A2521" t="s">
        <v>40</v>
      </c>
      <c r="B2521" t="s">
        <v>15</v>
      </c>
      <c r="C2521" t="s">
        <v>75</v>
      </c>
      <c r="D2521">
        <v>11987.26</v>
      </c>
      <c r="E2521">
        <v>41</v>
      </c>
      <c r="F2521" s="1">
        <v>45500</v>
      </c>
      <c r="G2521" t="str">
        <f>IF(COUNTIFS(Table1_3[Country],Table1_3[[#This Row],[Country]],Table1_3[Product],Table1_3[[#This Row],[Product]],Table1_3[Sales Person],Table1_3[[#This Row],[Sales Person]],Table1_3[Amount],"&lt;=100")&gt;=2,"Contract","Deal")</f>
        <v>Deal</v>
      </c>
    </row>
    <row r="2522" spans="1:7" x14ac:dyDescent="0.3">
      <c r="A2522" t="s">
        <v>40</v>
      </c>
      <c r="B2522" t="s">
        <v>15</v>
      </c>
      <c r="C2522" t="s">
        <v>60</v>
      </c>
      <c r="D2522">
        <v>13076</v>
      </c>
      <c r="E2522">
        <v>236</v>
      </c>
      <c r="F2522" s="1">
        <v>44656</v>
      </c>
      <c r="G2522" t="str">
        <f>IF(COUNTIFS(Table1_3[Country],Table1_3[[#This Row],[Country]],Table1_3[Product],Table1_3[[#This Row],[Product]],Table1_3[Sales Person],Table1_3[[#This Row],[Sales Person]],Table1_3[Amount],"&lt;=100")&gt;=2,"Contract","Deal")</f>
        <v>Deal</v>
      </c>
    </row>
    <row r="2523" spans="1:7" x14ac:dyDescent="0.3">
      <c r="A2523" t="s">
        <v>40</v>
      </c>
      <c r="B2523" t="s">
        <v>15</v>
      </c>
      <c r="C2523" t="s">
        <v>60</v>
      </c>
      <c r="D2523">
        <v>14939.24</v>
      </c>
      <c r="E2523">
        <v>238</v>
      </c>
      <c r="F2523" s="1">
        <v>45021</v>
      </c>
      <c r="G2523" t="str">
        <f>IF(COUNTIFS(Table1_3[Country],Table1_3[[#This Row],[Country]],Table1_3[Product],Table1_3[[#This Row],[Product]],Table1_3[Sales Person],Table1_3[[#This Row],[Sales Person]],Table1_3[Amount],"&lt;=100")&gt;=2,"Contract","Deal")</f>
        <v>Deal</v>
      </c>
    </row>
    <row r="2524" spans="1:7" x14ac:dyDescent="0.3">
      <c r="A2524" t="s">
        <v>40</v>
      </c>
      <c r="B2524" t="s">
        <v>15</v>
      </c>
      <c r="C2524" t="s">
        <v>60</v>
      </c>
      <c r="D2524">
        <v>15245.95</v>
      </c>
      <c r="E2524">
        <v>233</v>
      </c>
      <c r="F2524" s="1">
        <v>45387</v>
      </c>
      <c r="G2524" t="str">
        <f>IF(COUNTIFS(Table1_3[Country],Table1_3[[#This Row],[Country]],Table1_3[Product],Table1_3[[#This Row],[Product]],Table1_3[Sales Person],Table1_3[[#This Row],[Sales Person]],Table1_3[Amount],"&lt;=100")&gt;=2,"Contract","Deal")</f>
        <v>Deal</v>
      </c>
    </row>
    <row r="2525" spans="1:7" x14ac:dyDescent="0.3">
      <c r="A2525" t="s">
        <v>40</v>
      </c>
      <c r="B2525" t="s">
        <v>15</v>
      </c>
      <c r="C2525" t="s">
        <v>46</v>
      </c>
      <c r="D2525">
        <v>2464</v>
      </c>
      <c r="E2525">
        <v>387</v>
      </c>
      <c r="F2525" s="1">
        <v>44770</v>
      </c>
      <c r="G2525" t="str">
        <f>IF(COUNTIFS(Table1_3[Country],Table1_3[[#This Row],[Country]],Table1_3[Product],Table1_3[[#This Row],[Product]],Table1_3[Sales Person],Table1_3[[#This Row],[Sales Person]],Table1_3[Amount],"&lt;=100")&gt;=2,"Contract","Deal")</f>
        <v>Deal</v>
      </c>
    </row>
    <row r="2526" spans="1:7" x14ac:dyDescent="0.3">
      <c r="A2526" t="s">
        <v>40</v>
      </c>
      <c r="B2526" t="s">
        <v>15</v>
      </c>
      <c r="C2526" t="s">
        <v>46</v>
      </c>
      <c r="D2526">
        <v>2673.47</v>
      </c>
      <c r="E2526">
        <v>375</v>
      </c>
      <c r="F2526" s="1">
        <v>45135</v>
      </c>
      <c r="G2526" t="str">
        <f>IF(COUNTIFS(Table1_3[Country],Table1_3[[#This Row],[Country]],Table1_3[Product],Table1_3[[#This Row],[Product]],Table1_3[Sales Person],Table1_3[[#This Row],[Sales Person]],Table1_3[Amount],"&lt;=100")&gt;=2,"Contract","Deal")</f>
        <v>Deal</v>
      </c>
    </row>
    <row r="2527" spans="1:7" x14ac:dyDescent="0.3">
      <c r="A2527" t="s">
        <v>40</v>
      </c>
      <c r="B2527" t="s">
        <v>15</v>
      </c>
      <c r="C2527" t="s">
        <v>46</v>
      </c>
      <c r="D2527">
        <v>2715.92</v>
      </c>
      <c r="E2527">
        <v>423</v>
      </c>
      <c r="F2527" s="1">
        <v>45501</v>
      </c>
      <c r="G2527" t="str">
        <f>IF(COUNTIFS(Table1_3[Country],Table1_3[[#This Row],[Country]],Table1_3[Product],Table1_3[[#This Row],[Product]],Table1_3[Sales Person],Table1_3[[#This Row],[Sales Person]],Table1_3[Amount],"&lt;=100")&gt;=2,"Contract","Deal")</f>
        <v>Deal</v>
      </c>
    </row>
    <row r="2528" spans="1:7" x14ac:dyDescent="0.3">
      <c r="A2528" t="s">
        <v>40</v>
      </c>
      <c r="B2528" t="s">
        <v>15</v>
      </c>
      <c r="C2528" t="s">
        <v>42</v>
      </c>
      <c r="D2528">
        <v>273</v>
      </c>
      <c r="E2528">
        <v>174</v>
      </c>
      <c r="F2528" s="1">
        <v>44697</v>
      </c>
      <c r="G2528" t="str">
        <f>IF(COUNTIFS(Table1_3[Country],Table1_3[[#This Row],[Country]],Table1_3[Product],Table1_3[[#This Row],[Product]],Table1_3[Sales Person],Table1_3[[#This Row],[Sales Person]],Table1_3[Amount],"&lt;=100")&gt;=2,"Contract","Deal")</f>
        <v>Deal</v>
      </c>
    </row>
    <row r="2529" spans="1:7" x14ac:dyDescent="0.3">
      <c r="A2529" t="s">
        <v>40</v>
      </c>
      <c r="B2529" t="s">
        <v>15</v>
      </c>
      <c r="C2529" t="s">
        <v>42</v>
      </c>
      <c r="D2529">
        <v>305.79000000000002</v>
      </c>
      <c r="E2529">
        <v>189</v>
      </c>
      <c r="F2529" s="1">
        <v>45062</v>
      </c>
      <c r="G2529" t="str">
        <f>IF(COUNTIFS(Table1_3[Country],Table1_3[[#This Row],[Country]],Table1_3[Product],Table1_3[[#This Row],[Product]],Table1_3[Sales Person],Table1_3[[#This Row],[Sales Person]],Table1_3[Amount],"&lt;=100")&gt;=2,"Contract","Deal")</f>
        <v>Deal</v>
      </c>
    </row>
    <row r="2530" spans="1:7" x14ac:dyDescent="0.3">
      <c r="A2530" t="s">
        <v>40</v>
      </c>
      <c r="B2530" t="s">
        <v>15</v>
      </c>
      <c r="C2530" t="s">
        <v>42</v>
      </c>
      <c r="D2530">
        <v>295.62</v>
      </c>
      <c r="E2530">
        <v>182</v>
      </c>
      <c r="F2530" s="1">
        <v>45428</v>
      </c>
      <c r="G2530" t="str">
        <f>IF(COUNTIFS(Table1_3[Country],Table1_3[[#This Row],[Country]],Table1_3[Product],Table1_3[[#This Row],[Product]],Table1_3[Sales Person],Table1_3[[#This Row],[Sales Person]],Table1_3[Amount],"&lt;=100")&gt;=2,"Contract","Deal")</f>
        <v>Deal</v>
      </c>
    </row>
    <row r="2531" spans="1:7" x14ac:dyDescent="0.3">
      <c r="A2531" t="s">
        <v>40</v>
      </c>
      <c r="B2531" t="s">
        <v>15</v>
      </c>
      <c r="C2531" t="s">
        <v>18</v>
      </c>
      <c r="D2531">
        <v>3745</v>
      </c>
      <c r="E2531">
        <v>170</v>
      </c>
      <c r="F2531" s="1">
        <v>44564</v>
      </c>
      <c r="G2531" t="str">
        <f>IF(COUNTIFS(Table1_3[Country],Table1_3[[#This Row],[Country]],Table1_3[Product],Table1_3[[#This Row],[Product]],Table1_3[Sales Person],Table1_3[[#This Row],[Sales Person]],Table1_3[Amount],"&lt;=100")&gt;=2,"Contract","Deal")</f>
        <v>Deal</v>
      </c>
    </row>
    <row r="2532" spans="1:7" x14ac:dyDescent="0.3">
      <c r="A2532" t="s">
        <v>40</v>
      </c>
      <c r="B2532" t="s">
        <v>15</v>
      </c>
      <c r="C2532" t="s">
        <v>18</v>
      </c>
      <c r="D2532">
        <v>3967.85</v>
      </c>
      <c r="E2532">
        <v>163</v>
      </c>
      <c r="F2532" s="1">
        <v>44929</v>
      </c>
      <c r="G2532" t="str">
        <f>IF(COUNTIFS(Table1_3[Country],Table1_3[[#This Row],[Country]],Table1_3[Product],Table1_3[[#This Row],[Product]],Table1_3[Sales Person],Table1_3[[#This Row],[Sales Person]],Table1_3[Amount],"&lt;=100")&gt;=2,"Contract","Deal")</f>
        <v>Deal</v>
      </c>
    </row>
    <row r="2533" spans="1:7" x14ac:dyDescent="0.3">
      <c r="A2533" t="s">
        <v>40</v>
      </c>
      <c r="B2533" t="s">
        <v>15</v>
      </c>
      <c r="C2533" t="s">
        <v>18</v>
      </c>
      <c r="D2533">
        <v>4059.92</v>
      </c>
      <c r="E2533">
        <v>179</v>
      </c>
      <c r="F2533" s="1">
        <v>45294</v>
      </c>
      <c r="G2533" t="str">
        <f>IF(COUNTIFS(Table1_3[Country],Table1_3[[#This Row],[Country]],Table1_3[Product],Table1_3[[#This Row],[Product]],Table1_3[Sales Person],Table1_3[[#This Row],[Sales Person]],Table1_3[Amount],"&lt;=100")&gt;=2,"Contract","Deal")</f>
        <v>Deal</v>
      </c>
    </row>
    <row r="2534" spans="1:7" x14ac:dyDescent="0.3">
      <c r="A2534" t="s">
        <v>40</v>
      </c>
      <c r="B2534" t="s">
        <v>15</v>
      </c>
      <c r="C2534" t="s">
        <v>50</v>
      </c>
      <c r="D2534">
        <v>13125</v>
      </c>
      <c r="E2534">
        <v>275</v>
      </c>
      <c r="F2534" s="1">
        <v>44735</v>
      </c>
      <c r="G2534" t="str">
        <f>IF(COUNTIFS(Table1_3[Country],Table1_3[[#This Row],[Country]],Table1_3[Product],Table1_3[[#This Row],[Product]],Table1_3[Sales Person],Table1_3[[#This Row],[Sales Person]],Table1_3[Amount],"&lt;=100")&gt;=2,"Contract","Deal")</f>
        <v>Deal</v>
      </c>
    </row>
    <row r="2535" spans="1:7" x14ac:dyDescent="0.3">
      <c r="A2535" t="s">
        <v>40</v>
      </c>
      <c r="B2535" t="s">
        <v>15</v>
      </c>
      <c r="C2535" t="s">
        <v>50</v>
      </c>
      <c r="D2535">
        <v>14193.67</v>
      </c>
      <c r="E2535">
        <v>302</v>
      </c>
      <c r="F2535" s="1">
        <v>45100</v>
      </c>
      <c r="G2535" t="str">
        <f>IF(COUNTIFS(Table1_3[Country],Table1_3[[#This Row],[Country]],Table1_3[Product],Table1_3[[#This Row],[Product]],Table1_3[Sales Person],Table1_3[[#This Row],[Sales Person]],Table1_3[Amount],"&lt;=100")&gt;=2,"Contract","Deal")</f>
        <v>Deal</v>
      </c>
    </row>
    <row r="2536" spans="1:7" x14ac:dyDescent="0.3">
      <c r="A2536" t="s">
        <v>40</v>
      </c>
      <c r="B2536" t="s">
        <v>15</v>
      </c>
      <c r="C2536" t="s">
        <v>50</v>
      </c>
      <c r="D2536">
        <v>14687.62</v>
      </c>
      <c r="E2536">
        <v>293</v>
      </c>
      <c r="F2536" s="1">
        <v>45466</v>
      </c>
      <c r="G2536" t="str">
        <f>IF(COUNTIFS(Table1_3[Country],Table1_3[[#This Row],[Country]],Table1_3[Product],Table1_3[[#This Row],[Product]],Table1_3[Sales Person],Table1_3[[#This Row],[Sales Person]],Table1_3[Amount],"&lt;=100")&gt;=2,"Contract","Deal")</f>
        <v>Deal</v>
      </c>
    </row>
    <row r="2537" spans="1:7" x14ac:dyDescent="0.3">
      <c r="A2537" t="s">
        <v>40</v>
      </c>
      <c r="B2537" t="s">
        <v>35</v>
      </c>
      <c r="C2537" t="s">
        <v>90</v>
      </c>
      <c r="D2537">
        <v>1372</v>
      </c>
      <c r="E2537">
        <v>614</v>
      </c>
      <c r="F2537" s="1">
        <v>44615</v>
      </c>
      <c r="G2537" t="str">
        <f>IF(COUNTIFS(Table1_3[Country],Table1_3[[#This Row],[Country]],Table1_3[Product],Table1_3[[#This Row],[Product]],Table1_3[Sales Person],Table1_3[[#This Row],[Sales Person]],Table1_3[Amount],"&lt;=100")&gt;=2,"Contract","Deal")</f>
        <v>Deal</v>
      </c>
    </row>
    <row r="2538" spans="1:7" x14ac:dyDescent="0.3">
      <c r="A2538" t="s">
        <v>40</v>
      </c>
      <c r="B2538" t="s">
        <v>35</v>
      </c>
      <c r="C2538" t="s">
        <v>90</v>
      </c>
      <c r="D2538">
        <v>1510.58</v>
      </c>
      <c r="E2538">
        <v>602</v>
      </c>
      <c r="F2538" s="1">
        <v>44980</v>
      </c>
      <c r="G2538" t="str">
        <f>IF(COUNTIFS(Table1_3[Country],Table1_3[[#This Row],[Country]],Table1_3[Product],Table1_3[[#This Row],[Product]],Table1_3[Sales Person],Table1_3[[#This Row],[Sales Person]],Table1_3[Amount],"&lt;=100")&gt;=2,"Contract","Deal")</f>
        <v>Deal</v>
      </c>
    </row>
    <row r="2539" spans="1:7" x14ac:dyDescent="0.3">
      <c r="A2539" t="s">
        <v>40</v>
      </c>
      <c r="B2539" t="s">
        <v>35</v>
      </c>
      <c r="C2539" t="s">
        <v>90</v>
      </c>
      <c r="D2539">
        <v>1543.77</v>
      </c>
      <c r="E2539">
        <v>674</v>
      </c>
      <c r="F2539" s="1">
        <v>45345</v>
      </c>
      <c r="G2539" t="str">
        <f>IF(COUNTIFS(Table1_3[Country],Table1_3[[#This Row],[Country]],Table1_3[Product],Table1_3[[#This Row],[Product]],Table1_3[Sales Person],Table1_3[[#This Row],[Sales Person]],Table1_3[Amount],"&lt;=100")&gt;=2,"Contract","Deal")</f>
        <v>Deal</v>
      </c>
    </row>
    <row r="2540" spans="1:7" x14ac:dyDescent="0.3">
      <c r="A2540" t="s">
        <v>40</v>
      </c>
      <c r="B2540" t="s">
        <v>35</v>
      </c>
      <c r="C2540" t="s">
        <v>75</v>
      </c>
      <c r="D2540">
        <v>2639</v>
      </c>
      <c r="E2540">
        <v>406</v>
      </c>
      <c r="F2540" s="1">
        <v>44795</v>
      </c>
      <c r="G2540" t="str">
        <f>IF(COUNTIFS(Table1_3[Country],Table1_3[[#This Row],[Country]],Table1_3[Product],Table1_3[[#This Row],[Product]],Table1_3[Sales Person],Table1_3[[#This Row],[Sales Person]],Table1_3[Amount],"&lt;=100")&gt;=2,"Contract","Deal")</f>
        <v>Deal</v>
      </c>
    </row>
    <row r="2541" spans="1:7" x14ac:dyDescent="0.3">
      <c r="A2541" t="s">
        <v>40</v>
      </c>
      <c r="B2541" t="s">
        <v>35</v>
      </c>
      <c r="C2541" t="s">
        <v>75</v>
      </c>
      <c r="D2541">
        <v>2790.72</v>
      </c>
      <c r="E2541">
        <v>435</v>
      </c>
      <c r="F2541" s="1">
        <v>45160</v>
      </c>
      <c r="G2541" t="str">
        <f>IF(COUNTIFS(Table1_3[Country],Table1_3[[#This Row],[Country]],Table1_3[Product],Table1_3[[#This Row],[Product]],Table1_3[Sales Person],Table1_3[[#This Row],[Sales Person]],Table1_3[Amount],"&lt;=100")&gt;=2,"Contract","Deal")</f>
        <v>Deal</v>
      </c>
    </row>
    <row r="2542" spans="1:7" x14ac:dyDescent="0.3">
      <c r="A2542" t="s">
        <v>40</v>
      </c>
      <c r="B2542" t="s">
        <v>35</v>
      </c>
      <c r="C2542" t="s">
        <v>75</v>
      </c>
      <c r="D2542">
        <v>2937.62</v>
      </c>
      <c r="E2542">
        <v>389</v>
      </c>
      <c r="F2542" s="1">
        <v>45526</v>
      </c>
      <c r="G2542" t="str">
        <f>IF(COUNTIFS(Table1_3[Country],Table1_3[[#This Row],[Country]],Table1_3[Product],Table1_3[[#This Row],[Product]],Table1_3[Sales Person],Table1_3[[#This Row],[Sales Person]],Table1_3[Amount],"&lt;=100")&gt;=2,"Contract","Deal")</f>
        <v>Deal</v>
      </c>
    </row>
    <row r="2543" spans="1:7" x14ac:dyDescent="0.3">
      <c r="A2543" t="s">
        <v>40</v>
      </c>
      <c r="B2543" t="s">
        <v>35</v>
      </c>
      <c r="C2543" t="s">
        <v>46</v>
      </c>
      <c r="D2543">
        <v>2436</v>
      </c>
      <c r="E2543">
        <v>309</v>
      </c>
      <c r="F2543" s="1">
        <v>44600</v>
      </c>
      <c r="G2543" t="str">
        <f>IF(COUNTIFS(Table1_3[Country],Table1_3[[#This Row],[Country]],Table1_3[Product],Table1_3[[#This Row],[Product]],Table1_3[Sales Person],Table1_3[[#This Row],[Sales Person]],Table1_3[Amount],"&lt;=100")&gt;=2,"Contract","Deal")</f>
        <v>Deal</v>
      </c>
    </row>
    <row r="2544" spans="1:7" x14ac:dyDescent="0.3">
      <c r="A2544" t="s">
        <v>40</v>
      </c>
      <c r="B2544" t="s">
        <v>35</v>
      </c>
      <c r="C2544" t="s">
        <v>46</v>
      </c>
      <c r="D2544">
        <v>2618.15</v>
      </c>
      <c r="E2544">
        <v>312</v>
      </c>
      <c r="F2544" s="1">
        <v>44965</v>
      </c>
      <c r="G2544" t="str">
        <f>IF(COUNTIFS(Table1_3[Country],Table1_3[[#This Row],[Country]],Table1_3[Product],Table1_3[[#This Row],[Product]],Table1_3[Sales Person],Table1_3[[#This Row],[Sales Person]],Table1_3[Amount],"&lt;=100")&gt;=2,"Contract","Deal")</f>
        <v>Deal</v>
      </c>
    </row>
    <row r="2545" spans="1:7" x14ac:dyDescent="0.3">
      <c r="A2545" t="s">
        <v>40</v>
      </c>
      <c r="B2545" t="s">
        <v>35</v>
      </c>
      <c r="C2545" t="s">
        <v>46</v>
      </c>
      <c r="D2545">
        <v>2672.67</v>
      </c>
      <c r="E2545">
        <v>317</v>
      </c>
      <c r="F2545" s="1">
        <v>45330</v>
      </c>
      <c r="G2545" t="str">
        <f>IF(COUNTIFS(Table1_3[Country],Table1_3[[#This Row],[Country]],Table1_3[Product],Table1_3[[#This Row],[Product]],Table1_3[Sales Person],Table1_3[[#This Row],[Sales Person]],Table1_3[Amount],"&lt;=100")&gt;=2,"Contract","Deal")</f>
        <v>Deal</v>
      </c>
    </row>
    <row r="2546" spans="1:7" x14ac:dyDescent="0.3">
      <c r="A2546" t="s">
        <v>40</v>
      </c>
      <c r="B2546" t="s">
        <v>35</v>
      </c>
      <c r="C2546" t="s">
        <v>33</v>
      </c>
      <c r="D2546">
        <v>2723</v>
      </c>
      <c r="E2546">
        <v>425</v>
      </c>
      <c r="F2546" s="1">
        <v>44575</v>
      </c>
      <c r="G2546" t="str">
        <f>IF(COUNTIFS(Table1_3[Country],Table1_3[[#This Row],[Country]],Table1_3[Product],Table1_3[[#This Row],[Product]],Table1_3[Sales Person],Table1_3[[#This Row],[Sales Person]],Table1_3[Amount],"&lt;=100")&gt;=2,"Contract","Deal")</f>
        <v>Deal</v>
      </c>
    </row>
    <row r="2547" spans="1:7" x14ac:dyDescent="0.3">
      <c r="A2547" t="s">
        <v>40</v>
      </c>
      <c r="B2547" t="s">
        <v>35</v>
      </c>
      <c r="C2547" t="s">
        <v>33</v>
      </c>
      <c r="D2547">
        <v>2896.97</v>
      </c>
      <c r="E2547">
        <v>456</v>
      </c>
      <c r="F2547" s="1">
        <v>44940</v>
      </c>
      <c r="G2547" t="str">
        <f>IF(COUNTIFS(Table1_3[Country],Table1_3[[#This Row],[Country]],Table1_3[Product],Table1_3[[#This Row],[Product]],Table1_3[Sales Person],Table1_3[[#This Row],[Sales Person]],Table1_3[Amount],"&lt;=100")&gt;=2,"Contract","Deal")</f>
        <v>Deal</v>
      </c>
    </row>
    <row r="2548" spans="1:7" x14ac:dyDescent="0.3">
      <c r="A2548" t="s">
        <v>40</v>
      </c>
      <c r="B2548" t="s">
        <v>35</v>
      </c>
      <c r="C2548" t="s">
        <v>33</v>
      </c>
      <c r="D2548">
        <v>3040.05</v>
      </c>
      <c r="E2548">
        <v>426</v>
      </c>
      <c r="F2548" s="1">
        <v>45305</v>
      </c>
      <c r="G2548" t="str">
        <f>IF(COUNTIFS(Table1_3[Country],Table1_3[[#This Row],[Country]],Table1_3[Product],Table1_3[[#This Row],[Product]],Table1_3[Sales Person],Table1_3[[#This Row],[Sales Person]],Table1_3[Amount],"&lt;=100")&gt;=2,"Contract","Deal")</f>
        <v>Deal</v>
      </c>
    </row>
    <row r="2549" spans="1:7" x14ac:dyDescent="0.3">
      <c r="A2549" t="s">
        <v>40</v>
      </c>
      <c r="B2549" t="s">
        <v>35</v>
      </c>
      <c r="C2549" t="s">
        <v>13</v>
      </c>
      <c r="D2549">
        <v>6594</v>
      </c>
      <c r="E2549">
        <v>91</v>
      </c>
      <c r="F2549" s="1">
        <v>44628</v>
      </c>
      <c r="G2549" t="str">
        <f>IF(COUNTIFS(Table1_3[Country],Table1_3[[#This Row],[Country]],Table1_3[Product],Table1_3[[#This Row],[Product]],Table1_3[Sales Person],Table1_3[[#This Row],[Sales Person]],Table1_3[Amount],"&lt;=100")&gt;=2,"Contract","Deal")</f>
        <v>Deal</v>
      </c>
    </row>
    <row r="2550" spans="1:7" x14ac:dyDescent="0.3">
      <c r="A2550" t="s">
        <v>40</v>
      </c>
      <c r="B2550" t="s">
        <v>35</v>
      </c>
      <c r="C2550" t="s">
        <v>13</v>
      </c>
      <c r="D2550">
        <v>7504.86</v>
      </c>
      <c r="E2550">
        <v>97</v>
      </c>
      <c r="F2550" s="1">
        <v>44993</v>
      </c>
      <c r="G2550" t="str">
        <f>IF(COUNTIFS(Table1_3[Country],Table1_3[[#This Row],[Country]],Table1_3[Product],Table1_3[[#This Row],[Product]],Table1_3[Sales Person],Table1_3[[#This Row],[Sales Person]],Table1_3[Amount],"&lt;=100")&gt;=2,"Contract","Deal")</f>
        <v>Deal</v>
      </c>
    </row>
    <row r="2551" spans="1:7" x14ac:dyDescent="0.3">
      <c r="A2551" t="s">
        <v>40</v>
      </c>
      <c r="B2551" t="s">
        <v>35</v>
      </c>
      <c r="C2551" t="s">
        <v>13</v>
      </c>
      <c r="D2551">
        <v>7032.54</v>
      </c>
      <c r="E2551">
        <v>87</v>
      </c>
      <c r="F2551" s="1">
        <v>45359</v>
      </c>
      <c r="G2551" t="str">
        <f>IF(COUNTIFS(Table1_3[Country],Table1_3[[#This Row],[Country]],Table1_3[Product],Table1_3[[#This Row],[Product]],Table1_3[Sales Person],Table1_3[[#This Row],[Sales Person]],Table1_3[Amount],"&lt;=100")&gt;=2,"Contract","Deal")</f>
        <v>Deal</v>
      </c>
    </row>
    <row r="2552" spans="1:7" x14ac:dyDescent="0.3">
      <c r="A2552" t="s">
        <v>40</v>
      </c>
      <c r="B2552" t="s">
        <v>35</v>
      </c>
      <c r="C2552" t="s">
        <v>50</v>
      </c>
      <c r="D2552">
        <v>3528</v>
      </c>
      <c r="E2552">
        <v>336</v>
      </c>
      <c r="F2552" s="1">
        <v>44564</v>
      </c>
      <c r="G2552" t="str">
        <f>IF(COUNTIFS(Table1_3[Country],Table1_3[[#This Row],[Country]],Table1_3[Product],Table1_3[[#This Row],[Product]],Table1_3[Sales Person],Table1_3[[#This Row],[Sales Person]],Table1_3[Amount],"&lt;=100")&gt;=2,"Contract","Deal")</f>
        <v>Deal</v>
      </c>
    </row>
    <row r="2553" spans="1:7" x14ac:dyDescent="0.3">
      <c r="A2553" t="s">
        <v>40</v>
      </c>
      <c r="B2553" t="s">
        <v>35</v>
      </c>
      <c r="C2553" t="s">
        <v>50</v>
      </c>
      <c r="D2553">
        <v>3563.09</v>
      </c>
      <c r="E2553">
        <v>344</v>
      </c>
      <c r="F2553" s="1">
        <v>44929</v>
      </c>
      <c r="G2553" t="str">
        <f>IF(COUNTIFS(Table1_3[Country],Table1_3[[#This Row],[Country]],Table1_3[Product],Table1_3[[#This Row],[Product]],Table1_3[Sales Person],Table1_3[[#This Row],[Sales Person]],Table1_3[Amount],"&lt;=100")&gt;=2,"Contract","Deal")</f>
        <v>Deal</v>
      </c>
    </row>
    <row r="2554" spans="1:7" x14ac:dyDescent="0.3">
      <c r="A2554" t="s">
        <v>40</v>
      </c>
      <c r="B2554" t="s">
        <v>35</v>
      </c>
      <c r="C2554" t="s">
        <v>50</v>
      </c>
      <c r="D2554">
        <v>3939.95</v>
      </c>
      <c r="E2554">
        <v>365</v>
      </c>
      <c r="F2554" s="1">
        <v>45294</v>
      </c>
      <c r="G2554" t="str">
        <f>IF(COUNTIFS(Table1_3[Country],Table1_3[[#This Row],[Country]],Table1_3[Product],Table1_3[[#This Row],[Product]],Table1_3[Sales Person],Table1_3[[#This Row],[Sales Person]],Table1_3[Amount],"&lt;=100")&gt;=2,"Contract","Deal")</f>
        <v>Deal</v>
      </c>
    </row>
    <row r="2555" spans="1:7" x14ac:dyDescent="0.3">
      <c r="A2555" t="s">
        <v>40</v>
      </c>
      <c r="B2555" t="s">
        <v>10</v>
      </c>
      <c r="C2555" t="s">
        <v>11</v>
      </c>
      <c r="D2555">
        <v>2205</v>
      </c>
      <c r="E2555">
        <v>179</v>
      </c>
      <c r="F2555" s="1">
        <v>44761</v>
      </c>
      <c r="G2555" t="str">
        <f>IF(COUNTIFS(Table1_3[Country],Table1_3[[#This Row],[Country]],Table1_3[Product],Table1_3[[#This Row],[Product]],Table1_3[Sales Person],Table1_3[[#This Row],[Sales Person]],Table1_3[Amount],"&lt;=100")&gt;=2,"Contract","Deal")</f>
        <v>Deal</v>
      </c>
    </row>
    <row r="2556" spans="1:7" x14ac:dyDescent="0.3">
      <c r="A2556" t="s">
        <v>40</v>
      </c>
      <c r="B2556" t="s">
        <v>10</v>
      </c>
      <c r="C2556" t="s">
        <v>11</v>
      </c>
      <c r="D2556">
        <v>2439.06</v>
      </c>
      <c r="E2556">
        <v>175</v>
      </c>
      <c r="F2556" s="1">
        <v>45126</v>
      </c>
      <c r="G2556" t="str">
        <f>IF(COUNTIFS(Table1_3[Country],Table1_3[[#This Row],[Country]],Table1_3[Product],Table1_3[[#This Row],[Product]],Table1_3[Sales Person],Table1_3[[#This Row],[Sales Person]],Table1_3[Amount],"&lt;=100")&gt;=2,"Contract","Deal")</f>
        <v>Deal</v>
      </c>
    </row>
    <row r="2557" spans="1:7" x14ac:dyDescent="0.3">
      <c r="A2557" t="s">
        <v>40</v>
      </c>
      <c r="B2557" t="s">
        <v>10</v>
      </c>
      <c r="C2557" t="s">
        <v>11</v>
      </c>
      <c r="D2557">
        <v>2553.41</v>
      </c>
      <c r="E2557">
        <v>183</v>
      </c>
      <c r="F2557" s="1">
        <v>45492</v>
      </c>
      <c r="G2557" t="str">
        <f>IF(COUNTIFS(Table1_3[Country],Table1_3[[#This Row],[Country]],Table1_3[Product],Table1_3[[#This Row],[Product]],Table1_3[Sales Person],Table1_3[[#This Row],[Sales Person]],Table1_3[Amount],"&lt;=100")&gt;=2,"Contract","Deal")</f>
        <v>Deal</v>
      </c>
    </row>
    <row r="2558" spans="1:7" x14ac:dyDescent="0.3">
      <c r="A2558" t="s">
        <v>40</v>
      </c>
      <c r="B2558" t="s">
        <v>10</v>
      </c>
      <c r="C2558" t="s">
        <v>20</v>
      </c>
      <c r="D2558">
        <v>10766</v>
      </c>
      <c r="E2558">
        <v>157</v>
      </c>
      <c r="F2558" s="1">
        <v>44764</v>
      </c>
      <c r="G2558" t="str">
        <f>IF(COUNTIFS(Table1_3[Country],Table1_3[[#This Row],[Country]],Table1_3[Product],Table1_3[[#This Row],[Product]],Table1_3[Sales Person],Table1_3[[#This Row],[Sales Person]],Table1_3[Amount],"&lt;=100")&gt;=2,"Contract","Deal")</f>
        <v>Deal</v>
      </c>
    </row>
    <row r="2559" spans="1:7" x14ac:dyDescent="0.3">
      <c r="A2559" t="s">
        <v>40</v>
      </c>
      <c r="B2559" t="s">
        <v>10</v>
      </c>
      <c r="C2559" t="s">
        <v>20</v>
      </c>
      <c r="D2559">
        <v>11252.11</v>
      </c>
      <c r="E2559">
        <v>159</v>
      </c>
      <c r="F2559" s="1">
        <v>45129</v>
      </c>
      <c r="G2559" t="str">
        <f>IF(COUNTIFS(Table1_3[Country],Table1_3[[#This Row],[Country]],Table1_3[Product],Table1_3[[#This Row],[Product]],Table1_3[Sales Person],Table1_3[[#This Row],[Sales Person]],Table1_3[Amount],"&lt;=100")&gt;=2,"Contract","Deal")</f>
        <v>Deal</v>
      </c>
    </row>
    <row r="2560" spans="1:7" x14ac:dyDescent="0.3">
      <c r="A2560" t="s">
        <v>40</v>
      </c>
      <c r="B2560" t="s">
        <v>10</v>
      </c>
      <c r="C2560" t="s">
        <v>20</v>
      </c>
      <c r="D2560">
        <v>12398.37</v>
      </c>
      <c r="E2560">
        <v>161</v>
      </c>
      <c r="F2560" s="1">
        <v>45495</v>
      </c>
      <c r="G2560" t="str">
        <f>IF(COUNTIFS(Table1_3[Country],Table1_3[[#This Row],[Country]],Table1_3[Product],Table1_3[[#This Row],[Product]],Table1_3[Sales Person],Table1_3[[#This Row],[Sales Person]],Table1_3[Amount],"&lt;=100")&gt;=2,"Contract","Deal")</f>
        <v>Deal</v>
      </c>
    </row>
    <row r="2561" spans="1:7" x14ac:dyDescent="0.3">
      <c r="A2561" t="s">
        <v>40</v>
      </c>
      <c r="B2561" t="s">
        <v>10</v>
      </c>
      <c r="C2561" t="s">
        <v>23</v>
      </c>
      <c r="D2561">
        <v>2639</v>
      </c>
      <c r="E2561">
        <v>179</v>
      </c>
      <c r="F2561" s="1">
        <v>44753</v>
      </c>
      <c r="G2561" t="str">
        <f>IF(COUNTIFS(Table1_3[Country],Table1_3[[#This Row],[Country]],Table1_3[Product],Table1_3[[#This Row],[Product]],Table1_3[Sales Person],Table1_3[[#This Row],[Sales Person]],Table1_3[Amount],"&lt;=100")&gt;=2,"Contract","Deal")</f>
        <v>Deal</v>
      </c>
    </row>
    <row r="2562" spans="1:7" x14ac:dyDescent="0.3">
      <c r="A2562" t="s">
        <v>40</v>
      </c>
      <c r="B2562" t="s">
        <v>10</v>
      </c>
      <c r="C2562" t="s">
        <v>23</v>
      </c>
      <c r="D2562">
        <v>2800.67</v>
      </c>
      <c r="E2562">
        <v>190</v>
      </c>
      <c r="F2562" s="1">
        <v>45118</v>
      </c>
      <c r="G2562" t="str">
        <f>IF(COUNTIFS(Table1_3[Country],Table1_3[[#This Row],[Country]],Table1_3[Product],Table1_3[[#This Row],[Product]],Table1_3[Sales Person],Table1_3[[#This Row],[Sales Person]],Table1_3[Amount],"&lt;=100")&gt;=2,"Contract","Deal")</f>
        <v>Deal</v>
      </c>
    </row>
    <row r="2563" spans="1:7" x14ac:dyDescent="0.3">
      <c r="A2563" t="s">
        <v>40</v>
      </c>
      <c r="B2563" t="s">
        <v>10</v>
      </c>
      <c r="C2563" t="s">
        <v>23</v>
      </c>
      <c r="D2563">
        <v>2816.85</v>
      </c>
      <c r="E2563">
        <v>188</v>
      </c>
      <c r="F2563" s="1">
        <v>45484</v>
      </c>
      <c r="G2563" t="str">
        <f>IF(COUNTIFS(Table1_3[Country],Table1_3[[#This Row],[Country]],Table1_3[Product],Table1_3[[#This Row],[Product]],Table1_3[Sales Person],Table1_3[[#This Row],[Sales Person]],Table1_3[Amount],"&lt;=100")&gt;=2,"Contract","Deal")</f>
        <v>Deal</v>
      </c>
    </row>
    <row r="2564" spans="1:7" x14ac:dyDescent="0.3">
      <c r="A2564" t="s">
        <v>40</v>
      </c>
      <c r="B2564" t="s">
        <v>10</v>
      </c>
      <c r="C2564" t="s">
        <v>90</v>
      </c>
      <c r="D2564">
        <v>4361</v>
      </c>
      <c r="E2564">
        <v>81</v>
      </c>
      <c r="F2564" s="1">
        <v>44636</v>
      </c>
      <c r="G2564" t="str">
        <f>IF(COUNTIFS(Table1_3[Country],Table1_3[[#This Row],[Country]],Table1_3[Product],Table1_3[[#This Row],[Product]],Table1_3[Sales Person],Table1_3[[#This Row],[Sales Person]],Table1_3[Amount],"&lt;=100")&gt;=2,"Contract","Deal")</f>
        <v>Deal</v>
      </c>
    </row>
    <row r="2565" spans="1:7" x14ac:dyDescent="0.3">
      <c r="A2565" t="s">
        <v>40</v>
      </c>
      <c r="B2565" t="s">
        <v>10</v>
      </c>
      <c r="C2565" t="s">
        <v>90</v>
      </c>
      <c r="D2565">
        <v>4997.82</v>
      </c>
      <c r="E2565">
        <v>83</v>
      </c>
      <c r="F2565" s="1">
        <v>45001</v>
      </c>
      <c r="G2565" t="str">
        <f>IF(COUNTIFS(Table1_3[Country],Table1_3[[#This Row],[Country]],Table1_3[Product],Table1_3[[#This Row],[Product]],Table1_3[Sales Person],Table1_3[[#This Row],[Sales Person]],Table1_3[Amount],"&lt;=100")&gt;=2,"Contract","Deal")</f>
        <v>Deal</v>
      </c>
    </row>
    <row r="2566" spans="1:7" x14ac:dyDescent="0.3">
      <c r="A2566" t="s">
        <v>40</v>
      </c>
      <c r="B2566" t="s">
        <v>10</v>
      </c>
      <c r="C2566" t="s">
        <v>90</v>
      </c>
      <c r="D2566">
        <v>5077.5</v>
      </c>
      <c r="E2566">
        <v>81</v>
      </c>
      <c r="F2566" s="1">
        <v>45367</v>
      </c>
      <c r="G2566" t="str">
        <f>IF(COUNTIFS(Table1_3[Country],Table1_3[[#This Row],[Country]],Table1_3[Product],Table1_3[[#This Row],[Product]],Table1_3[Sales Person],Table1_3[[#This Row],[Sales Person]],Table1_3[Amount],"&lt;=100")&gt;=2,"Contract","Deal")</f>
        <v>Deal</v>
      </c>
    </row>
    <row r="2567" spans="1:7" x14ac:dyDescent="0.3">
      <c r="A2567" t="s">
        <v>40</v>
      </c>
      <c r="B2567" t="s">
        <v>10</v>
      </c>
      <c r="C2567" t="s">
        <v>36</v>
      </c>
      <c r="D2567">
        <v>3472</v>
      </c>
      <c r="E2567">
        <v>96</v>
      </c>
      <c r="F2567" s="1">
        <v>44574</v>
      </c>
      <c r="G2567" t="str">
        <f>IF(COUNTIFS(Table1_3[Country],Table1_3[[#This Row],[Country]],Table1_3[Product],Table1_3[[#This Row],[Product]],Table1_3[Sales Person],Table1_3[[#This Row],[Sales Person]],Table1_3[Amount],"&lt;=100")&gt;=2,"Contract","Deal")</f>
        <v>Deal</v>
      </c>
    </row>
    <row r="2568" spans="1:7" x14ac:dyDescent="0.3">
      <c r="A2568" t="s">
        <v>40</v>
      </c>
      <c r="B2568" t="s">
        <v>10</v>
      </c>
      <c r="C2568" t="s">
        <v>36</v>
      </c>
      <c r="D2568">
        <v>3883.32</v>
      </c>
      <c r="E2568">
        <v>94</v>
      </c>
      <c r="F2568" s="1">
        <v>44939</v>
      </c>
      <c r="G2568" t="str">
        <f>IF(COUNTIFS(Table1_3[Country],Table1_3[[#This Row],[Country]],Table1_3[Product],Table1_3[[#This Row],[Product]],Table1_3[Sales Person],Table1_3[[#This Row],[Sales Person]],Table1_3[Amount],"&lt;=100")&gt;=2,"Contract","Deal")</f>
        <v>Deal</v>
      </c>
    </row>
    <row r="2569" spans="1:7" x14ac:dyDescent="0.3">
      <c r="A2569" t="s">
        <v>40</v>
      </c>
      <c r="B2569" t="s">
        <v>10</v>
      </c>
      <c r="C2569" t="s">
        <v>36</v>
      </c>
      <c r="D2569">
        <v>4067.36</v>
      </c>
      <c r="E2569">
        <v>94</v>
      </c>
      <c r="F2569" s="1">
        <v>45304</v>
      </c>
      <c r="G2569" t="str">
        <f>IF(COUNTIFS(Table1_3[Country],Table1_3[[#This Row],[Country]],Table1_3[Product],Table1_3[[#This Row],[Product]],Table1_3[Sales Person],Table1_3[[#This Row],[Sales Person]],Table1_3[Amount],"&lt;=100")&gt;=2,"Contract","Deal")</f>
        <v>Deal</v>
      </c>
    </row>
    <row r="2570" spans="1:7" x14ac:dyDescent="0.3">
      <c r="A2570" t="s">
        <v>40</v>
      </c>
      <c r="B2570" t="s">
        <v>10</v>
      </c>
      <c r="C2570" t="s">
        <v>57</v>
      </c>
      <c r="D2570">
        <v>4753</v>
      </c>
      <c r="E2570">
        <v>151</v>
      </c>
      <c r="F2570" s="1">
        <v>44664</v>
      </c>
      <c r="G2570" t="str">
        <f>IF(COUNTIFS(Table1_3[Country],Table1_3[[#This Row],[Country]],Table1_3[Product],Table1_3[[#This Row],[Product]],Table1_3[Sales Person],Table1_3[[#This Row],[Sales Person]],Table1_3[Amount],"&lt;=100")&gt;=2,"Contract","Deal")</f>
        <v>Deal</v>
      </c>
    </row>
    <row r="2571" spans="1:7" x14ac:dyDescent="0.3">
      <c r="A2571" t="s">
        <v>40</v>
      </c>
      <c r="B2571" t="s">
        <v>10</v>
      </c>
      <c r="C2571" t="s">
        <v>57</v>
      </c>
      <c r="D2571">
        <v>5312.5</v>
      </c>
      <c r="E2571">
        <v>160</v>
      </c>
      <c r="F2571" s="1">
        <v>45029</v>
      </c>
      <c r="G2571" t="str">
        <f>IF(COUNTIFS(Table1_3[Country],Table1_3[[#This Row],[Country]],Table1_3[Product],Table1_3[[#This Row],[Product]],Table1_3[Sales Person],Table1_3[[#This Row],[Sales Person]],Table1_3[Amount],"&lt;=100")&gt;=2,"Contract","Deal")</f>
        <v>Deal</v>
      </c>
    </row>
    <row r="2572" spans="1:7" x14ac:dyDescent="0.3">
      <c r="A2572" t="s">
        <v>40</v>
      </c>
      <c r="B2572" t="s">
        <v>10</v>
      </c>
      <c r="C2572" t="s">
        <v>57</v>
      </c>
      <c r="D2572">
        <v>5385.55</v>
      </c>
      <c r="E2572">
        <v>161</v>
      </c>
      <c r="F2572" s="1">
        <v>45395</v>
      </c>
      <c r="G2572" t="str">
        <f>IF(COUNTIFS(Table1_3[Country],Table1_3[[#This Row],[Country]],Table1_3[Product],Table1_3[[#This Row],[Product]],Table1_3[Sales Person],Table1_3[[#This Row],[Sales Person]],Table1_3[Amount],"&lt;=100")&gt;=2,"Contract","Deal")</f>
        <v>Deal</v>
      </c>
    </row>
    <row r="2573" spans="1:7" x14ac:dyDescent="0.3">
      <c r="A2573" t="s">
        <v>40</v>
      </c>
      <c r="B2573" t="s">
        <v>10</v>
      </c>
      <c r="C2573" t="s">
        <v>13</v>
      </c>
      <c r="D2573">
        <v>6489</v>
      </c>
      <c r="E2573">
        <v>146</v>
      </c>
      <c r="F2573" s="1">
        <v>44571</v>
      </c>
      <c r="G2573" t="str">
        <f>IF(COUNTIFS(Table1_3[Country],Table1_3[[#This Row],[Country]],Table1_3[Product],Table1_3[[#This Row],[Product]],Table1_3[Sales Person],Table1_3[[#This Row],[Sales Person]],Table1_3[Amount],"&lt;=100")&gt;=2,"Contract","Deal")</f>
        <v>Deal</v>
      </c>
    </row>
    <row r="2574" spans="1:7" x14ac:dyDescent="0.3">
      <c r="A2574" t="s">
        <v>40</v>
      </c>
      <c r="B2574" t="s">
        <v>10</v>
      </c>
      <c r="C2574" t="s">
        <v>13</v>
      </c>
      <c r="D2574">
        <v>6761.28</v>
      </c>
      <c r="E2574">
        <v>145</v>
      </c>
      <c r="F2574" s="1">
        <v>44936</v>
      </c>
      <c r="G2574" t="str">
        <f>IF(COUNTIFS(Table1_3[Country],Table1_3[[#This Row],[Country]],Table1_3[Product],Table1_3[[#This Row],[Product]],Table1_3[Sales Person],Table1_3[[#This Row],[Sales Person]],Table1_3[Amount],"&lt;=100")&gt;=2,"Contract","Deal")</f>
        <v>Deal</v>
      </c>
    </row>
    <row r="2575" spans="1:7" x14ac:dyDescent="0.3">
      <c r="A2575" t="s">
        <v>40</v>
      </c>
      <c r="B2575" t="s">
        <v>10</v>
      </c>
      <c r="C2575" t="s">
        <v>13</v>
      </c>
      <c r="D2575">
        <v>7803.84</v>
      </c>
      <c r="E2575">
        <v>157</v>
      </c>
      <c r="F2575" s="1">
        <v>45301</v>
      </c>
      <c r="G2575" t="str">
        <f>IF(COUNTIFS(Table1_3[Country],Table1_3[[#This Row],[Country]],Table1_3[Product],Table1_3[[#This Row],[Product]],Table1_3[Sales Person],Table1_3[[#This Row],[Sales Person]],Table1_3[Amount],"&lt;=100")&gt;=2,"Contract","Deal")</f>
        <v>Deal</v>
      </c>
    </row>
    <row r="2576" spans="1:7" x14ac:dyDescent="0.3">
      <c r="A2576" t="s">
        <v>40</v>
      </c>
      <c r="B2576" t="s">
        <v>25</v>
      </c>
      <c r="C2576" t="s">
        <v>100</v>
      </c>
      <c r="D2576">
        <v>8603</v>
      </c>
      <c r="E2576">
        <v>352</v>
      </c>
      <c r="F2576" s="1">
        <v>44606</v>
      </c>
      <c r="G2576" t="str">
        <f>IF(COUNTIFS(Table1_3[Country],Table1_3[[#This Row],[Country]],Table1_3[Product],Table1_3[[#This Row],[Product]],Table1_3[Sales Person],Table1_3[[#This Row],[Sales Person]],Table1_3[Amount],"&lt;=100")&gt;=2,"Contract","Deal")</f>
        <v>Deal</v>
      </c>
    </row>
    <row r="2577" spans="1:7" x14ac:dyDescent="0.3">
      <c r="A2577" t="s">
        <v>40</v>
      </c>
      <c r="B2577" t="s">
        <v>25</v>
      </c>
      <c r="C2577" t="s">
        <v>100</v>
      </c>
      <c r="D2577">
        <v>8973.0499999999993</v>
      </c>
      <c r="E2577">
        <v>360</v>
      </c>
      <c r="F2577" s="1">
        <v>44971</v>
      </c>
      <c r="G2577" t="str">
        <f>IF(COUNTIFS(Table1_3[Country],Table1_3[[#This Row],[Country]],Table1_3[Product],Table1_3[[#This Row],[Product]],Table1_3[Sales Person],Table1_3[[#This Row],[Sales Person]],Table1_3[Amount],"&lt;=100")&gt;=2,"Contract","Deal")</f>
        <v>Deal</v>
      </c>
    </row>
    <row r="2578" spans="1:7" x14ac:dyDescent="0.3">
      <c r="A2578" t="s">
        <v>40</v>
      </c>
      <c r="B2578" t="s">
        <v>25</v>
      </c>
      <c r="C2578" t="s">
        <v>100</v>
      </c>
      <c r="D2578">
        <v>9036.58</v>
      </c>
      <c r="E2578">
        <v>377</v>
      </c>
      <c r="F2578" s="1">
        <v>45336</v>
      </c>
      <c r="G2578" t="str">
        <f>IF(COUNTIFS(Table1_3[Country],Table1_3[[#This Row],[Country]],Table1_3[Product],Table1_3[[#This Row],[Product]],Table1_3[Sales Person],Table1_3[[#This Row],[Sales Person]],Table1_3[Amount],"&lt;=100")&gt;=2,"Contract","Deal")</f>
        <v>Deal</v>
      </c>
    </row>
    <row r="2579" spans="1:7" x14ac:dyDescent="0.3">
      <c r="A2579" t="s">
        <v>40</v>
      </c>
      <c r="B2579" t="s">
        <v>25</v>
      </c>
      <c r="C2579" t="s">
        <v>11</v>
      </c>
      <c r="D2579">
        <v>1218</v>
      </c>
      <c r="E2579">
        <v>149</v>
      </c>
      <c r="F2579" s="1">
        <v>44711</v>
      </c>
      <c r="G2579" t="str">
        <f>IF(COUNTIFS(Table1_3[Country],Table1_3[[#This Row],[Country]],Table1_3[Product],Table1_3[[#This Row],[Product]],Table1_3[Sales Person],Table1_3[[#This Row],[Sales Person]],Table1_3[Amount],"&lt;=100")&gt;=2,"Contract","Deal")</f>
        <v>Deal</v>
      </c>
    </row>
    <row r="2580" spans="1:7" x14ac:dyDescent="0.3">
      <c r="A2580" t="s">
        <v>40</v>
      </c>
      <c r="B2580" t="s">
        <v>25</v>
      </c>
      <c r="C2580" t="s">
        <v>11</v>
      </c>
      <c r="D2580">
        <v>1368.27</v>
      </c>
      <c r="E2580">
        <v>163</v>
      </c>
      <c r="F2580" s="1">
        <v>45076</v>
      </c>
      <c r="G2580" t="str">
        <f>IF(COUNTIFS(Table1_3[Country],Table1_3[[#This Row],[Country]],Table1_3[Product],Table1_3[[#This Row],[Product]],Table1_3[Sales Person],Table1_3[[#This Row],[Sales Person]],Table1_3[Amount],"&lt;=100")&gt;=2,"Contract","Deal")</f>
        <v>Deal</v>
      </c>
    </row>
    <row r="2581" spans="1:7" x14ac:dyDescent="0.3">
      <c r="A2581" t="s">
        <v>40</v>
      </c>
      <c r="B2581" t="s">
        <v>25</v>
      </c>
      <c r="C2581" t="s">
        <v>11</v>
      </c>
      <c r="D2581">
        <v>1312.23</v>
      </c>
      <c r="E2581">
        <v>164</v>
      </c>
      <c r="F2581" s="1">
        <v>45442</v>
      </c>
      <c r="G2581" t="str">
        <f>IF(COUNTIFS(Table1_3[Country],Table1_3[[#This Row],[Country]],Table1_3[Product],Table1_3[[#This Row],[Product]],Table1_3[Sales Person],Table1_3[[#This Row],[Sales Person]],Table1_3[Amount],"&lt;=100")&gt;=2,"Contract","Deal")</f>
        <v>Deal</v>
      </c>
    </row>
    <row r="2582" spans="1:7" x14ac:dyDescent="0.3">
      <c r="A2582" t="s">
        <v>40</v>
      </c>
      <c r="B2582" t="s">
        <v>25</v>
      </c>
      <c r="C2582" t="s">
        <v>23</v>
      </c>
      <c r="D2582">
        <v>1561</v>
      </c>
      <c r="E2582">
        <v>44</v>
      </c>
      <c r="F2582" s="1">
        <v>44629</v>
      </c>
      <c r="G2582" t="str">
        <f>IF(COUNTIFS(Table1_3[Country],Table1_3[[#This Row],[Country]],Table1_3[Product],Table1_3[[#This Row],[Product]],Table1_3[Sales Person],Table1_3[[#This Row],[Sales Person]],Table1_3[Amount],"&lt;=100")&gt;=2,"Contract","Deal")</f>
        <v>Deal</v>
      </c>
    </row>
    <row r="2583" spans="1:7" x14ac:dyDescent="0.3">
      <c r="A2583" t="s">
        <v>40</v>
      </c>
      <c r="B2583" t="s">
        <v>25</v>
      </c>
      <c r="C2583" t="s">
        <v>23</v>
      </c>
      <c r="D2583">
        <v>1558.87</v>
      </c>
      <c r="E2583">
        <v>46</v>
      </c>
      <c r="F2583" s="1">
        <v>44994</v>
      </c>
      <c r="G2583" t="str">
        <f>IF(COUNTIFS(Table1_3[Country],Table1_3[[#This Row],[Country]],Table1_3[Product],Table1_3[[#This Row],[Product]],Table1_3[Sales Person],Table1_3[[#This Row],[Sales Person]],Table1_3[Amount],"&lt;=100")&gt;=2,"Contract","Deal")</f>
        <v>Deal</v>
      </c>
    </row>
    <row r="2584" spans="1:7" x14ac:dyDescent="0.3">
      <c r="A2584" t="s">
        <v>40</v>
      </c>
      <c r="B2584" t="s">
        <v>25</v>
      </c>
      <c r="C2584" t="s">
        <v>23</v>
      </c>
      <c r="D2584">
        <v>1642.32</v>
      </c>
      <c r="E2584">
        <v>43</v>
      </c>
      <c r="F2584" s="1">
        <v>45360</v>
      </c>
      <c r="G2584" t="str">
        <f>IF(COUNTIFS(Table1_3[Country],Table1_3[[#This Row],[Country]],Table1_3[Product],Table1_3[[#This Row],[Product]],Table1_3[Sales Person],Table1_3[[#This Row],[Sales Person]],Table1_3[Amount],"&lt;=100")&gt;=2,"Contract","Deal")</f>
        <v>Deal</v>
      </c>
    </row>
    <row r="2585" spans="1:7" x14ac:dyDescent="0.3">
      <c r="A2585" t="s">
        <v>40</v>
      </c>
      <c r="B2585" t="s">
        <v>25</v>
      </c>
      <c r="C2585" t="s">
        <v>36</v>
      </c>
      <c r="D2585">
        <v>4914</v>
      </c>
      <c r="E2585">
        <v>31</v>
      </c>
      <c r="F2585" s="1">
        <v>44579</v>
      </c>
      <c r="G2585" t="str">
        <f>IF(COUNTIFS(Table1_3[Country],Table1_3[[#This Row],[Country]],Table1_3[Product],Table1_3[[#This Row],[Product]],Table1_3[Sales Person],Table1_3[[#This Row],[Sales Person]],Table1_3[Amount],"&lt;=100")&gt;=2,"Contract","Deal")</f>
        <v>Deal</v>
      </c>
    </row>
    <row r="2586" spans="1:7" x14ac:dyDescent="0.3">
      <c r="A2586" t="s">
        <v>40</v>
      </c>
      <c r="B2586" t="s">
        <v>25</v>
      </c>
      <c r="C2586" t="s">
        <v>36</v>
      </c>
      <c r="D2586">
        <v>5254.38</v>
      </c>
      <c r="E2586">
        <v>31</v>
      </c>
      <c r="F2586" s="1">
        <v>44944</v>
      </c>
      <c r="G2586" t="str">
        <f>IF(COUNTIFS(Table1_3[Country],Table1_3[[#This Row],[Country]],Table1_3[Product],Table1_3[[#This Row],[Product]],Table1_3[Sales Person],Table1_3[[#This Row],[Sales Person]],Table1_3[Amount],"&lt;=100")&gt;=2,"Contract","Deal")</f>
        <v>Deal</v>
      </c>
    </row>
    <row r="2587" spans="1:7" x14ac:dyDescent="0.3">
      <c r="A2587" t="s">
        <v>40</v>
      </c>
      <c r="B2587" t="s">
        <v>25</v>
      </c>
      <c r="C2587" t="s">
        <v>36</v>
      </c>
      <c r="D2587">
        <v>5902.91</v>
      </c>
      <c r="E2587">
        <v>31</v>
      </c>
      <c r="F2587" s="1">
        <v>45309</v>
      </c>
      <c r="G2587" t="str">
        <f>IF(COUNTIFS(Table1_3[Country],Table1_3[[#This Row],[Country]],Table1_3[Product],Table1_3[[#This Row],[Product]],Table1_3[Sales Person],Table1_3[[#This Row],[Sales Person]],Table1_3[Amount],"&lt;=100")&gt;=2,"Contract","Deal")</f>
        <v>Deal</v>
      </c>
    </row>
    <row r="2588" spans="1:7" x14ac:dyDescent="0.3">
      <c r="A2588" t="s">
        <v>40</v>
      </c>
      <c r="B2588" t="s">
        <v>25</v>
      </c>
      <c r="C2588" t="s">
        <v>57</v>
      </c>
      <c r="D2588">
        <v>8939</v>
      </c>
      <c r="E2588">
        <v>4</v>
      </c>
      <c r="F2588" s="1">
        <v>44798</v>
      </c>
      <c r="G2588" t="str">
        <f>IF(COUNTIFS(Table1_3[Country],Table1_3[[#This Row],[Country]],Table1_3[Product],Table1_3[[#This Row],[Product]],Table1_3[Sales Person],Table1_3[[#This Row],[Sales Person]],Table1_3[Amount],"&lt;=100")&gt;=2,"Contract","Deal")</f>
        <v>Deal</v>
      </c>
    </row>
    <row r="2589" spans="1:7" x14ac:dyDescent="0.3">
      <c r="A2589" t="s">
        <v>40</v>
      </c>
      <c r="B2589" t="s">
        <v>25</v>
      </c>
      <c r="C2589" t="s">
        <v>57</v>
      </c>
      <c r="D2589">
        <v>10100.950000000001</v>
      </c>
      <c r="E2589">
        <v>4</v>
      </c>
      <c r="F2589" s="1">
        <v>45163</v>
      </c>
      <c r="G2589" t="str">
        <f>IF(COUNTIFS(Table1_3[Country],Table1_3[[#This Row],[Country]],Table1_3[Product],Table1_3[[#This Row],[Product]],Table1_3[Sales Person],Table1_3[[#This Row],[Sales Person]],Table1_3[Amount],"&lt;=100")&gt;=2,"Contract","Deal")</f>
        <v>Deal</v>
      </c>
    </row>
    <row r="2590" spans="1:7" x14ac:dyDescent="0.3">
      <c r="A2590" t="s">
        <v>40</v>
      </c>
      <c r="B2590" t="s">
        <v>25</v>
      </c>
      <c r="C2590" t="s">
        <v>57</v>
      </c>
      <c r="D2590">
        <v>9693.3700000000008</v>
      </c>
      <c r="E2590">
        <v>4</v>
      </c>
      <c r="F2590" s="1">
        <v>45529</v>
      </c>
      <c r="G2590" t="str">
        <f>IF(COUNTIFS(Table1_3[Country],Table1_3[[#This Row],[Country]],Table1_3[Product],Table1_3[[#This Row],[Product]],Table1_3[Sales Person],Table1_3[[#This Row],[Sales Person]],Table1_3[Amount],"&lt;=100")&gt;=2,"Contract","Deal")</f>
        <v>Deal</v>
      </c>
    </row>
    <row r="2591" spans="1:7" x14ac:dyDescent="0.3">
      <c r="A2591" t="s">
        <v>40</v>
      </c>
      <c r="B2591" t="s">
        <v>25</v>
      </c>
      <c r="C2591" t="s">
        <v>46</v>
      </c>
      <c r="D2591">
        <v>7490</v>
      </c>
      <c r="E2591">
        <v>315</v>
      </c>
      <c r="F2591" s="1">
        <v>44575</v>
      </c>
      <c r="G2591" t="str">
        <f>IF(COUNTIFS(Table1_3[Country],Table1_3[[#This Row],[Country]],Table1_3[Product],Table1_3[[#This Row],[Product]],Table1_3[Sales Person],Table1_3[[#This Row],[Sales Person]],Table1_3[Amount],"&lt;=100")&gt;=2,"Contract","Deal")</f>
        <v>Deal</v>
      </c>
    </row>
    <row r="2592" spans="1:7" x14ac:dyDescent="0.3">
      <c r="A2592" t="s">
        <v>40</v>
      </c>
      <c r="B2592" t="s">
        <v>25</v>
      </c>
      <c r="C2592" t="s">
        <v>46</v>
      </c>
      <c r="D2592">
        <v>7940.49</v>
      </c>
      <c r="E2592">
        <v>328</v>
      </c>
      <c r="F2592" s="1">
        <v>44940</v>
      </c>
      <c r="G2592" t="str">
        <f>IF(COUNTIFS(Table1_3[Country],Table1_3[[#This Row],[Country]],Table1_3[Product],Table1_3[[#This Row],[Product]],Table1_3[Sales Person],Table1_3[[#This Row],[Sales Person]],Table1_3[Amount],"&lt;=100")&gt;=2,"Contract","Deal")</f>
        <v>Deal</v>
      </c>
    </row>
    <row r="2593" spans="1:7" x14ac:dyDescent="0.3">
      <c r="A2593" t="s">
        <v>40</v>
      </c>
      <c r="B2593" t="s">
        <v>25</v>
      </c>
      <c r="C2593" t="s">
        <v>46</v>
      </c>
      <c r="D2593">
        <v>8408.1200000000008</v>
      </c>
      <c r="E2593">
        <v>318</v>
      </c>
      <c r="F2593" s="1">
        <v>45305</v>
      </c>
      <c r="G2593" t="str">
        <f>IF(COUNTIFS(Table1_3[Country],Table1_3[[#This Row],[Country]],Table1_3[Product],Table1_3[[#This Row],[Product]],Table1_3[Sales Person],Table1_3[[#This Row],[Sales Person]],Table1_3[Amount],"&lt;=100")&gt;=2,"Contract","Deal")</f>
        <v>Deal</v>
      </c>
    </row>
    <row r="2594" spans="1:7" x14ac:dyDescent="0.3">
      <c r="A2594" t="s">
        <v>40</v>
      </c>
      <c r="B2594" t="s">
        <v>25</v>
      </c>
      <c r="C2594" t="s">
        <v>42</v>
      </c>
      <c r="D2594">
        <v>8624</v>
      </c>
      <c r="E2594">
        <v>50</v>
      </c>
      <c r="F2594" s="1">
        <v>44750</v>
      </c>
      <c r="G2594" t="str">
        <f>IF(COUNTIFS(Table1_3[Country],Table1_3[[#This Row],[Country]],Table1_3[Product],Table1_3[[#This Row],[Product]],Table1_3[Sales Person],Table1_3[[#This Row],[Sales Person]],Table1_3[Amount],"&lt;=100")&gt;=2,"Contract","Deal")</f>
        <v>Deal</v>
      </c>
    </row>
    <row r="2595" spans="1:7" x14ac:dyDescent="0.3">
      <c r="A2595" t="s">
        <v>40</v>
      </c>
      <c r="B2595" t="s">
        <v>25</v>
      </c>
      <c r="C2595" t="s">
        <v>42</v>
      </c>
      <c r="D2595">
        <v>9489.27</v>
      </c>
      <c r="E2595">
        <v>54</v>
      </c>
      <c r="F2595" s="1">
        <v>45115</v>
      </c>
      <c r="G2595" t="str">
        <f>IF(COUNTIFS(Table1_3[Country],Table1_3[[#This Row],[Country]],Table1_3[Product],Table1_3[[#This Row],[Product]],Table1_3[Sales Person],Table1_3[[#This Row],[Sales Person]],Table1_3[Amount],"&lt;=100")&gt;=2,"Contract","Deal")</f>
        <v>Deal</v>
      </c>
    </row>
    <row r="2596" spans="1:7" x14ac:dyDescent="0.3">
      <c r="A2596" t="s">
        <v>40</v>
      </c>
      <c r="B2596" t="s">
        <v>25</v>
      </c>
      <c r="C2596" t="s">
        <v>42</v>
      </c>
      <c r="D2596">
        <v>10337.23</v>
      </c>
      <c r="E2596">
        <v>49</v>
      </c>
      <c r="F2596" s="1">
        <v>45481</v>
      </c>
      <c r="G2596" t="str">
        <f>IF(COUNTIFS(Table1_3[Country],Table1_3[[#This Row],[Country]],Table1_3[Product],Table1_3[[#This Row],[Product]],Table1_3[Sales Person],Table1_3[[#This Row],[Sales Person]],Table1_3[Amount],"&lt;=100")&gt;=2,"Contract","Deal")</f>
        <v>Deal</v>
      </c>
    </row>
    <row r="2597" spans="1:7" x14ac:dyDescent="0.3">
      <c r="A2597" t="s">
        <v>40</v>
      </c>
      <c r="B2597" t="s">
        <v>25</v>
      </c>
      <c r="C2597" t="s">
        <v>13</v>
      </c>
      <c r="D2597">
        <v>8379</v>
      </c>
      <c r="E2597">
        <v>173</v>
      </c>
      <c r="F2597" s="1">
        <v>44776</v>
      </c>
      <c r="G2597" t="str">
        <f>IF(COUNTIFS(Table1_3[Country],Table1_3[[#This Row],[Country]],Table1_3[Product],Table1_3[[#This Row],[Product]],Table1_3[Sales Person],Table1_3[[#This Row],[Sales Person]],Table1_3[Amount],"&lt;=100")&gt;=2,"Contract","Deal")</f>
        <v>Deal</v>
      </c>
    </row>
    <row r="2598" spans="1:7" x14ac:dyDescent="0.3">
      <c r="A2598" t="s">
        <v>40</v>
      </c>
      <c r="B2598" t="s">
        <v>25</v>
      </c>
      <c r="C2598" t="s">
        <v>13</v>
      </c>
      <c r="D2598">
        <v>8549.84</v>
      </c>
      <c r="E2598">
        <v>169</v>
      </c>
      <c r="F2598" s="1">
        <v>45141</v>
      </c>
      <c r="G2598" t="str">
        <f>IF(COUNTIFS(Table1_3[Country],Table1_3[[#This Row],[Country]],Table1_3[Product],Table1_3[[#This Row],[Product]],Table1_3[Sales Person],Table1_3[[#This Row],[Sales Person]],Table1_3[Amount],"&lt;=100")&gt;=2,"Contract","Deal")</f>
        <v>Deal</v>
      </c>
    </row>
    <row r="2599" spans="1:7" x14ac:dyDescent="0.3">
      <c r="A2599" t="s">
        <v>40</v>
      </c>
      <c r="B2599" t="s">
        <v>25</v>
      </c>
      <c r="C2599" t="s">
        <v>13</v>
      </c>
      <c r="D2599">
        <v>8950.59</v>
      </c>
      <c r="E2599">
        <v>189</v>
      </c>
      <c r="F2599" s="1">
        <v>45507</v>
      </c>
      <c r="G2599" t="str">
        <f>IF(COUNTIFS(Table1_3[Country],Table1_3[[#This Row],[Country]],Table1_3[Product],Table1_3[[#This Row],[Product]],Table1_3[Sales Person],Table1_3[[#This Row],[Sales Person]],Table1_3[Amount],"&lt;=100")&gt;=2,"Contract","Deal")</f>
        <v>Deal</v>
      </c>
    </row>
    <row r="2600" spans="1:7" x14ac:dyDescent="0.3">
      <c r="A2600" t="s">
        <v>40</v>
      </c>
      <c r="B2600" t="s">
        <v>25</v>
      </c>
      <c r="C2600" t="s">
        <v>18</v>
      </c>
      <c r="D2600">
        <v>8484</v>
      </c>
      <c r="E2600">
        <v>57</v>
      </c>
      <c r="F2600" s="1">
        <v>44726</v>
      </c>
      <c r="G2600" t="str">
        <f>IF(COUNTIFS(Table1_3[Country],Table1_3[[#This Row],[Country]],Table1_3[Product],Table1_3[[#This Row],[Product]],Table1_3[Sales Person],Table1_3[[#This Row],[Sales Person]],Table1_3[Amount],"&lt;=100")&gt;=2,"Contract","Deal")</f>
        <v>Deal</v>
      </c>
    </row>
    <row r="2601" spans="1:7" x14ac:dyDescent="0.3">
      <c r="A2601" t="s">
        <v>40</v>
      </c>
      <c r="B2601" t="s">
        <v>25</v>
      </c>
      <c r="C2601" t="s">
        <v>18</v>
      </c>
      <c r="D2601">
        <v>9689.7000000000007</v>
      </c>
      <c r="E2601">
        <v>58</v>
      </c>
      <c r="F2601" s="1">
        <v>45091</v>
      </c>
      <c r="G2601" t="str">
        <f>IF(COUNTIFS(Table1_3[Country],Table1_3[[#This Row],[Country]],Table1_3[Product],Table1_3[[#This Row],[Product]],Table1_3[Sales Person],Table1_3[[#This Row],[Sales Person]],Table1_3[Amount],"&lt;=100")&gt;=2,"Contract","Deal")</f>
        <v>Deal</v>
      </c>
    </row>
    <row r="2602" spans="1:7" x14ac:dyDescent="0.3">
      <c r="A2602" t="s">
        <v>40</v>
      </c>
      <c r="B2602" t="s">
        <v>25</v>
      </c>
      <c r="C2602" t="s">
        <v>18</v>
      </c>
      <c r="D2602">
        <v>9057.64</v>
      </c>
      <c r="E2602">
        <v>56</v>
      </c>
      <c r="F2602" s="1">
        <v>45457</v>
      </c>
      <c r="G2602" t="str">
        <f>IF(COUNTIFS(Table1_3[Country],Table1_3[[#This Row],[Country]],Table1_3[Product],Table1_3[[#This Row],[Product]],Table1_3[Sales Person],Table1_3[[#This Row],[Sales Person]],Table1_3[Amount],"&lt;=100")&gt;=2,"Contract","Deal")</f>
        <v>Deal</v>
      </c>
    </row>
    <row r="2603" spans="1:7" x14ac:dyDescent="0.3">
      <c r="A2603" t="s">
        <v>40</v>
      </c>
      <c r="B2603" t="s">
        <v>7</v>
      </c>
      <c r="C2603" t="s">
        <v>26</v>
      </c>
      <c r="D2603">
        <v>2989</v>
      </c>
      <c r="E2603">
        <v>124</v>
      </c>
      <c r="F2603" s="1">
        <v>44726</v>
      </c>
      <c r="G2603" t="str">
        <f>IF(COUNTIFS(Table1_3[Country],Table1_3[[#This Row],[Country]],Table1_3[Product],Table1_3[[#This Row],[Product]],Table1_3[Sales Person],Table1_3[[#This Row],[Sales Person]],Table1_3[Amount],"&lt;=100")&gt;=2,"Contract","Deal")</f>
        <v>Deal</v>
      </c>
    </row>
    <row r="2604" spans="1:7" x14ac:dyDescent="0.3">
      <c r="A2604" t="s">
        <v>40</v>
      </c>
      <c r="B2604" t="s">
        <v>7</v>
      </c>
      <c r="C2604" t="s">
        <v>26</v>
      </c>
      <c r="D2604">
        <v>3288.29</v>
      </c>
      <c r="E2604">
        <v>133</v>
      </c>
      <c r="F2604" s="1">
        <v>45091</v>
      </c>
      <c r="G2604" t="str">
        <f>IF(COUNTIFS(Table1_3[Country],Table1_3[[#This Row],[Country]],Table1_3[Product],Table1_3[[#This Row],[Product]],Table1_3[Sales Person],Table1_3[[#This Row],[Sales Person]],Table1_3[Amount],"&lt;=100")&gt;=2,"Contract","Deal")</f>
        <v>Deal</v>
      </c>
    </row>
    <row r="2605" spans="1:7" x14ac:dyDescent="0.3">
      <c r="A2605" t="s">
        <v>40</v>
      </c>
      <c r="B2605" t="s">
        <v>7</v>
      </c>
      <c r="C2605" t="s">
        <v>26</v>
      </c>
      <c r="D2605">
        <v>3506.38</v>
      </c>
      <c r="E2605">
        <v>126</v>
      </c>
      <c r="F2605" s="1">
        <v>45457</v>
      </c>
      <c r="G2605" t="str">
        <f>IF(COUNTIFS(Table1_3[Country],Table1_3[[#This Row],[Country]],Table1_3[Product],Table1_3[[#This Row],[Product]],Table1_3[Sales Person],Table1_3[[#This Row],[Sales Person]],Table1_3[Amount],"&lt;=100")&gt;=2,"Contract","Deal")</f>
        <v>Deal</v>
      </c>
    </row>
    <row r="2606" spans="1:7" x14ac:dyDescent="0.3">
      <c r="A2606" t="s">
        <v>40</v>
      </c>
      <c r="B2606" t="s">
        <v>7</v>
      </c>
      <c r="C2606" t="s">
        <v>20</v>
      </c>
      <c r="D2606">
        <v>8113</v>
      </c>
      <c r="E2606">
        <v>194</v>
      </c>
      <c r="F2606" s="1">
        <v>44574</v>
      </c>
      <c r="G2606" t="str">
        <f>IF(COUNTIFS(Table1_3[Country],Table1_3[[#This Row],[Country]],Table1_3[Product],Table1_3[[#This Row],[Product]],Table1_3[Sales Person],Table1_3[[#This Row],[Sales Person]],Table1_3[Amount],"&lt;=100")&gt;=2,"Contract","Deal")</f>
        <v>Deal</v>
      </c>
    </row>
    <row r="2607" spans="1:7" x14ac:dyDescent="0.3">
      <c r="A2607" t="s">
        <v>40</v>
      </c>
      <c r="B2607" t="s">
        <v>7</v>
      </c>
      <c r="C2607" t="s">
        <v>20</v>
      </c>
      <c r="D2607">
        <v>9124.16</v>
      </c>
      <c r="E2607">
        <v>209</v>
      </c>
      <c r="F2607" s="1">
        <v>44939</v>
      </c>
      <c r="G2607" t="str">
        <f>IF(COUNTIFS(Table1_3[Country],Table1_3[[#This Row],[Country]],Table1_3[Product],Table1_3[[#This Row],[Product]],Table1_3[Sales Person],Table1_3[[#This Row],[Sales Person]],Table1_3[Amount],"&lt;=100")&gt;=2,"Contract","Deal")</f>
        <v>Deal</v>
      </c>
    </row>
    <row r="2608" spans="1:7" x14ac:dyDescent="0.3">
      <c r="A2608" t="s">
        <v>40</v>
      </c>
      <c r="B2608" t="s">
        <v>7</v>
      </c>
      <c r="C2608" t="s">
        <v>20</v>
      </c>
      <c r="D2608">
        <v>8551.6</v>
      </c>
      <c r="E2608">
        <v>208</v>
      </c>
      <c r="F2608" s="1">
        <v>45304</v>
      </c>
      <c r="G2608" t="str">
        <f>IF(COUNTIFS(Table1_3[Country],Table1_3[[#This Row],[Country]],Table1_3[Product],Table1_3[[#This Row],[Product]],Table1_3[Sales Person],Table1_3[[#This Row],[Sales Person]],Table1_3[Amount],"&lt;=100")&gt;=2,"Contract","Deal")</f>
        <v>Deal</v>
      </c>
    </row>
    <row r="2609" spans="1:7" x14ac:dyDescent="0.3">
      <c r="A2609" t="s">
        <v>40</v>
      </c>
      <c r="B2609" t="s">
        <v>7</v>
      </c>
      <c r="C2609" t="s">
        <v>87</v>
      </c>
      <c r="D2609">
        <v>252</v>
      </c>
      <c r="E2609">
        <v>154</v>
      </c>
      <c r="F2609" s="1">
        <v>44722</v>
      </c>
      <c r="G2609" t="str">
        <f>IF(COUNTIFS(Table1_3[Country],Table1_3[[#This Row],[Country]],Table1_3[Product],Table1_3[[#This Row],[Product]],Table1_3[Sales Person],Table1_3[[#This Row],[Sales Person]],Table1_3[Amount],"&lt;=100")&gt;=2,"Contract","Deal")</f>
        <v>Deal</v>
      </c>
    </row>
    <row r="2610" spans="1:7" x14ac:dyDescent="0.3">
      <c r="A2610" t="s">
        <v>40</v>
      </c>
      <c r="B2610" t="s">
        <v>7</v>
      </c>
      <c r="C2610" t="s">
        <v>87</v>
      </c>
      <c r="D2610">
        <v>254.16</v>
      </c>
      <c r="E2610">
        <v>161</v>
      </c>
      <c r="F2610" s="1">
        <v>45087</v>
      </c>
      <c r="G2610" t="str">
        <f>IF(COUNTIFS(Table1_3[Country],Table1_3[[#This Row],[Country]],Table1_3[Product],Table1_3[[#This Row],[Product]],Table1_3[Sales Person],Table1_3[[#This Row],[Sales Person]],Table1_3[Amount],"&lt;=100")&gt;=2,"Contract","Deal")</f>
        <v>Deal</v>
      </c>
    </row>
    <row r="2611" spans="1:7" x14ac:dyDescent="0.3">
      <c r="A2611" t="s">
        <v>40</v>
      </c>
      <c r="B2611" t="s">
        <v>7</v>
      </c>
      <c r="C2611" t="s">
        <v>87</v>
      </c>
      <c r="D2611">
        <v>302.25</v>
      </c>
      <c r="E2611">
        <v>154</v>
      </c>
      <c r="F2611" s="1">
        <v>45453</v>
      </c>
      <c r="G2611" t="str">
        <f>IF(COUNTIFS(Table1_3[Country],Table1_3[[#This Row],[Country]],Table1_3[Product],Table1_3[[#This Row],[Product]],Table1_3[Sales Person],Table1_3[[#This Row],[Sales Person]],Table1_3[Amount],"&lt;=100")&gt;=2,"Contract","Deal")</f>
        <v>Deal</v>
      </c>
    </row>
    <row r="2612" spans="1:7" x14ac:dyDescent="0.3">
      <c r="A2612" t="s">
        <v>40</v>
      </c>
      <c r="B2612" t="s">
        <v>7</v>
      </c>
      <c r="C2612" t="s">
        <v>90</v>
      </c>
      <c r="D2612">
        <v>3549</v>
      </c>
      <c r="E2612">
        <v>112</v>
      </c>
      <c r="F2612" s="1">
        <v>44761</v>
      </c>
      <c r="G2612" t="str">
        <f>IF(COUNTIFS(Table1_3[Country],Table1_3[[#This Row],[Country]],Table1_3[Product],Table1_3[[#This Row],[Product]],Table1_3[Sales Person],Table1_3[[#This Row],[Sales Person]],Table1_3[Amount],"&lt;=100")&gt;=2,"Contract","Deal")</f>
        <v>Deal</v>
      </c>
    </row>
    <row r="2613" spans="1:7" x14ac:dyDescent="0.3">
      <c r="A2613" t="s">
        <v>40</v>
      </c>
      <c r="B2613" t="s">
        <v>7</v>
      </c>
      <c r="C2613" t="s">
        <v>90</v>
      </c>
      <c r="D2613">
        <v>3651.49</v>
      </c>
      <c r="E2613">
        <v>112</v>
      </c>
      <c r="F2613" s="1">
        <v>45126</v>
      </c>
      <c r="G2613" t="str">
        <f>IF(COUNTIFS(Table1_3[Country],Table1_3[[#This Row],[Country]],Table1_3[Product],Table1_3[[#This Row],[Product]],Table1_3[Sales Person],Table1_3[[#This Row],[Sales Person]],Table1_3[Amount],"&lt;=100")&gt;=2,"Contract","Deal")</f>
        <v>Deal</v>
      </c>
    </row>
    <row r="2614" spans="1:7" x14ac:dyDescent="0.3">
      <c r="A2614" t="s">
        <v>40</v>
      </c>
      <c r="B2614" t="s">
        <v>7</v>
      </c>
      <c r="C2614" t="s">
        <v>90</v>
      </c>
      <c r="D2614">
        <v>4198.08</v>
      </c>
      <c r="E2614">
        <v>107</v>
      </c>
      <c r="F2614" s="1">
        <v>45492</v>
      </c>
      <c r="G2614" t="str">
        <f>IF(COUNTIFS(Table1_3[Country],Table1_3[[#This Row],[Country]],Table1_3[Product],Table1_3[[#This Row],[Product]],Table1_3[Sales Person],Table1_3[[#This Row],[Sales Person]],Table1_3[Amount],"&lt;=100")&gt;=2,"Contract","Deal")</f>
        <v>Deal</v>
      </c>
    </row>
    <row r="2615" spans="1:7" x14ac:dyDescent="0.3">
      <c r="A2615" t="s">
        <v>40</v>
      </c>
      <c r="B2615" t="s">
        <v>7</v>
      </c>
      <c r="C2615" t="s">
        <v>38</v>
      </c>
      <c r="D2615">
        <v>973</v>
      </c>
      <c r="E2615">
        <v>28</v>
      </c>
      <c r="F2615" s="1">
        <v>44649</v>
      </c>
      <c r="G2615" t="str">
        <f>IF(COUNTIFS(Table1_3[Country],Table1_3[[#This Row],[Country]],Table1_3[Product],Table1_3[[#This Row],[Product]],Table1_3[Sales Person],Table1_3[[#This Row],[Sales Person]],Table1_3[Amount],"&lt;=100")&gt;=2,"Contract","Deal")</f>
        <v>Deal</v>
      </c>
    </row>
    <row r="2616" spans="1:7" x14ac:dyDescent="0.3">
      <c r="A2616" t="s">
        <v>40</v>
      </c>
      <c r="B2616" t="s">
        <v>7</v>
      </c>
      <c r="C2616" t="s">
        <v>38</v>
      </c>
      <c r="D2616">
        <v>1016.77</v>
      </c>
      <c r="E2616">
        <v>28</v>
      </c>
      <c r="F2616" s="1">
        <v>45014</v>
      </c>
      <c r="G2616" t="str">
        <f>IF(COUNTIFS(Table1_3[Country],Table1_3[[#This Row],[Country]],Table1_3[Product],Table1_3[[#This Row],[Product]],Table1_3[Sales Person],Table1_3[[#This Row],[Sales Person]],Table1_3[Amount],"&lt;=100")&gt;=2,"Contract","Deal")</f>
        <v>Deal</v>
      </c>
    </row>
    <row r="2617" spans="1:7" x14ac:dyDescent="0.3">
      <c r="A2617" t="s">
        <v>40</v>
      </c>
      <c r="B2617" t="s">
        <v>7</v>
      </c>
      <c r="C2617" t="s">
        <v>38</v>
      </c>
      <c r="D2617">
        <v>1135.1600000000001</v>
      </c>
      <c r="E2617">
        <v>27</v>
      </c>
      <c r="F2617" s="1">
        <v>45380</v>
      </c>
      <c r="G2617" t="str">
        <f>IF(COUNTIFS(Table1_3[Country],Table1_3[[#This Row],[Country]],Table1_3[Product],Table1_3[[#This Row],[Product]],Table1_3[Sales Person],Table1_3[[#This Row],[Sales Person]],Table1_3[Amount],"&lt;=100")&gt;=2,"Contract","Deal")</f>
        <v>Deal</v>
      </c>
    </row>
    <row r="2618" spans="1:7" x14ac:dyDescent="0.3">
      <c r="A2618" t="s">
        <v>40</v>
      </c>
      <c r="B2618" t="s">
        <v>7</v>
      </c>
      <c r="C2618" t="s">
        <v>60</v>
      </c>
      <c r="D2618">
        <v>10983</v>
      </c>
      <c r="E2618">
        <v>179</v>
      </c>
      <c r="F2618" s="1">
        <v>44722</v>
      </c>
      <c r="G2618" t="str">
        <f>IF(COUNTIFS(Table1_3[Country],Table1_3[[#This Row],[Country]],Table1_3[Product],Table1_3[[#This Row],[Product]],Table1_3[Sales Person],Table1_3[[#This Row],[Sales Person]],Table1_3[Amount],"&lt;=100")&gt;=2,"Contract","Deal")</f>
        <v>Deal</v>
      </c>
    </row>
    <row r="2619" spans="1:7" x14ac:dyDescent="0.3">
      <c r="A2619" t="s">
        <v>40</v>
      </c>
      <c r="B2619" t="s">
        <v>7</v>
      </c>
      <c r="C2619" t="s">
        <v>60</v>
      </c>
      <c r="D2619">
        <v>12449.46</v>
      </c>
      <c r="E2619">
        <v>177</v>
      </c>
      <c r="F2619" s="1">
        <v>45087</v>
      </c>
      <c r="G2619" t="str">
        <f>IF(COUNTIFS(Table1_3[Country],Table1_3[[#This Row],[Country]],Table1_3[Product],Table1_3[[#This Row],[Product]],Table1_3[Sales Person],Table1_3[[#This Row],[Sales Person]],Table1_3[Amount],"&lt;=100")&gt;=2,"Contract","Deal")</f>
        <v>Deal</v>
      </c>
    </row>
    <row r="2620" spans="1:7" x14ac:dyDescent="0.3">
      <c r="A2620" t="s">
        <v>40</v>
      </c>
      <c r="B2620" t="s">
        <v>7</v>
      </c>
      <c r="C2620" t="s">
        <v>60</v>
      </c>
      <c r="D2620">
        <v>11735.75</v>
      </c>
      <c r="E2620">
        <v>185</v>
      </c>
      <c r="F2620" s="1">
        <v>45453</v>
      </c>
      <c r="G2620" t="str">
        <f>IF(COUNTIFS(Table1_3[Country],Table1_3[[#This Row],[Country]],Table1_3[Product],Table1_3[[#This Row],[Product]],Table1_3[Sales Person],Table1_3[[#This Row],[Sales Person]],Table1_3[Amount],"&lt;=100")&gt;=2,"Contract","Deal")</f>
        <v>Deal</v>
      </c>
    </row>
    <row r="2621" spans="1:7" x14ac:dyDescent="0.3">
      <c r="A2621" t="s">
        <v>40</v>
      </c>
      <c r="B2621" t="s">
        <v>7</v>
      </c>
      <c r="C2621" t="s">
        <v>33</v>
      </c>
      <c r="D2621">
        <v>11319</v>
      </c>
      <c r="E2621">
        <v>12</v>
      </c>
      <c r="F2621" s="1">
        <v>44718</v>
      </c>
      <c r="G2621" t="str">
        <f>IF(COUNTIFS(Table1_3[Country],Table1_3[[#This Row],[Country]],Table1_3[Product],Table1_3[[#This Row],[Product]],Table1_3[Sales Person],Table1_3[[#This Row],[Sales Person]],Table1_3[Amount],"&lt;=100")&gt;=2,"Contract","Deal")</f>
        <v>Deal</v>
      </c>
    </row>
    <row r="2622" spans="1:7" x14ac:dyDescent="0.3">
      <c r="A2622" t="s">
        <v>40</v>
      </c>
      <c r="B2622" t="s">
        <v>7</v>
      </c>
      <c r="C2622" t="s">
        <v>33</v>
      </c>
      <c r="D2622">
        <v>11882.82</v>
      </c>
      <c r="E2622">
        <v>13</v>
      </c>
      <c r="F2622" s="1">
        <v>45083</v>
      </c>
      <c r="G2622" t="str">
        <f>IF(COUNTIFS(Table1_3[Country],Table1_3[[#This Row],[Country]],Table1_3[Product],Table1_3[[#This Row],[Product]],Table1_3[Sales Person],Table1_3[[#This Row],[Sales Person]],Table1_3[Amount],"&lt;=100")&gt;=2,"Contract","Deal")</f>
        <v>Deal</v>
      </c>
    </row>
    <row r="2623" spans="1:7" x14ac:dyDescent="0.3">
      <c r="A2623" t="s">
        <v>40</v>
      </c>
      <c r="B2623" t="s">
        <v>7</v>
      </c>
      <c r="C2623" t="s">
        <v>33</v>
      </c>
      <c r="D2623">
        <v>13072.74</v>
      </c>
      <c r="E2623">
        <v>11</v>
      </c>
      <c r="F2623" s="1">
        <v>45449</v>
      </c>
      <c r="G2623" t="str">
        <f>IF(COUNTIFS(Table1_3[Country],Table1_3[[#This Row],[Country]],Table1_3[Product],Table1_3[[#This Row],[Product]],Table1_3[Sales Person],Table1_3[[#This Row],[Sales Person]],Table1_3[Amount],"&lt;=100")&gt;=2,"Contract","Deal")</f>
        <v>Deal</v>
      </c>
    </row>
    <row r="2624" spans="1:7" x14ac:dyDescent="0.3">
      <c r="A2624" t="s">
        <v>40</v>
      </c>
      <c r="B2624" t="s">
        <v>7</v>
      </c>
      <c r="C2624" t="s">
        <v>18</v>
      </c>
      <c r="D2624">
        <v>18991</v>
      </c>
      <c r="E2624">
        <v>88</v>
      </c>
      <c r="F2624" s="1">
        <v>44694</v>
      </c>
      <c r="G2624" t="str">
        <f>IF(COUNTIFS(Table1_3[Country],Table1_3[[#This Row],[Country]],Table1_3[Product],Table1_3[[#This Row],[Product]],Table1_3[Sales Person],Table1_3[[#This Row],[Sales Person]],Table1_3[Amount],"&lt;=100")&gt;=2,"Contract","Deal")</f>
        <v>Deal</v>
      </c>
    </row>
    <row r="2625" spans="1:7" x14ac:dyDescent="0.3">
      <c r="A2625" t="s">
        <v>40</v>
      </c>
      <c r="B2625" t="s">
        <v>7</v>
      </c>
      <c r="C2625" t="s">
        <v>18</v>
      </c>
      <c r="D2625">
        <v>21251.67</v>
      </c>
      <c r="E2625">
        <v>91</v>
      </c>
      <c r="F2625" s="1">
        <v>45059</v>
      </c>
      <c r="G2625" t="str">
        <f>IF(COUNTIFS(Table1_3[Country],Table1_3[[#This Row],[Country]],Table1_3[Product],Table1_3[[#This Row],[Product]],Table1_3[Sales Person],Table1_3[[#This Row],[Sales Person]],Table1_3[Amount],"&lt;=100")&gt;=2,"Contract","Deal")</f>
        <v>Deal</v>
      </c>
    </row>
    <row r="2626" spans="1:7" x14ac:dyDescent="0.3">
      <c r="A2626" t="s">
        <v>40</v>
      </c>
      <c r="B2626" t="s">
        <v>7</v>
      </c>
      <c r="C2626" t="s">
        <v>18</v>
      </c>
      <c r="D2626">
        <v>22558.880000000001</v>
      </c>
      <c r="E2626">
        <v>84</v>
      </c>
      <c r="F2626" s="1">
        <v>45425</v>
      </c>
      <c r="G2626" t="str">
        <f>IF(COUNTIFS(Table1_3[Country],Table1_3[[#This Row],[Country]],Table1_3[Product],Table1_3[[#This Row],[Product]],Table1_3[Sales Person],Table1_3[[#This Row],[Sales Person]],Table1_3[Amount],"&lt;=100")&gt;=2,"Contract","Deal")</f>
        <v>Deal</v>
      </c>
    </row>
    <row r="2627" spans="1:7" x14ac:dyDescent="0.3">
      <c r="A2627" t="s">
        <v>40</v>
      </c>
      <c r="B2627" t="s">
        <v>32</v>
      </c>
      <c r="C2627" t="s">
        <v>26</v>
      </c>
      <c r="D2627">
        <v>1064</v>
      </c>
      <c r="E2627">
        <v>106</v>
      </c>
      <c r="F2627" s="1">
        <v>44727</v>
      </c>
      <c r="G2627" t="str">
        <f>IF(COUNTIFS(Table1_3[Country],Table1_3[[#This Row],[Country]],Table1_3[Product],Table1_3[[#This Row],[Product]],Table1_3[Sales Person],Table1_3[[#This Row],[Sales Person]],Table1_3[Amount],"&lt;=100")&gt;=2,"Contract","Deal")</f>
        <v>Deal</v>
      </c>
    </row>
    <row r="2628" spans="1:7" x14ac:dyDescent="0.3">
      <c r="A2628" t="s">
        <v>40</v>
      </c>
      <c r="B2628" t="s">
        <v>32</v>
      </c>
      <c r="C2628" t="s">
        <v>26</v>
      </c>
      <c r="D2628">
        <v>1114.1300000000001</v>
      </c>
      <c r="E2628">
        <v>106</v>
      </c>
      <c r="F2628" s="1">
        <v>45092</v>
      </c>
      <c r="G2628" t="str">
        <f>IF(COUNTIFS(Table1_3[Country],Table1_3[[#This Row],[Country]],Table1_3[Product],Table1_3[[#This Row],[Product]],Table1_3[Sales Person],Table1_3[[#This Row],[Sales Person]],Table1_3[Amount],"&lt;=100")&gt;=2,"Contract","Deal")</f>
        <v>Deal</v>
      </c>
    </row>
    <row r="2629" spans="1:7" x14ac:dyDescent="0.3">
      <c r="A2629" t="s">
        <v>40</v>
      </c>
      <c r="B2629" t="s">
        <v>32</v>
      </c>
      <c r="C2629" t="s">
        <v>26</v>
      </c>
      <c r="D2629">
        <v>1117.77</v>
      </c>
      <c r="E2629">
        <v>114</v>
      </c>
      <c r="F2629" s="1">
        <v>45458</v>
      </c>
      <c r="G2629" t="str">
        <f>IF(COUNTIFS(Table1_3[Country],Table1_3[[#This Row],[Country]],Table1_3[Product],Table1_3[[#This Row],[Product]],Table1_3[Sales Person],Table1_3[[#This Row],[Sales Person]],Table1_3[Amount],"&lt;=100")&gt;=2,"Contract","Deal")</f>
        <v>Deal</v>
      </c>
    </row>
    <row r="2630" spans="1:7" x14ac:dyDescent="0.3">
      <c r="A2630" t="s">
        <v>40</v>
      </c>
      <c r="B2630" t="s">
        <v>32</v>
      </c>
      <c r="C2630" t="s">
        <v>20</v>
      </c>
      <c r="D2630">
        <v>4151</v>
      </c>
      <c r="E2630">
        <v>296</v>
      </c>
      <c r="F2630" s="1">
        <v>44648</v>
      </c>
      <c r="G2630" t="str">
        <f>IF(COUNTIFS(Table1_3[Country],Table1_3[[#This Row],[Country]],Table1_3[Product],Table1_3[[#This Row],[Product]],Table1_3[Sales Person],Table1_3[[#This Row],[Sales Person]],Table1_3[Amount],"&lt;=100")&gt;=2,"Contract","Deal")</f>
        <v>Deal</v>
      </c>
    </row>
    <row r="2631" spans="1:7" x14ac:dyDescent="0.3">
      <c r="A2631" t="s">
        <v>40</v>
      </c>
      <c r="B2631" t="s">
        <v>32</v>
      </c>
      <c r="C2631" t="s">
        <v>20</v>
      </c>
      <c r="D2631">
        <v>4646.91</v>
      </c>
      <c r="E2631">
        <v>317</v>
      </c>
      <c r="F2631" s="1">
        <v>45013</v>
      </c>
      <c r="G2631" t="str">
        <f>IF(COUNTIFS(Table1_3[Country],Table1_3[[#This Row],[Country]],Table1_3[Product],Table1_3[[#This Row],[Product]],Table1_3[Sales Person],Table1_3[[#This Row],[Sales Person]],Table1_3[Amount],"&lt;=100")&gt;=2,"Contract","Deal")</f>
        <v>Deal</v>
      </c>
    </row>
    <row r="2632" spans="1:7" x14ac:dyDescent="0.3">
      <c r="A2632" t="s">
        <v>40</v>
      </c>
      <c r="B2632" t="s">
        <v>32</v>
      </c>
      <c r="C2632" t="s">
        <v>20</v>
      </c>
      <c r="D2632">
        <v>4861.33</v>
      </c>
      <c r="E2632">
        <v>286</v>
      </c>
      <c r="F2632" s="1">
        <v>45379</v>
      </c>
      <c r="G2632" t="str">
        <f>IF(COUNTIFS(Table1_3[Country],Table1_3[[#This Row],[Country]],Table1_3[Product],Table1_3[[#This Row],[Product]],Table1_3[Sales Person],Table1_3[[#This Row],[Sales Person]],Table1_3[Amount],"&lt;=100")&gt;=2,"Contract","Deal")</f>
        <v>Deal</v>
      </c>
    </row>
    <row r="2633" spans="1:7" x14ac:dyDescent="0.3">
      <c r="A2633" t="s">
        <v>40</v>
      </c>
      <c r="B2633" t="s">
        <v>32</v>
      </c>
      <c r="C2633" t="s">
        <v>23</v>
      </c>
      <c r="D2633">
        <v>4753</v>
      </c>
      <c r="E2633">
        <v>163</v>
      </c>
      <c r="F2633" s="1">
        <v>44711</v>
      </c>
      <c r="G2633" t="str">
        <f>IF(COUNTIFS(Table1_3[Country],Table1_3[[#This Row],[Country]],Table1_3[Product],Table1_3[[#This Row],[Product]],Table1_3[Sales Person],Table1_3[[#This Row],[Sales Person]],Table1_3[Amount],"&lt;=100")&gt;=2,"Contract","Deal")</f>
        <v>Deal</v>
      </c>
    </row>
    <row r="2634" spans="1:7" x14ac:dyDescent="0.3">
      <c r="A2634" t="s">
        <v>40</v>
      </c>
      <c r="B2634" t="s">
        <v>32</v>
      </c>
      <c r="C2634" t="s">
        <v>23</v>
      </c>
      <c r="D2634">
        <v>5481.18</v>
      </c>
      <c r="E2634">
        <v>159</v>
      </c>
      <c r="F2634" s="1">
        <v>45076</v>
      </c>
      <c r="G2634" t="str">
        <f>IF(COUNTIFS(Table1_3[Country],Table1_3[[#This Row],[Country]],Table1_3[Product],Table1_3[[#This Row],[Product]],Table1_3[Sales Person],Table1_3[[#This Row],[Sales Person]],Table1_3[Amount],"&lt;=100")&gt;=2,"Contract","Deal")</f>
        <v>Deal</v>
      </c>
    </row>
    <row r="2635" spans="1:7" x14ac:dyDescent="0.3">
      <c r="A2635" t="s">
        <v>40</v>
      </c>
      <c r="B2635" t="s">
        <v>32</v>
      </c>
      <c r="C2635" t="s">
        <v>23</v>
      </c>
      <c r="D2635">
        <v>5611.65</v>
      </c>
      <c r="E2635">
        <v>159</v>
      </c>
      <c r="F2635" s="1">
        <v>45442</v>
      </c>
      <c r="G2635" t="str">
        <f>IF(COUNTIFS(Table1_3[Country],Table1_3[[#This Row],[Country]],Table1_3[Product],Table1_3[[#This Row],[Product]],Table1_3[Sales Person],Table1_3[[#This Row],[Sales Person]],Table1_3[Amount],"&lt;=100")&gt;=2,"Contract","Deal")</f>
        <v>Deal</v>
      </c>
    </row>
    <row r="2636" spans="1:7" x14ac:dyDescent="0.3">
      <c r="A2636" t="s">
        <v>40</v>
      </c>
      <c r="B2636" t="s">
        <v>32</v>
      </c>
      <c r="C2636" t="s">
        <v>65</v>
      </c>
      <c r="D2636">
        <v>7798</v>
      </c>
      <c r="E2636">
        <v>167</v>
      </c>
      <c r="F2636" s="1">
        <v>44617</v>
      </c>
      <c r="G2636" t="str">
        <f>IF(COUNTIFS(Table1_3[Country],Table1_3[[#This Row],[Country]],Table1_3[Product],Table1_3[[#This Row],[Product]],Table1_3[Sales Person],Table1_3[[#This Row],[Sales Person]],Table1_3[Amount],"&lt;=100")&gt;=2,"Contract","Deal")</f>
        <v>Deal</v>
      </c>
    </row>
    <row r="2637" spans="1:7" x14ac:dyDescent="0.3">
      <c r="A2637" t="s">
        <v>40</v>
      </c>
      <c r="B2637" t="s">
        <v>32</v>
      </c>
      <c r="C2637" t="s">
        <v>65</v>
      </c>
      <c r="D2637">
        <v>8012.72</v>
      </c>
      <c r="E2637">
        <v>163</v>
      </c>
      <c r="F2637" s="1">
        <v>44982</v>
      </c>
      <c r="G2637" t="str">
        <f>IF(COUNTIFS(Table1_3[Country],Table1_3[[#This Row],[Country]],Table1_3[Product],Table1_3[[#This Row],[Product]],Table1_3[Sales Person],Table1_3[[#This Row],[Sales Person]],Table1_3[Amount],"&lt;=100")&gt;=2,"Contract","Deal")</f>
        <v>Deal</v>
      </c>
    </row>
    <row r="2638" spans="1:7" x14ac:dyDescent="0.3">
      <c r="A2638" t="s">
        <v>40</v>
      </c>
      <c r="B2638" t="s">
        <v>32</v>
      </c>
      <c r="C2638" t="s">
        <v>65</v>
      </c>
      <c r="D2638">
        <v>9376.61</v>
      </c>
      <c r="E2638">
        <v>167</v>
      </c>
      <c r="F2638" s="1">
        <v>45347</v>
      </c>
      <c r="G2638" t="str">
        <f>IF(COUNTIFS(Table1_3[Country],Table1_3[[#This Row],[Country]],Table1_3[Product],Table1_3[[#This Row],[Product]],Table1_3[Sales Person],Table1_3[[#This Row],[Sales Person]],Table1_3[Amount],"&lt;=100")&gt;=2,"Contract","Deal")</f>
        <v>Deal</v>
      </c>
    </row>
    <row r="2639" spans="1:7" x14ac:dyDescent="0.3">
      <c r="A2639" t="s">
        <v>40</v>
      </c>
      <c r="B2639" t="s">
        <v>32</v>
      </c>
      <c r="C2639" t="s">
        <v>87</v>
      </c>
      <c r="D2639">
        <v>8470</v>
      </c>
      <c r="E2639">
        <v>9</v>
      </c>
      <c r="F2639" s="1">
        <v>44587</v>
      </c>
      <c r="G2639" t="str">
        <f>IF(COUNTIFS(Table1_3[Country],Table1_3[[#This Row],[Country]],Table1_3[Product],Table1_3[[#This Row],[Product]],Table1_3[Sales Person],Table1_3[[#This Row],[Sales Person]],Table1_3[Amount],"&lt;=100")&gt;=2,"Contract","Deal")</f>
        <v>Deal</v>
      </c>
    </row>
    <row r="2640" spans="1:7" x14ac:dyDescent="0.3">
      <c r="A2640" t="s">
        <v>40</v>
      </c>
      <c r="B2640" t="s">
        <v>32</v>
      </c>
      <c r="C2640" t="s">
        <v>87</v>
      </c>
      <c r="D2640">
        <v>9718.8700000000008</v>
      </c>
      <c r="E2640">
        <v>10</v>
      </c>
      <c r="F2640" s="1">
        <v>44952</v>
      </c>
      <c r="G2640" t="str">
        <f>IF(COUNTIFS(Table1_3[Country],Table1_3[[#This Row],[Country]],Table1_3[Product],Table1_3[[#This Row],[Product]],Table1_3[Sales Person],Table1_3[[#This Row],[Sales Person]],Table1_3[Amount],"&lt;=100")&gt;=2,"Contract","Deal")</f>
        <v>Deal</v>
      </c>
    </row>
    <row r="2641" spans="1:7" x14ac:dyDescent="0.3">
      <c r="A2641" t="s">
        <v>40</v>
      </c>
      <c r="B2641" t="s">
        <v>32</v>
      </c>
      <c r="C2641" t="s">
        <v>87</v>
      </c>
      <c r="D2641">
        <v>9831.9699999999993</v>
      </c>
      <c r="E2641">
        <v>9</v>
      </c>
      <c r="F2641" s="1">
        <v>45317</v>
      </c>
      <c r="G2641" t="str">
        <f>IF(COUNTIFS(Table1_3[Country],Table1_3[[#This Row],[Country]],Table1_3[Product],Table1_3[[#This Row],[Product]],Table1_3[Sales Person],Table1_3[[#This Row],[Sales Person]],Table1_3[Amount],"&lt;=100")&gt;=2,"Contract","Deal")</f>
        <v>Deal</v>
      </c>
    </row>
    <row r="2642" spans="1:7" x14ac:dyDescent="0.3">
      <c r="A2642" t="s">
        <v>40</v>
      </c>
      <c r="B2642" t="s">
        <v>32</v>
      </c>
      <c r="C2642" t="s">
        <v>33</v>
      </c>
      <c r="D2642">
        <v>7595</v>
      </c>
      <c r="E2642">
        <v>181</v>
      </c>
      <c r="F2642" s="1">
        <v>44588</v>
      </c>
      <c r="G2642" t="str">
        <f>IF(COUNTIFS(Table1_3[Country],Table1_3[[#This Row],[Country]],Table1_3[Product],Table1_3[[#This Row],[Product]],Table1_3[Sales Person],Table1_3[[#This Row],[Sales Person]],Table1_3[Amount],"&lt;=100")&gt;=2,"Contract","Deal")</f>
        <v>Deal</v>
      </c>
    </row>
    <row r="2643" spans="1:7" x14ac:dyDescent="0.3">
      <c r="A2643" t="s">
        <v>40</v>
      </c>
      <c r="B2643" t="s">
        <v>32</v>
      </c>
      <c r="C2643" t="s">
        <v>33</v>
      </c>
      <c r="D2643">
        <v>8692.64</v>
      </c>
      <c r="E2643">
        <v>184</v>
      </c>
      <c r="F2643" s="1">
        <v>44953</v>
      </c>
      <c r="G2643" t="str">
        <f>IF(COUNTIFS(Table1_3[Country],Table1_3[[#This Row],[Country]],Table1_3[Product],Table1_3[[#This Row],[Product]],Table1_3[Sales Person],Table1_3[[#This Row],[Sales Person]],Table1_3[Amount],"&lt;=100")&gt;=2,"Contract","Deal")</f>
        <v>Deal</v>
      </c>
    </row>
    <row r="2644" spans="1:7" x14ac:dyDescent="0.3">
      <c r="A2644" t="s">
        <v>40</v>
      </c>
      <c r="B2644" t="s">
        <v>32</v>
      </c>
      <c r="C2644" t="s">
        <v>33</v>
      </c>
      <c r="D2644">
        <v>9001.89</v>
      </c>
      <c r="E2644">
        <v>193</v>
      </c>
      <c r="F2644" s="1">
        <v>45318</v>
      </c>
      <c r="G2644" t="str">
        <f>IF(COUNTIFS(Table1_3[Country],Table1_3[[#This Row],[Country]],Table1_3[Product],Table1_3[[#This Row],[Product]],Table1_3[Sales Person],Table1_3[[#This Row],[Sales Person]],Table1_3[Amount],"&lt;=100")&gt;=2,"Contract","Deal")</f>
        <v>Deal</v>
      </c>
    </row>
    <row r="2645" spans="1:7" x14ac:dyDescent="0.3">
      <c r="A2645" t="s">
        <v>40</v>
      </c>
      <c r="B2645" t="s">
        <v>32</v>
      </c>
      <c r="C2645" t="s">
        <v>13</v>
      </c>
      <c r="D2645">
        <v>693</v>
      </c>
      <c r="E2645">
        <v>350</v>
      </c>
      <c r="F2645" s="1">
        <v>44727</v>
      </c>
      <c r="G2645" t="str">
        <f>IF(COUNTIFS(Table1_3[Country],Table1_3[[#This Row],[Country]],Table1_3[Product],Table1_3[[#This Row],[Product]],Table1_3[Sales Person],Table1_3[[#This Row],[Sales Person]],Table1_3[Amount],"&lt;=100")&gt;=2,"Contract","Deal")</f>
        <v>Deal</v>
      </c>
    </row>
    <row r="2646" spans="1:7" x14ac:dyDescent="0.3">
      <c r="A2646" t="s">
        <v>40</v>
      </c>
      <c r="B2646" t="s">
        <v>32</v>
      </c>
      <c r="C2646" t="s">
        <v>13</v>
      </c>
      <c r="D2646">
        <v>695.96</v>
      </c>
      <c r="E2646">
        <v>363</v>
      </c>
      <c r="F2646" s="1">
        <v>45092</v>
      </c>
      <c r="G2646" t="str">
        <f>IF(COUNTIFS(Table1_3[Country],Table1_3[[#This Row],[Country]],Table1_3[Product],Table1_3[[#This Row],[Product]],Table1_3[Sales Person],Table1_3[[#This Row],[Sales Person]],Table1_3[Amount],"&lt;=100")&gt;=2,"Contract","Deal")</f>
        <v>Deal</v>
      </c>
    </row>
    <row r="2647" spans="1:7" x14ac:dyDescent="0.3">
      <c r="A2647" t="s">
        <v>40</v>
      </c>
      <c r="B2647" t="s">
        <v>32</v>
      </c>
      <c r="C2647" t="s">
        <v>13</v>
      </c>
      <c r="D2647">
        <v>782.24</v>
      </c>
      <c r="E2647">
        <v>348</v>
      </c>
      <c r="F2647" s="1">
        <v>45458</v>
      </c>
      <c r="G2647" t="str">
        <f>IF(COUNTIFS(Table1_3[Country],Table1_3[[#This Row],[Country]],Table1_3[Product],Table1_3[[#This Row],[Product]],Table1_3[Sales Person],Table1_3[[#This Row],[Sales Person]],Table1_3[Amount],"&lt;=100")&gt;=2,"Contract","Deal")</f>
        <v>Deal</v>
      </c>
    </row>
    <row r="2648" spans="1:7" x14ac:dyDescent="0.3">
      <c r="A2648" t="s">
        <v>40</v>
      </c>
      <c r="B2648" t="s">
        <v>32</v>
      </c>
      <c r="C2648" t="s">
        <v>73</v>
      </c>
      <c r="D2648">
        <v>6069</v>
      </c>
      <c r="E2648">
        <v>151</v>
      </c>
      <c r="F2648" s="1">
        <v>44704</v>
      </c>
      <c r="G2648" t="str">
        <f>IF(COUNTIFS(Table1_3[Country],Table1_3[[#This Row],[Country]],Table1_3[Product],Table1_3[[#This Row],[Product]],Table1_3[Sales Person],Table1_3[[#This Row],[Sales Person]],Table1_3[Amount],"&lt;=100")&gt;=2,"Contract","Deal")</f>
        <v>Deal</v>
      </c>
    </row>
    <row r="2649" spans="1:7" x14ac:dyDescent="0.3">
      <c r="A2649" t="s">
        <v>40</v>
      </c>
      <c r="B2649" t="s">
        <v>32</v>
      </c>
      <c r="C2649" t="s">
        <v>73</v>
      </c>
      <c r="D2649">
        <v>6206.9</v>
      </c>
      <c r="E2649">
        <v>149</v>
      </c>
      <c r="F2649" s="1">
        <v>45069</v>
      </c>
      <c r="G2649" t="str">
        <f>IF(COUNTIFS(Table1_3[Country],Table1_3[[#This Row],[Country]],Table1_3[Product],Table1_3[[#This Row],[Product]],Table1_3[Sales Person],Table1_3[[#This Row],[Sales Person]],Table1_3[Amount],"&lt;=100")&gt;=2,"Contract","Deal")</f>
        <v>Deal</v>
      </c>
    </row>
    <row r="2650" spans="1:7" x14ac:dyDescent="0.3">
      <c r="A2650" t="s">
        <v>40</v>
      </c>
      <c r="B2650" t="s">
        <v>32</v>
      </c>
      <c r="C2650" t="s">
        <v>73</v>
      </c>
      <c r="D2650">
        <v>6873.56</v>
      </c>
      <c r="E2650">
        <v>152</v>
      </c>
      <c r="F2650" s="1">
        <v>45435</v>
      </c>
      <c r="G2650" t="str">
        <f>IF(COUNTIFS(Table1_3[Country],Table1_3[[#This Row],[Country]],Table1_3[Product],Table1_3[[#This Row],[Product]],Table1_3[Sales Person],Table1_3[[#This Row],[Sales Person]],Table1_3[Amount],"&lt;=100")&gt;=2,"Contract","Deal")</f>
        <v>Deal</v>
      </c>
    </row>
    <row r="2651" spans="1:7" x14ac:dyDescent="0.3">
      <c r="A2651" t="s">
        <v>19</v>
      </c>
      <c r="B2651" t="s">
        <v>15</v>
      </c>
      <c r="C2651" t="s">
        <v>26</v>
      </c>
      <c r="D2651">
        <v>721</v>
      </c>
      <c r="E2651">
        <v>151</v>
      </c>
      <c r="F2651" s="1">
        <v>44687</v>
      </c>
      <c r="G2651" t="str">
        <f>IF(COUNTIFS(Table1_3[Country],Table1_3[[#This Row],[Country]],Table1_3[Product],Table1_3[[#This Row],[Product]],Table1_3[Sales Person],Table1_3[[#This Row],[Sales Person]],Table1_3[Amount],"&lt;=100")&gt;=2,"Contract","Deal")</f>
        <v>Deal</v>
      </c>
    </row>
    <row r="2652" spans="1:7" x14ac:dyDescent="0.3">
      <c r="A2652" t="s">
        <v>19</v>
      </c>
      <c r="B2652" t="s">
        <v>15</v>
      </c>
      <c r="C2652" t="s">
        <v>26</v>
      </c>
      <c r="D2652">
        <v>733.08</v>
      </c>
      <c r="E2652">
        <v>147</v>
      </c>
      <c r="F2652" s="1">
        <v>45052</v>
      </c>
      <c r="G2652" t="str">
        <f>IF(COUNTIFS(Table1_3[Country],Table1_3[[#This Row],[Country]],Table1_3[Product],Table1_3[[#This Row],[Product]],Table1_3[Sales Person],Table1_3[[#This Row],[Sales Person]],Table1_3[Amount],"&lt;=100")&gt;=2,"Contract","Deal")</f>
        <v>Deal</v>
      </c>
    </row>
    <row r="2653" spans="1:7" x14ac:dyDescent="0.3">
      <c r="A2653" t="s">
        <v>19</v>
      </c>
      <c r="B2653" t="s">
        <v>15</v>
      </c>
      <c r="C2653" t="s">
        <v>26</v>
      </c>
      <c r="D2653">
        <v>813.58</v>
      </c>
      <c r="E2653">
        <v>163</v>
      </c>
      <c r="F2653" s="1">
        <v>45418</v>
      </c>
      <c r="G2653" t="str">
        <f>IF(COUNTIFS(Table1_3[Country],Table1_3[[#This Row],[Country]],Table1_3[Product],Table1_3[[#This Row],[Product]],Table1_3[Sales Person],Table1_3[[#This Row],[Sales Person]],Table1_3[Amount],"&lt;=100")&gt;=2,"Contract","Deal")</f>
        <v>Deal</v>
      </c>
    </row>
    <row r="2654" spans="1:7" x14ac:dyDescent="0.3">
      <c r="A2654" t="s">
        <v>19</v>
      </c>
      <c r="B2654" t="s">
        <v>15</v>
      </c>
      <c r="C2654" t="s">
        <v>11</v>
      </c>
      <c r="D2654">
        <v>6944</v>
      </c>
      <c r="E2654">
        <v>27</v>
      </c>
      <c r="F2654" s="1">
        <v>44742</v>
      </c>
      <c r="G2654" t="str">
        <f>IF(COUNTIFS(Table1_3[Country],Table1_3[[#This Row],[Country]],Table1_3[Product],Table1_3[[#This Row],[Product]],Table1_3[Sales Person],Table1_3[[#This Row],[Sales Person]],Table1_3[Amount],"&lt;=100")&gt;=2,"Contract","Deal")</f>
        <v>Deal</v>
      </c>
    </row>
    <row r="2655" spans="1:7" x14ac:dyDescent="0.3">
      <c r="A2655" t="s">
        <v>19</v>
      </c>
      <c r="B2655" t="s">
        <v>15</v>
      </c>
      <c r="C2655" t="s">
        <v>11</v>
      </c>
      <c r="D2655">
        <v>7956.28</v>
      </c>
      <c r="E2655">
        <v>27</v>
      </c>
      <c r="F2655" s="1">
        <v>45107</v>
      </c>
      <c r="G2655" t="str">
        <f>IF(COUNTIFS(Table1_3[Country],Table1_3[[#This Row],[Country]],Table1_3[Product],Table1_3[[#This Row],[Product]],Table1_3[Sales Person],Table1_3[[#This Row],[Sales Person]],Table1_3[Amount],"&lt;=100")&gt;=2,"Contract","Deal")</f>
        <v>Deal</v>
      </c>
    </row>
    <row r="2656" spans="1:7" x14ac:dyDescent="0.3">
      <c r="A2656" t="s">
        <v>19</v>
      </c>
      <c r="B2656" t="s">
        <v>15</v>
      </c>
      <c r="C2656" t="s">
        <v>11</v>
      </c>
      <c r="D2656">
        <v>7488.06</v>
      </c>
      <c r="E2656">
        <v>28</v>
      </c>
      <c r="F2656" s="1">
        <v>45473</v>
      </c>
      <c r="G2656" t="str">
        <f>IF(COUNTIFS(Table1_3[Country],Table1_3[[#This Row],[Country]],Table1_3[Product],Table1_3[[#This Row],[Product]],Table1_3[Sales Person],Table1_3[[#This Row],[Sales Person]],Table1_3[Amount],"&lt;=100")&gt;=2,"Contract","Deal")</f>
        <v>Deal</v>
      </c>
    </row>
    <row r="2657" spans="1:7" x14ac:dyDescent="0.3">
      <c r="A2657" t="s">
        <v>19</v>
      </c>
      <c r="B2657" t="s">
        <v>15</v>
      </c>
      <c r="C2657" t="s">
        <v>65</v>
      </c>
      <c r="D2657">
        <v>6034</v>
      </c>
      <c r="E2657">
        <v>223</v>
      </c>
      <c r="F2657" s="1">
        <v>44607</v>
      </c>
      <c r="G2657" t="str">
        <f>IF(COUNTIFS(Table1_3[Country],Table1_3[[#This Row],[Country]],Table1_3[Product],Table1_3[[#This Row],[Product]],Table1_3[Sales Person],Table1_3[[#This Row],[Sales Person]],Table1_3[Amount],"&lt;=100")&gt;=2,"Contract","Deal")</f>
        <v>Deal</v>
      </c>
    </row>
    <row r="2658" spans="1:7" x14ac:dyDescent="0.3">
      <c r="A2658" t="s">
        <v>19</v>
      </c>
      <c r="B2658" t="s">
        <v>15</v>
      </c>
      <c r="C2658" t="s">
        <v>65</v>
      </c>
      <c r="D2658">
        <v>6421.18</v>
      </c>
      <c r="E2658">
        <v>242</v>
      </c>
      <c r="F2658" s="1">
        <v>44972</v>
      </c>
      <c r="G2658" t="str">
        <f>IF(COUNTIFS(Table1_3[Country],Table1_3[[#This Row],[Country]],Table1_3[Product],Table1_3[[#This Row],[Product]],Table1_3[Sales Person],Table1_3[[#This Row],[Sales Person]],Table1_3[Amount],"&lt;=100")&gt;=2,"Contract","Deal")</f>
        <v>Deal</v>
      </c>
    </row>
    <row r="2659" spans="1:7" x14ac:dyDescent="0.3">
      <c r="A2659" t="s">
        <v>19</v>
      </c>
      <c r="B2659" t="s">
        <v>15</v>
      </c>
      <c r="C2659" t="s">
        <v>65</v>
      </c>
      <c r="D2659">
        <v>6827.53</v>
      </c>
      <c r="E2659">
        <v>241</v>
      </c>
      <c r="F2659" s="1">
        <v>45337</v>
      </c>
      <c r="G2659" t="str">
        <f>IF(COUNTIFS(Table1_3[Country],Table1_3[[#This Row],[Country]],Table1_3[Product],Table1_3[[#This Row],[Product]],Table1_3[Sales Person],Table1_3[[#This Row],[Sales Person]],Table1_3[Amount],"&lt;=100")&gt;=2,"Contract","Deal")</f>
        <v>Deal</v>
      </c>
    </row>
    <row r="2660" spans="1:7" x14ac:dyDescent="0.3">
      <c r="A2660" t="s">
        <v>19</v>
      </c>
      <c r="B2660" t="s">
        <v>15</v>
      </c>
      <c r="C2660" t="s">
        <v>60</v>
      </c>
      <c r="D2660">
        <v>3906</v>
      </c>
      <c r="E2660">
        <v>76</v>
      </c>
      <c r="F2660" s="1">
        <v>44587</v>
      </c>
      <c r="G2660" t="str">
        <f>IF(COUNTIFS(Table1_3[Country],Table1_3[[#This Row],[Country]],Table1_3[Product],Table1_3[[#This Row],[Product]],Table1_3[Sales Person],Table1_3[[#This Row],[Sales Person]],Table1_3[Amount],"&lt;=100")&gt;=2,"Contract","Deal")</f>
        <v>Deal</v>
      </c>
    </row>
    <row r="2661" spans="1:7" x14ac:dyDescent="0.3">
      <c r="A2661" t="s">
        <v>19</v>
      </c>
      <c r="B2661" t="s">
        <v>15</v>
      </c>
      <c r="C2661" t="s">
        <v>60</v>
      </c>
      <c r="D2661">
        <v>4194.4399999999996</v>
      </c>
      <c r="E2661">
        <v>80</v>
      </c>
      <c r="F2661" s="1">
        <v>44952</v>
      </c>
      <c r="G2661" t="str">
        <f>IF(COUNTIFS(Table1_3[Country],Table1_3[[#This Row],[Country]],Table1_3[Product],Table1_3[[#This Row],[Product]],Table1_3[Sales Person],Table1_3[[#This Row],[Sales Person]],Table1_3[Amount],"&lt;=100")&gt;=2,"Contract","Deal")</f>
        <v>Deal</v>
      </c>
    </row>
    <row r="2662" spans="1:7" x14ac:dyDescent="0.3">
      <c r="A2662" t="s">
        <v>19</v>
      </c>
      <c r="B2662" t="s">
        <v>15</v>
      </c>
      <c r="C2662" t="s">
        <v>60</v>
      </c>
      <c r="D2662">
        <v>4626.87</v>
      </c>
      <c r="E2662">
        <v>78</v>
      </c>
      <c r="F2662" s="1">
        <v>45317</v>
      </c>
      <c r="G2662" t="str">
        <f>IF(COUNTIFS(Table1_3[Country],Table1_3[[#This Row],[Country]],Table1_3[Product],Table1_3[[#This Row],[Product]],Table1_3[Sales Person],Table1_3[[#This Row],[Sales Person]],Table1_3[Amount],"&lt;=100")&gt;=2,"Contract","Deal")</f>
        <v>Deal</v>
      </c>
    </row>
    <row r="2663" spans="1:7" x14ac:dyDescent="0.3">
      <c r="A2663" t="s">
        <v>19</v>
      </c>
      <c r="B2663" t="s">
        <v>15</v>
      </c>
      <c r="C2663" t="s">
        <v>46</v>
      </c>
      <c r="D2663">
        <v>7672</v>
      </c>
      <c r="E2663">
        <v>254</v>
      </c>
      <c r="F2663" s="1">
        <v>44733</v>
      </c>
      <c r="G2663" t="str">
        <f>IF(COUNTIFS(Table1_3[Country],Table1_3[[#This Row],[Country]],Table1_3[Product],Table1_3[[#This Row],[Product]],Table1_3[Sales Person],Table1_3[[#This Row],[Sales Person]],Table1_3[Amount],"&lt;=100")&gt;=2,"Contract","Deal")</f>
        <v>Deal</v>
      </c>
    </row>
    <row r="2664" spans="1:7" x14ac:dyDescent="0.3">
      <c r="A2664" t="s">
        <v>19</v>
      </c>
      <c r="B2664" t="s">
        <v>15</v>
      </c>
      <c r="C2664" t="s">
        <v>46</v>
      </c>
      <c r="D2664">
        <v>8497.7199999999993</v>
      </c>
      <c r="E2664">
        <v>276</v>
      </c>
      <c r="F2664" s="1">
        <v>45098</v>
      </c>
      <c r="G2664" t="str">
        <f>IF(COUNTIFS(Table1_3[Country],Table1_3[[#This Row],[Country]],Table1_3[Product],Table1_3[[#This Row],[Product]],Table1_3[Sales Person],Table1_3[[#This Row],[Sales Person]],Table1_3[Amount],"&lt;=100")&gt;=2,"Contract","Deal")</f>
        <v>Deal</v>
      </c>
    </row>
    <row r="2665" spans="1:7" x14ac:dyDescent="0.3">
      <c r="A2665" t="s">
        <v>19</v>
      </c>
      <c r="B2665" t="s">
        <v>15</v>
      </c>
      <c r="C2665" t="s">
        <v>46</v>
      </c>
      <c r="D2665">
        <v>9231.31</v>
      </c>
      <c r="E2665">
        <v>278</v>
      </c>
      <c r="F2665" s="1">
        <v>45464</v>
      </c>
      <c r="G2665" t="str">
        <f>IF(COUNTIFS(Table1_3[Country],Table1_3[[#This Row],[Country]],Table1_3[Product],Table1_3[[#This Row],[Product]],Table1_3[Sales Person],Table1_3[[#This Row],[Sales Person]],Table1_3[Amount],"&lt;=100")&gt;=2,"Contract","Deal")</f>
        <v>Deal</v>
      </c>
    </row>
    <row r="2666" spans="1:7" x14ac:dyDescent="0.3">
      <c r="A2666" t="s">
        <v>19</v>
      </c>
      <c r="B2666" t="s">
        <v>15</v>
      </c>
      <c r="C2666" t="s">
        <v>73</v>
      </c>
      <c r="D2666">
        <v>1043</v>
      </c>
      <c r="E2666">
        <v>120</v>
      </c>
      <c r="F2666" s="1">
        <v>44609</v>
      </c>
      <c r="G2666" t="str">
        <f>IF(COUNTIFS(Table1_3[Country],Table1_3[[#This Row],[Country]],Table1_3[Product],Table1_3[[#This Row],[Product]],Table1_3[Sales Person],Table1_3[[#This Row],[Sales Person]],Table1_3[Amount],"&lt;=100")&gt;=2,"Contract","Deal")</f>
        <v>Deal</v>
      </c>
    </row>
    <row r="2667" spans="1:7" x14ac:dyDescent="0.3">
      <c r="A2667" t="s">
        <v>19</v>
      </c>
      <c r="B2667" t="s">
        <v>15</v>
      </c>
      <c r="C2667" t="s">
        <v>73</v>
      </c>
      <c r="D2667">
        <v>1044.3499999999999</v>
      </c>
      <c r="E2667">
        <v>126</v>
      </c>
      <c r="F2667" s="1">
        <v>44974</v>
      </c>
      <c r="G2667" t="str">
        <f>IF(COUNTIFS(Table1_3[Country],Table1_3[[#This Row],[Country]],Table1_3[Product],Table1_3[[#This Row],[Product]],Table1_3[Sales Person],Table1_3[[#This Row],[Sales Person]],Table1_3[Amount],"&lt;=100")&gt;=2,"Contract","Deal")</f>
        <v>Deal</v>
      </c>
    </row>
    <row r="2668" spans="1:7" x14ac:dyDescent="0.3">
      <c r="A2668" t="s">
        <v>19</v>
      </c>
      <c r="B2668" t="s">
        <v>15</v>
      </c>
      <c r="C2668" t="s">
        <v>73</v>
      </c>
      <c r="D2668">
        <v>1157.8800000000001</v>
      </c>
      <c r="E2668">
        <v>114</v>
      </c>
      <c r="F2668" s="1">
        <v>45339</v>
      </c>
      <c r="G2668" t="str">
        <f>IF(COUNTIFS(Table1_3[Country],Table1_3[[#This Row],[Country]],Table1_3[Product],Table1_3[[#This Row],[Product]],Table1_3[Sales Person],Table1_3[[#This Row],[Sales Person]],Table1_3[Amount],"&lt;=100")&gt;=2,"Contract","Deal")</f>
        <v>Deal</v>
      </c>
    </row>
    <row r="2669" spans="1:7" x14ac:dyDescent="0.3">
      <c r="A2669" t="s">
        <v>19</v>
      </c>
      <c r="B2669" t="s">
        <v>15</v>
      </c>
      <c r="C2669" t="s">
        <v>50</v>
      </c>
      <c r="D2669">
        <v>11389</v>
      </c>
      <c r="E2669">
        <v>26</v>
      </c>
      <c r="F2669" s="1">
        <v>44677</v>
      </c>
      <c r="G2669" t="str">
        <f>IF(COUNTIFS(Table1_3[Country],Table1_3[[#This Row],[Country]],Table1_3[Product],Table1_3[[#This Row],[Product]],Table1_3[Sales Person],Table1_3[[#This Row],[Sales Person]],Table1_3[Amount],"&lt;=100")&gt;=2,"Contract","Deal")</f>
        <v>Deal</v>
      </c>
    </row>
    <row r="2670" spans="1:7" x14ac:dyDescent="0.3">
      <c r="A2670" t="s">
        <v>19</v>
      </c>
      <c r="B2670" t="s">
        <v>15</v>
      </c>
      <c r="C2670" t="s">
        <v>50</v>
      </c>
      <c r="D2670">
        <v>12412.53</v>
      </c>
      <c r="E2670">
        <v>25</v>
      </c>
      <c r="F2670" s="1">
        <v>45042</v>
      </c>
      <c r="G2670" t="str">
        <f>IF(COUNTIFS(Table1_3[Country],Table1_3[[#This Row],[Country]],Table1_3[Product],Table1_3[[#This Row],[Product]],Table1_3[Sales Person],Table1_3[[#This Row],[Sales Person]],Table1_3[Amount],"&lt;=100")&gt;=2,"Contract","Deal")</f>
        <v>Deal</v>
      </c>
    </row>
    <row r="2671" spans="1:7" x14ac:dyDescent="0.3">
      <c r="A2671" t="s">
        <v>19</v>
      </c>
      <c r="B2671" t="s">
        <v>15</v>
      </c>
      <c r="C2671" t="s">
        <v>50</v>
      </c>
      <c r="D2671">
        <v>12897.53</v>
      </c>
      <c r="E2671">
        <v>25</v>
      </c>
      <c r="F2671" s="1">
        <v>45408</v>
      </c>
      <c r="G2671" t="str">
        <f>IF(COUNTIFS(Table1_3[Country],Table1_3[[#This Row],[Country]],Table1_3[Product],Table1_3[[#This Row],[Product]],Table1_3[Sales Person],Table1_3[[#This Row],[Sales Person]],Table1_3[Amount],"&lt;=100")&gt;=2,"Contract","Deal")</f>
        <v>Deal</v>
      </c>
    </row>
    <row r="2672" spans="1:7" x14ac:dyDescent="0.3">
      <c r="A2672" t="s">
        <v>19</v>
      </c>
      <c r="B2672" t="s">
        <v>35</v>
      </c>
      <c r="C2672" t="s">
        <v>26</v>
      </c>
      <c r="D2672">
        <v>6615</v>
      </c>
      <c r="E2672">
        <v>137</v>
      </c>
      <c r="F2672" s="1">
        <v>44736</v>
      </c>
      <c r="G2672" t="str">
        <f>IF(COUNTIFS(Table1_3[Country],Table1_3[[#This Row],[Country]],Table1_3[Product],Table1_3[[#This Row],[Product]],Table1_3[Sales Person],Table1_3[[#This Row],[Sales Person]],Table1_3[Amount],"&lt;=100")&gt;=2,"Contract","Deal")</f>
        <v>Deal</v>
      </c>
    </row>
    <row r="2673" spans="1:7" x14ac:dyDescent="0.3">
      <c r="A2673" t="s">
        <v>19</v>
      </c>
      <c r="B2673" t="s">
        <v>35</v>
      </c>
      <c r="C2673" t="s">
        <v>26</v>
      </c>
      <c r="D2673">
        <v>7164.51</v>
      </c>
      <c r="E2673">
        <v>140</v>
      </c>
      <c r="F2673" s="1">
        <v>45101</v>
      </c>
      <c r="G2673" t="str">
        <f>IF(COUNTIFS(Table1_3[Country],Table1_3[[#This Row],[Country]],Table1_3[Product],Table1_3[[#This Row],[Product]],Table1_3[Sales Person],Table1_3[[#This Row],[Sales Person]],Table1_3[Amount],"&lt;=100")&gt;=2,"Contract","Deal")</f>
        <v>Deal</v>
      </c>
    </row>
    <row r="2674" spans="1:7" x14ac:dyDescent="0.3">
      <c r="A2674" t="s">
        <v>19</v>
      </c>
      <c r="B2674" t="s">
        <v>35</v>
      </c>
      <c r="C2674" t="s">
        <v>26</v>
      </c>
      <c r="D2674">
        <v>7301.81</v>
      </c>
      <c r="E2674">
        <v>134</v>
      </c>
      <c r="F2674" s="1">
        <v>45467</v>
      </c>
      <c r="G2674" t="str">
        <f>IF(COUNTIFS(Table1_3[Country],Table1_3[[#This Row],[Country]],Table1_3[Product],Table1_3[[#This Row],[Product]],Table1_3[Sales Person],Table1_3[[#This Row],[Sales Person]],Table1_3[Amount],"&lt;=100")&gt;=2,"Contract","Deal")</f>
        <v>Deal</v>
      </c>
    </row>
    <row r="2675" spans="1:7" x14ac:dyDescent="0.3">
      <c r="A2675" t="s">
        <v>19</v>
      </c>
      <c r="B2675" t="s">
        <v>35</v>
      </c>
      <c r="C2675" t="s">
        <v>20</v>
      </c>
      <c r="D2675">
        <v>3605</v>
      </c>
      <c r="E2675">
        <v>403</v>
      </c>
      <c r="F2675" s="1">
        <v>44774</v>
      </c>
      <c r="G2675" t="str">
        <f>IF(COUNTIFS(Table1_3[Country],Table1_3[[#This Row],[Country]],Table1_3[Product],Table1_3[[#This Row],[Product]],Table1_3[Sales Person],Table1_3[[#This Row],[Sales Person]],Table1_3[Amount],"&lt;=100")&gt;=2,"Contract","Deal")</f>
        <v>Deal</v>
      </c>
    </row>
    <row r="2676" spans="1:7" x14ac:dyDescent="0.3">
      <c r="A2676" t="s">
        <v>19</v>
      </c>
      <c r="B2676" t="s">
        <v>35</v>
      </c>
      <c r="C2676" t="s">
        <v>20</v>
      </c>
      <c r="D2676">
        <v>4033.53</v>
      </c>
      <c r="E2676">
        <v>430</v>
      </c>
      <c r="F2676" s="1">
        <v>45139</v>
      </c>
      <c r="G2676" t="str">
        <f>IF(COUNTIFS(Table1_3[Country],Table1_3[[#This Row],[Country]],Table1_3[Product],Table1_3[[#This Row],[Product]],Table1_3[Sales Person],Table1_3[[#This Row],[Sales Person]],Table1_3[Amount],"&lt;=100")&gt;=2,"Contract","Deal")</f>
        <v>Deal</v>
      </c>
    </row>
    <row r="2677" spans="1:7" x14ac:dyDescent="0.3">
      <c r="A2677" t="s">
        <v>19</v>
      </c>
      <c r="B2677" t="s">
        <v>35</v>
      </c>
      <c r="C2677" t="s">
        <v>20</v>
      </c>
      <c r="D2677">
        <v>4151.7</v>
      </c>
      <c r="E2677">
        <v>424</v>
      </c>
      <c r="F2677" s="1">
        <v>45505</v>
      </c>
      <c r="G2677" t="str">
        <f>IF(COUNTIFS(Table1_3[Country],Table1_3[[#This Row],[Country]],Table1_3[Product],Table1_3[[#This Row],[Product]],Table1_3[Sales Person],Table1_3[[#This Row],[Sales Person]],Table1_3[Amount],"&lt;=100")&gt;=2,"Contract","Deal")</f>
        <v>Deal</v>
      </c>
    </row>
    <row r="2678" spans="1:7" x14ac:dyDescent="0.3">
      <c r="A2678" t="s">
        <v>19</v>
      </c>
      <c r="B2678" t="s">
        <v>35</v>
      </c>
      <c r="C2678" t="s">
        <v>36</v>
      </c>
      <c r="D2678">
        <v>6111</v>
      </c>
      <c r="E2678">
        <v>591</v>
      </c>
      <c r="F2678" s="1">
        <v>44700</v>
      </c>
      <c r="G2678" t="str">
        <f>IF(COUNTIFS(Table1_3[Country],Table1_3[[#This Row],[Country]],Table1_3[Product],Table1_3[[#This Row],[Product]],Table1_3[Sales Person],Table1_3[[#This Row],[Sales Person]],Table1_3[Amount],"&lt;=100")&gt;=2,"Contract","Deal")</f>
        <v>Deal</v>
      </c>
    </row>
    <row r="2679" spans="1:7" x14ac:dyDescent="0.3">
      <c r="A2679" t="s">
        <v>19</v>
      </c>
      <c r="B2679" t="s">
        <v>35</v>
      </c>
      <c r="C2679" t="s">
        <v>36</v>
      </c>
      <c r="D2679">
        <v>6211.75</v>
      </c>
      <c r="E2679">
        <v>561</v>
      </c>
      <c r="F2679" s="1">
        <v>45065</v>
      </c>
      <c r="G2679" t="str">
        <f>IF(COUNTIFS(Table1_3[Country],Table1_3[[#This Row],[Country]],Table1_3[Product],Table1_3[[#This Row],[Product]],Table1_3[Sales Person],Table1_3[[#This Row],[Sales Person]],Table1_3[Amount],"&lt;=100")&gt;=2,"Contract","Deal")</f>
        <v>Deal</v>
      </c>
    </row>
    <row r="2680" spans="1:7" x14ac:dyDescent="0.3">
      <c r="A2680" t="s">
        <v>19</v>
      </c>
      <c r="B2680" t="s">
        <v>35</v>
      </c>
      <c r="C2680" t="s">
        <v>36</v>
      </c>
      <c r="D2680">
        <v>6409.31</v>
      </c>
      <c r="E2680">
        <v>621</v>
      </c>
      <c r="F2680" s="1">
        <v>45431</v>
      </c>
      <c r="G2680" t="str">
        <f>IF(COUNTIFS(Table1_3[Country],Table1_3[[#This Row],[Country]],Table1_3[Product],Table1_3[[#This Row],[Product]],Table1_3[Sales Person],Table1_3[[#This Row],[Sales Person]],Table1_3[Amount],"&lt;=100")&gt;=2,"Contract","Deal")</f>
        <v>Deal</v>
      </c>
    </row>
    <row r="2681" spans="1:7" x14ac:dyDescent="0.3">
      <c r="A2681" t="s">
        <v>19</v>
      </c>
      <c r="B2681" t="s">
        <v>35</v>
      </c>
      <c r="C2681" t="s">
        <v>57</v>
      </c>
      <c r="D2681">
        <v>1869</v>
      </c>
      <c r="E2681">
        <v>158</v>
      </c>
      <c r="F2681" s="1">
        <v>44575</v>
      </c>
      <c r="G2681" t="str">
        <f>IF(COUNTIFS(Table1_3[Country],Table1_3[[#This Row],[Country]],Table1_3[Product],Table1_3[[#This Row],[Product]],Table1_3[Sales Person],Table1_3[[#This Row],[Sales Person]],Table1_3[Amount],"&lt;=100")&gt;=2,"Contract","Deal")</f>
        <v>Deal</v>
      </c>
    </row>
    <row r="2682" spans="1:7" x14ac:dyDescent="0.3">
      <c r="A2682" t="s">
        <v>19</v>
      </c>
      <c r="B2682" t="s">
        <v>35</v>
      </c>
      <c r="C2682" t="s">
        <v>57</v>
      </c>
      <c r="D2682">
        <v>1896.64</v>
      </c>
      <c r="E2682">
        <v>161</v>
      </c>
      <c r="F2682" s="1">
        <v>44940</v>
      </c>
      <c r="G2682" t="str">
        <f>IF(COUNTIFS(Table1_3[Country],Table1_3[[#This Row],[Country]],Table1_3[Product],Table1_3[[#This Row],[Product]],Table1_3[Sales Person],Table1_3[[#This Row],[Sales Person]],Table1_3[Amount],"&lt;=100")&gt;=2,"Contract","Deal")</f>
        <v>Deal</v>
      </c>
    </row>
    <row r="2683" spans="1:7" x14ac:dyDescent="0.3">
      <c r="A2683" t="s">
        <v>19</v>
      </c>
      <c r="B2683" t="s">
        <v>35</v>
      </c>
      <c r="C2683" t="s">
        <v>57</v>
      </c>
      <c r="D2683">
        <v>2187.5</v>
      </c>
      <c r="E2683">
        <v>159</v>
      </c>
      <c r="F2683" s="1">
        <v>45305</v>
      </c>
      <c r="G2683" t="str">
        <f>IF(COUNTIFS(Table1_3[Country],Table1_3[[#This Row],[Country]],Table1_3[Product],Table1_3[[#This Row],[Product]],Table1_3[Sales Person],Table1_3[[#This Row],[Sales Person]],Table1_3[Amount],"&lt;=100")&gt;=2,"Contract","Deal")</f>
        <v>Deal</v>
      </c>
    </row>
    <row r="2684" spans="1:7" x14ac:dyDescent="0.3">
      <c r="A2684" t="s">
        <v>19</v>
      </c>
      <c r="B2684" t="s">
        <v>35</v>
      </c>
      <c r="C2684" t="s">
        <v>33</v>
      </c>
      <c r="D2684">
        <v>8757</v>
      </c>
      <c r="E2684">
        <v>338</v>
      </c>
      <c r="F2684" s="1">
        <v>44678</v>
      </c>
      <c r="G2684" t="str">
        <f>IF(COUNTIFS(Table1_3[Country],Table1_3[[#This Row],[Country]],Table1_3[Product],Table1_3[[#This Row],[Product]],Table1_3[Sales Person],Table1_3[[#This Row],[Sales Person]],Table1_3[Amount],"&lt;=100")&gt;=2,"Contract","Deal")</f>
        <v>Deal</v>
      </c>
    </row>
    <row r="2685" spans="1:7" x14ac:dyDescent="0.3">
      <c r="A2685" t="s">
        <v>19</v>
      </c>
      <c r="B2685" t="s">
        <v>35</v>
      </c>
      <c r="C2685" t="s">
        <v>33</v>
      </c>
      <c r="D2685">
        <v>8909.75</v>
      </c>
      <c r="E2685">
        <v>355</v>
      </c>
      <c r="F2685" s="1">
        <v>45043</v>
      </c>
      <c r="G2685" t="str">
        <f>IF(COUNTIFS(Table1_3[Country],Table1_3[[#This Row],[Country]],Table1_3[Product],Table1_3[[#This Row],[Product]],Table1_3[Sales Person],Table1_3[[#This Row],[Sales Person]],Table1_3[Amount],"&lt;=100")&gt;=2,"Contract","Deal")</f>
        <v>Deal</v>
      </c>
    </row>
    <row r="2686" spans="1:7" x14ac:dyDescent="0.3">
      <c r="A2686" t="s">
        <v>19</v>
      </c>
      <c r="B2686" t="s">
        <v>35</v>
      </c>
      <c r="C2686" t="s">
        <v>33</v>
      </c>
      <c r="D2686">
        <v>10257.74</v>
      </c>
      <c r="E2686">
        <v>328</v>
      </c>
      <c r="F2686" s="1">
        <v>45409</v>
      </c>
      <c r="G2686" t="str">
        <f>IF(COUNTIFS(Table1_3[Country],Table1_3[[#This Row],[Country]],Table1_3[Product],Table1_3[[#This Row],[Product]],Table1_3[Sales Person],Table1_3[[#This Row],[Sales Person]],Table1_3[Amount],"&lt;=100")&gt;=2,"Contract","Deal")</f>
        <v>Deal</v>
      </c>
    </row>
    <row r="2687" spans="1:7" x14ac:dyDescent="0.3">
      <c r="A2687" t="s">
        <v>19</v>
      </c>
      <c r="B2687" t="s">
        <v>35</v>
      </c>
      <c r="C2687" t="s">
        <v>42</v>
      </c>
      <c r="D2687">
        <v>1232</v>
      </c>
      <c r="E2687">
        <v>74</v>
      </c>
      <c r="F2687" s="1">
        <v>44747</v>
      </c>
      <c r="G2687" t="str">
        <f>IF(COUNTIFS(Table1_3[Country],Table1_3[[#This Row],[Country]],Table1_3[Product],Table1_3[[#This Row],[Product]],Table1_3[Sales Person],Table1_3[[#This Row],[Sales Person]],Table1_3[Amount],"&lt;=100")&gt;=2,"Contract","Deal")</f>
        <v>Deal</v>
      </c>
    </row>
    <row r="2688" spans="1:7" x14ac:dyDescent="0.3">
      <c r="A2688" t="s">
        <v>19</v>
      </c>
      <c r="B2688" t="s">
        <v>35</v>
      </c>
      <c r="C2688" t="s">
        <v>42</v>
      </c>
      <c r="D2688">
        <v>1310.04</v>
      </c>
      <c r="E2688">
        <v>71</v>
      </c>
      <c r="F2688" s="1">
        <v>45112</v>
      </c>
      <c r="G2688" t="str">
        <f>IF(COUNTIFS(Table1_3[Country],Table1_3[[#This Row],[Country]],Table1_3[Product],Table1_3[[#This Row],[Product]],Table1_3[Sales Person],Table1_3[[#This Row],[Sales Person]],Table1_3[Amount],"&lt;=100")&gt;=2,"Contract","Deal")</f>
        <v>Deal</v>
      </c>
    </row>
    <row r="2689" spans="1:7" x14ac:dyDescent="0.3">
      <c r="A2689" t="s">
        <v>19</v>
      </c>
      <c r="B2689" t="s">
        <v>35</v>
      </c>
      <c r="C2689" t="s">
        <v>42</v>
      </c>
      <c r="D2689">
        <v>1392.99</v>
      </c>
      <c r="E2689">
        <v>70</v>
      </c>
      <c r="F2689" s="1">
        <v>45478</v>
      </c>
      <c r="G2689" t="str">
        <f>IF(COUNTIFS(Table1_3[Country],Table1_3[[#This Row],[Country]],Table1_3[Product],Table1_3[[#This Row],[Product]],Table1_3[Sales Person],Table1_3[[#This Row],[Sales Person]],Table1_3[Amount],"&lt;=100")&gt;=2,"Contract","Deal")</f>
        <v>Deal</v>
      </c>
    </row>
    <row r="2690" spans="1:7" x14ac:dyDescent="0.3">
      <c r="A2690" t="s">
        <v>19</v>
      </c>
      <c r="B2690" t="s">
        <v>35</v>
      </c>
      <c r="C2690" t="s">
        <v>13</v>
      </c>
      <c r="D2690">
        <v>12425</v>
      </c>
      <c r="E2690">
        <v>167</v>
      </c>
      <c r="F2690" s="1">
        <v>44719</v>
      </c>
      <c r="G2690" t="str">
        <f>IF(COUNTIFS(Table1_3[Country],Table1_3[[#This Row],[Country]],Table1_3[Product],Table1_3[[#This Row],[Product]],Table1_3[Sales Person],Table1_3[[#This Row],[Sales Person]],Table1_3[Amount],"&lt;=100")&gt;=2,"Contract","Deal")</f>
        <v>Deal</v>
      </c>
    </row>
    <row r="2691" spans="1:7" x14ac:dyDescent="0.3">
      <c r="A2691" t="s">
        <v>19</v>
      </c>
      <c r="B2691" t="s">
        <v>35</v>
      </c>
      <c r="C2691" t="s">
        <v>13</v>
      </c>
      <c r="D2691">
        <v>12397.06</v>
      </c>
      <c r="E2691">
        <v>179</v>
      </c>
      <c r="F2691" s="1">
        <v>45084</v>
      </c>
      <c r="G2691" t="str">
        <f>IF(COUNTIFS(Table1_3[Country],Table1_3[[#This Row],[Country]],Table1_3[Product],Table1_3[[#This Row],[Product]],Table1_3[Sales Person],Table1_3[[#This Row],[Sales Person]],Table1_3[Amount],"&lt;=100")&gt;=2,"Contract","Deal")</f>
        <v>Deal</v>
      </c>
    </row>
    <row r="2692" spans="1:7" x14ac:dyDescent="0.3">
      <c r="A2692" t="s">
        <v>19</v>
      </c>
      <c r="B2692" t="s">
        <v>35</v>
      </c>
      <c r="C2692" t="s">
        <v>13</v>
      </c>
      <c r="D2692">
        <v>14291.3</v>
      </c>
      <c r="E2692">
        <v>179</v>
      </c>
      <c r="F2692" s="1">
        <v>45450</v>
      </c>
      <c r="G2692" t="str">
        <f>IF(COUNTIFS(Table1_3[Country],Table1_3[[#This Row],[Country]],Table1_3[Product],Table1_3[[#This Row],[Product]],Table1_3[Sales Person],Table1_3[[#This Row],[Sales Person]],Table1_3[Amount],"&lt;=100")&gt;=2,"Contract","Deal")</f>
        <v>Deal</v>
      </c>
    </row>
    <row r="2693" spans="1:7" x14ac:dyDescent="0.3">
      <c r="A2693" t="s">
        <v>19</v>
      </c>
      <c r="B2693" t="s">
        <v>35</v>
      </c>
      <c r="C2693" t="s">
        <v>73</v>
      </c>
      <c r="D2693">
        <v>1750</v>
      </c>
      <c r="E2693">
        <v>208</v>
      </c>
      <c r="F2693" s="1">
        <v>44728</v>
      </c>
      <c r="G2693" t="str">
        <f>IF(COUNTIFS(Table1_3[Country],Table1_3[[#This Row],[Country]],Table1_3[Product],Table1_3[[#This Row],[Product]],Table1_3[Sales Person],Table1_3[[#This Row],[Sales Person]],Table1_3[Amount],"&lt;=100")&gt;=2,"Contract","Deal")</f>
        <v>Deal</v>
      </c>
    </row>
    <row r="2694" spans="1:7" x14ac:dyDescent="0.3">
      <c r="A2694" t="s">
        <v>19</v>
      </c>
      <c r="B2694" t="s">
        <v>35</v>
      </c>
      <c r="C2694" t="s">
        <v>73</v>
      </c>
      <c r="D2694">
        <v>1902.47</v>
      </c>
      <c r="E2694">
        <v>217</v>
      </c>
      <c r="F2694" s="1">
        <v>45093</v>
      </c>
      <c r="G2694" t="str">
        <f>IF(COUNTIFS(Table1_3[Country],Table1_3[[#This Row],[Country]],Table1_3[Product],Table1_3[[#This Row],[Product]],Table1_3[Sales Person],Table1_3[[#This Row],[Sales Person]],Table1_3[Amount],"&lt;=100")&gt;=2,"Contract","Deal")</f>
        <v>Deal</v>
      </c>
    </row>
    <row r="2695" spans="1:7" x14ac:dyDescent="0.3">
      <c r="A2695" t="s">
        <v>19</v>
      </c>
      <c r="B2695" t="s">
        <v>35</v>
      </c>
      <c r="C2695" t="s">
        <v>73</v>
      </c>
      <c r="D2695">
        <v>1941.25</v>
      </c>
      <c r="E2695">
        <v>221</v>
      </c>
      <c r="F2695" s="1">
        <v>45459</v>
      </c>
      <c r="G2695" t="str">
        <f>IF(COUNTIFS(Table1_3[Country],Table1_3[[#This Row],[Country]],Table1_3[Product],Table1_3[[#This Row],[Product]],Table1_3[Sales Person],Table1_3[[#This Row],[Sales Person]],Table1_3[Amount],"&lt;=100")&gt;=2,"Contract","Deal")</f>
        <v>Deal</v>
      </c>
    </row>
    <row r="2696" spans="1:7" x14ac:dyDescent="0.3">
      <c r="A2696" t="s">
        <v>19</v>
      </c>
      <c r="B2696" t="s">
        <v>10</v>
      </c>
      <c r="C2696" t="s">
        <v>11</v>
      </c>
      <c r="D2696">
        <v>8981</v>
      </c>
      <c r="E2696">
        <v>130</v>
      </c>
      <c r="F2696" s="1">
        <v>44747</v>
      </c>
      <c r="G2696" t="str">
        <f>IF(COUNTIFS(Table1_3[Country],Table1_3[[#This Row],[Country]],Table1_3[Product],Table1_3[[#This Row],[Product]],Table1_3[Sales Person],Table1_3[[#This Row],[Sales Person]],Table1_3[Amount],"&lt;=100")&gt;=2,"Contract","Deal")</f>
        <v>Deal</v>
      </c>
    </row>
    <row r="2697" spans="1:7" x14ac:dyDescent="0.3">
      <c r="A2697" t="s">
        <v>19</v>
      </c>
      <c r="B2697" t="s">
        <v>10</v>
      </c>
      <c r="C2697" t="s">
        <v>11</v>
      </c>
      <c r="D2697">
        <v>9072.4599999999991</v>
      </c>
      <c r="E2697">
        <v>142</v>
      </c>
      <c r="F2697" s="1">
        <v>45112</v>
      </c>
      <c r="G2697" t="str">
        <f>IF(COUNTIFS(Table1_3[Country],Table1_3[[#This Row],[Country]],Table1_3[Product],Table1_3[[#This Row],[Product]],Table1_3[Sales Person],Table1_3[[#This Row],[Sales Person]],Table1_3[Amount],"&lt;=100")&gt;=2,"Contract","Deal")</f>
        <v>Deal</v>
      </c>
    </row>
    <row r="2698" spans="1:7" x14ac:dyDescent="0.3">
      <c r="A2698" t="s">
        <v>19</v>
      </c>
      <c r="B2698" t="s">
        <v>10</v>
      </c>
      <c r="C2698" t="s">
        <v>11</v>
      </c>
      <c r="D2698">
        <v>9928.42</v>
      </c>
      <c r="E2698">
        <v>130</v>
      </c>
      <c r="F2698" s="1">
        <v>45478</v>
      </c>
      <c r="G2698" t="str">
        <f>IF(COUNTIFS(Table1_3[Country],Table1_3[[#This Row],[Country]],Table1_3[Product],Table1_3[[#This Row],[Product]],Table1_3[Sales Person],Table1_3[[#This Row],[Sales Person]],Table1_3[Amount],"&lt;=100")&gt;=2,"Contract","Deal")</f>
        <v>Deal</v>
      </c>
    </row>
    <row r="2699" spans="1:7" x14ac:dyDescent="0.3">
      <c r="A2699" t="s">
        <v>19</v>
      </c>
      <c r="B2699" t="s">
        <v>10</v>
      </c>
      <c r="C2699" t="s">
        <v>20</v>
      </c>
      <c r="D2699">
        <v>10255</v>
      </c>
      <c r="E2699">
        <v>11</v>
      </c>
      <c r="F2699" s="1">
        <v>44708</v>
      </c>
      <c r="G2699" t="str">
        <f>IF(COUNTIFS(Table1_3[Country],Table1_3[[#This Row],[Country]],Table1_3[Product],Table1_3[[#This Row],[Product]],Table1_3[Sales Person],Table1_3[[#This Row],[Sales Person]],Table1_3[Amount],"&lt;=100")&gt;=2,"Contract","Deal")</f>
        <v>Deal</v>
      </c>
    </row>
    <row r="2700" spans="1:7" x14ac:dyDescent="0.3">
      <c r="A2700" t="s">
        <v>19</v>
      </c>
      <c r="B2700" t="s">
        <v>10</v>
      </c>
      <c r="C2700" t="s">
        <v>20</v>
      </c>
      <c r="D2700">
        <v>10914.36</v>
      </c>
      <c r="E2700">
        <v>11</v>
      </c>
      <c r="F2700" s="1">
        <v>45073</v>
      </c>
      <c r="G2700" t="str">
        <f>IF(COUNTIFS(Table1_3[Country],Table1_3[[#This Row],[Country]],Table1_3[Product],Table1_3[[#This Row],[Product]],Table1_3[Sales Person],Table1_3[[#This Row],[Sales Person]],Table1_3[Amount],"&lt;=100")&gt;=2,"Contract","Deal")</f>
        <v>Deal</v>
      </c>
    </row>
    <row r="2701" spans="1:7" x14ac:dyDescent="0.3">
      <c r="A2701" t="s">
        <v>19</v>
      </c>
      <c r="B2701" t="s">
        <v>10</v>
      </c>
      <c r="C2701" t="s">
        <v>20</v>
      </c>
      <c r="D2701">
        <v>12232.97</v>
      </c>
      <c r="E2701">
        <v>11</v>
      </c>
      <c r="F2701" s="1">
        <v>45439</v>
      </c>
      <c r="G2701" t="str">
        <f>IF(COUNTIFS(Table1_3[Country],Table1_3[[#This Row],[Country]],Table1_3[Product],Table1_3[[#This Row],[Product]],Table1_3[Sales Person],Table1_3[[#This Row],[Sales Person]],Table1_3[Amount],"&lt;=100")&gt;=2,"Contract","Deal")</f>
        <v>Deal</v>
      </c>
    </row>
    <row r="2702" spans="1:7" x14ac:dyDescent="0.3">
      <c r="A2702" t="s">
        <v>19</v>
      </c>
      <c r="B2702" t="s">
        <v>10</v>
      </c>
      <c r="C2702" t="s">
        <v>75</v>
      </c>
      <c r="D2702">
        <v>49</v>
      </c>
      <c r="E2702">
        <v>363</v>
      </c>
      <c r="F2702" s="1">
        <v>44606</v>
      </c>
      <c r="G2702" t="str">
        <f>IF(COUNTIFS(Table1_3[Country],Table1_3[[#This Row],[Country]],Table1_3[Product],Table1_3[[#This Row],[Product]],Table1_3[Sales Person],Table1_3[[#This Row],[Sales Person]],Table1_3[Amount],"&lt;=100")&gt;=2,"Contract","Deal")</f>
        <v>Contract</v>
      </c>
    </row>
    <row r="2703" spans="1:7" x14ac:dyDescent="0.3">
      <c r="A2703" t="s">
        <v>19</v>
      </c>
      <c r="B2703" t="s">
        <v>10</v>
      </c>
      <c r="C2703" t="s">
        <v>75</v>
      </c>
      <c r="D2703">
        <v>53.85</v>
      </c>
      <c r="E2703">
        <v>399</v>
      </c>
      <c r="F2703" s="1">
        <v>44971</v>
      </c>
      <c r="G2703" t="str">
        <f>IF(COUNTIFS(Table1_3[Country],Table1_3[[#This Row],[Country]],Table1_3[Product],Table1_3[[#This Row],[Product]],Table1_3[Sales Person],Table1_3[[#This Row],[Sales Person]],Table1_3[Amount],"&lt;=100")&gt;=2,"Contract","Deal")</f>
        <v>Contract</v>
      </c>
    </row>
    <row r="2704" spans="1:7" x14ac:dyDescent="0.3">
      <c r="A2704" t="s">
        <v>19</v>
      </c>
      <c r="B2704" t="s">
        <v>10</v>
      </c>
      <c r="C2704" t="s">
        <v>75</v>
      </c>
      <c r="D2704">
        <v>53.31</v>
      </c>
      <c r="E2704">
        <v>371</v>
      </c>
      <c r="F2704" s="1">
        <v>45336</v>
      </c>
      <c r="G2704" t="str">
        <f>IF(COUNTIFS(Table1_3[Country],Table1_3[[#This Row],[Country]],Table1_3[Product],Table1_3[[#This Row],[Product]],Table1_3[Sales Person],Table1_3[[#This Row],[Sales Person]],Table1_3[Amount],"&lt;=100")&gt;=2,"Contract","Deal")</f>
        <v>Contract</v>
      </c>
    </row>
    <row r="2705" spans="1:7" x14ac:dyDescent="0.3">
      <c r="A2705" t="s">
        <v>19</v>
      </c>
      <c r="B2705" t="s">
        <v>10</v>
      </c>
      <c r="C2705" t="s">
        <v>38</v>
      </c>
      <c r="D2705">
        <v>16380</v>
      </c>
      <c r="E2705">
        <v>130</v>
      </c>
      <c r="F2705" s="1">
        <v>44763</v>
      </c>
      <c r="G2705" t="str">
        <f>IF(COUNTIFS(Table1_3[Country],Table1_3[[#This Row],[Country]],Table1_3[Product],Table1_3[[#This Row],[Product]],Table1_3[Sales Person],Table1_3[[#This Row],[Sales Person]],Table1_3[Amount],"&lt;=100")&gt;=2,"Contract","Deal")</f>
        <v>Deal</v>
      </c>
    </row>
    <row r="2706" spans="1:7" x14ac:dyDescent="0.3">
      <c r="A2706" t="s">
        <v>19</v>
      </c>
      <c r="B2706" t="s">
        <v>10</v>
      </c>
      <c r="C2706" t="s">
        <v>38</v>
      </c>
      <c r="D2706">
        <v>18220.59</v>
      </c>
      <c r="E2706">
        <v>139</v>
      </c>
      <c r="F2706" s="1">
        <v>45128</v>
      </c>
      <c r="G2706" t="str">
        <f>IF(COUNTIFS(Table1_3[Country],Table1_3[[#This Row],[Country]],Table1_3[Product],Table1_3[[#This Row],[Product]],Table1_3[Sales Person],Table1_3[[#This Row],[Sales Person]],Table1_3[Amount],"&lt;=100")&gt;=2,"Contract","Deal")</f>
        <v>Deal</v>
      </c>
    </row>
    <row r="2707" spans="1:7" x14ac:dyDescent="0.3">
      <c r="A2707" t="s">
        <v>19</v>
      </c>
      <c r="B2707" t="s">
        <v>10</v>
      </c>
      <c r="C2707" t="s">
        <v>38</v>
      </c>
      <c r="D2707">
        <v>19390.61</v>
      </c>
      <c r="E2707">
        <v>141</v>
      </c>
      <c r="F2707" s="1">
        <v>45494</v>
      </c>
      <c r="G2707" t="str">
        <f>IF(COUNTIFS(Table1_3[Country],Table1_3[[#This Row],[Country]],Table1_3[Product],Table1_3[[#This Row],[Product]],Table1_3[Sales Person],Table1_3[[#This Row],[Sales Person]],Table1_3[Amount],"&lt;=100")&gt;=2,"Contract","Deal")</f>
        <v>Deal</v>
      </c>
    </row>
    <row r="2708" spans="1:7" x14ac:dyDescent="0.3">
      <c r="A2708" t="s">
        <v>19</v>
      </c>
      <c r="B2708" t="s">
        <v>10</v>
      </c>
      <c r="C2708" t="s">
        <v>36</v>
      </c>
      <c r="D2708">
        <v>5663</v>
      </c>
      <c r="E2708">
        <v>322</v>
      </c>
      <c r="F2708" s="1">
        <v>44798</v>
      </c>
      <c r="G2708" t="str">
        <f>IF(COUNTIFS(Table1_3[Country],Table1_3[[#This Row],[Country]],Table1_3[Product],Table1_3[[#This Row],[Product]],Table1_3[Sales Person],Table1_3[[#This Row],[Sales Person]],Table1_3[Amount],"&lt;=100")&gt;=2,"Contract","Deal")</f>
        <v>Deal</v>
      </c>
    </row>
    <row r="2709" spans="1:7" x14ac:dyDescent="0.3">
      <c r="A2709" t="s">
        <v>19</v>
      </c>
      <c r="B2709" t="s">
        <v>10</v>
      </c>
      <c r="C2709" t="s">
        <v>36</v>
      </c>
      <c r="D2709">
        <v>5973.24</v>
      </c>
      <c r="E2709">
        <v>337</v>
      </c>
      <c r="F2709" s="1">
        <v>45163</v>
      </c>
      <c r="G2709" t="str">
        <f>IF(COUNTIFS(Table1_3[Country],Table1_3[[#This Row],[Country]],Table1_3[Product],Table1_3[[#This Row],[Product]],Table1_3[Sales Person],Table1_3[[#This Row],[Sales Person]],Table1_3[Amount],"&lt;=100")&gt;=2,"Contract","Deal")</f>
        <v>Deal</v>
      </c>
    </row>
    <row r="2710" spans="1:7" x14ac:dyDescent="0.3">
      <c r="A2710" t="s">
        <v>19</v>
      </c>
      <c r="B2710" t="s">
        <v>10</v>
      </c>
      <c r="C2710" t="s">
        <v>36</v>
      </c>
      <c r="D2710">
        <v>6096.53</v>
      </c>
      <c r="E2710">
        <v>344</v>
      </c>
      <c r="F2710" s="1">
        <v>45529</v>
      </c>
      <c r="G2710" t="str">
        <f>IF(COUNTIFS(Table1_3[Country],Table1_3[[#This Row],[Country]],Table1_3[Product],Table1_3[[#This Row],[Product]],Table1_3[Sales Person],Table1_3[[#This Row],[Sales Person]],Table1_3[Amount],"&lt;=100")&gt;=2,"Contract","Deal")</f>
        <v>Deal</v>
      </c>
    </row>
    <row r="2711" spans="1:7" x14ac:dyDescent="0.3">
      <c r="A2711" t="s">
        <v>19</v>
      </c>
      <c r="B2711" t="s">
        <v>10</v>
      </c>
      <c r="C2711" t="s">
        <v>42</v>
      </c>
      <c r="D2711">
        <v>6181</v>
      </c>
      <c r="E2711">
        <v>56</v>
      </c>
      <c r="F2711" s="1">
        <v>44750</v>
      </c>
      <c r="G2711" t="str">
        <f>IF(COUNTIFS(Table1_3[Country],Table1_3[[#This Row],[Country]],Table1_3[Product],Table1_3[[#This Row],[Product]],Table1_3[Sales Person],Table1_3[[#This Row],[Sales Person]],Table1_3[Amount],"&lt;=100")&gt;=2,"Contract","Deal")</f>
        <v>Deal</v>
      </c>
    </row>
    <row r="2712" spans="1:7" x14ac:dyDescent="0.3">
      <c r="A2712" t="s">
        <v>19</v>
      </c>
      <c r="B2712" t="s">
        <v>10</v>
      </c>
      <c r="C2712" t="s">
        <v>42</v>
      </c>
      <c r="D2712">
        <v>6665.87</v>
      </c>
      <c r="E2712">
        <v>60</v>
      </c>
      <c r="F2712" s="1">
        <v>45115</v>
      </c>
      <c r="G2712" t="str">
        <f>IF(COUNTIFS(Table1_3[Country],Table1_3[[#This Row],[Country]],Table1_3[Product],Table1_3[[#This Row],[Product]],Table1_3[Sales Person],Table1_3[[#This Row],[Sales Person]],Table1_3[Amount],"&lt;=100")&gt;=2,"Contract","Deal")</f>
        <v>Deal</v>
      </c>
    </row>
    <row r="2713" spans="1:7" x14ac:dyDescent="0.3">
      <c r="A2713" t="s">
        <v>19</v>
      </c>
      <c r="B2713" t="s">
        <v>10</v>
      </c>
      <c r="C2713" t="s">
        <v>42</v>
      </c>
      <c r="D2713">
        <v>6468.82</v>
      </c>
      <c r="E2713">
        <v>59</v>
      </c>
      <c r="F2713" s="1">
        <v>45481</v>
      </c>
      <c r="G2713" t="str">
        <f>IF(COUNTIFS(Table1_3[Country],Table1_3[[#This Row],[Country]],Table1_3[Product],Table1_3[[#This Row],[Product]],Table1_3[Sales Person],Table1_3[[#This Row],[Sales Person]],Table1_3[Amount],"&lt;=100")&gt;=2,"Contract","Deal")</f>
        <v>Deal</v>
      </c>
    </row>
    <row r="2714" spans="1:7" x14ac:dyDescent="0.3">
      <c r="A2714" t="s">
        <v>19</v>
      </c>
      <c r="B2714" t="s">
        <v>10</v>
      </c>
      <c r="C2714" t="s">
        <v>73</v>
      </c>
      <c r="D2714">
        <v>6832</v>
      </c>
      <c r="E2714">
        <v>46</v>
      </c>
      <c r="F2714" s="1">
        <v>44665</v>
      </c>
      <c r="G2714" t="str">
        <f>IF(COUNTIFS(Table1_3[Country],Table1_3[[#This Row],[Country]],Table1_3[Product],Table1_3[[#This Row],[Product]],Table1_3[Sales Person],Table1_3[[#This Row],[Sales Person]],Table1_3[Amount],"&lt;=100")&gt;=2,"Contract","Deal")</f>
        <v>Deal</v>
      </c>
    </row>
    <row r="2715" spans="1:7" x14ac:dyDescent="0.3">
      <c r="A2715" t="s">
        <v>19</v>
      </c>
      <c r="B2715" t="s">
        <v>10</v>
      </c>
      <c r="C2715" t="s">
        <v>73</v>
      </c>
      <c r="D2715">
        <v>6826.32</v>
      </c>
      <c r="E2715">
        <v>44</v>
      </c>
      <c r="F2715" s="1">
        <v>45030</v>
      </c>
      <c r="G2715" t="str">
        <f>IF(COUNTIFS(Table1_3[Country],Table1_3[[#This Row],[Country]],Table1_3[Product],Table1_3[[#This Row],[Product]],Table1_3[Sales Person],Table1_3[[#This Row],[Sales Person]],Table1_3[Amount],"&lt;=100")&gt;=2,"Contract","Deal")</f>
        <v>Deal</v>
      </c>
    </row>
    <row r="2716" spans="1:7" x14ac:dyDescent="0.3">
      <c r="A2716" t="s">
        <v>19</v>
      </c>
      <c r="B2716" t="s">
        <v>10</v>
      </c>
      <c r="C2716" t="s">
        <v>73</v>
      </c>
      <c r="D2716">
        <v>7620.86</v>
      </c>
      <c r="E2716">
        <v>46</v>
      </c>
      <c r="F2716" s="1">
        <v>45396</v>
      </c>
      <c r="G2716" t="str">
        <f>IF(COUNTIFS(Table1_3[Country],Table1_3[[#This Row],[Country]],Table1_3[Product],Table1_3[[#This Row],[Product]],Table1_3[Sales Person],Table1_3[[#This Row],[Sales Person]],Table1_3[Amount],"&lt;=100")&gt;=2,"Contract","Deal")</f>
        <v>Deal</v>
      </c>
    </row>
    <row r="2717" spans="1:7" x14ac:dyDescent="0.3">
      <c r="A2717" t="s">
        <v>19</v>
      </c>
      <c r="B2717" t="s">
        <v>10</v>
      </c>
      <c r="C2717" t="s">
        <v>18</v>
      </c>
      <c r="D2717">
        <v>10101</v>
      </c>
      <c r="E2717">
        <v>108</v>
      </c>
      <c r="F2717" s="1">
        <v>44599</v>
      </c>
      <c r="G2717" t="str">
        <f>IF(COUNTIFS(Table1_3[Country],Table1_3[[#This Row],[Country]],Table1_3[Product],Table1_3[[#This Row],[Product]],Table1_3[Sales Person],Table1_3[[#This Row],[Sales Person]],Table1_3[Amount],"&lt;=100")&gt;=2,"Contract","Deal")</f>
        <v>Deal</v>
      </c>
    </row>
    <row r="2718" spans="1:7" x14ac:dyDescent="0.3">
      <c r="A2718" t="s">
        <v>19</v>
      </c>
      <c r="B2718" t="s">
        <v>10</v>
      </c>
      <c r="C2718" t="s">
        <v>18</v>
      </c>
      <c r="D2718">
        <v>10759.61</v>
      </c>
      <c r="E2718">
        <v>107</v>
      </c>
      <c r="F2718" s="1">
        <v>44964</v>
      </c>
      <c r="G2718" t="str">
        <f>IF(COUNTIFS(Table1_3[Country],Table1_3[[#This Row],[Country]],Table1_3[Product],Table1_3[[#This Row],[Product]],Table1_3[Sales Person],Table1_3[[#This Row],[Sales Person]],Table1_3[Amount],"&lt;=100")&gt;=2,"Contract","Deal")</f>
        <v>Deal</v>
      </c>
    </row>
    <row r="2719" spans="1:7" x14ac:dyDescent="0.3">
      <c r="A2719" t="s">
        <v>19</v>
      </c>
      <c r="B2719" t="s">
        <v>10</v>
      </c>
      <c r="C2719" t="s">
        <v>18</v>
      </c>
      <c r="D2719">
        <v>10901.65</v>
      </c>
      <c r="E2719">
        <v>116</v>
      </c>
      <c r="F2719" s="1">
        <v>45329</v>
      </c>
      <c r="G2719" t="str">
        <f>IF(COUNTIFS(Table1_3[Country],Table1_3[[#This Row],[Country]],Table1_3[Product],Table1_3[[#This Row],[Product]],Table1_3[Sales Person],Table1_3[[#This Row],[Sales Person]],Table1_3[Amount],"&lt;=100")&gt;=2,"Contract","Deal")</f>
        <v>Deal</v>
      </c>
    </row>
    <row r="2720" spans="1:7" x14ac:dyDescent="0.3">
      <c r="A2720" t="s">
        <v>19</v>
      </c>
      <c r="B2720" t="s">
        <v>10</v>
      </c>
      <c r="C2720" t="s">
        <v>50</v>
      </c>
      <c r="D2720">
        <v>11137</v>
      </c>
      <c r="E2720">
        <v>88</v>
      </c>
      <c r="F2720" s="1">
        <v>44720</v>
      </c>
      <c r="G2720" t="str">
        <f>IF(COUNTIFS(Table1_3[Country],Table1_3[[#This Row],[Country]],Table1_3[Product],Table1_3[[#This Row],[Product]],Table1_3[Sales Person],Table1_3[[#This Row],[Sales Person]],Table1_3[Amount],"&lt;=100")&gt;=2,"Contract","Deal")</f>
        <v>Deal</v>
      </c>
    </row>
    <row r="2721" spans="1:7" x14ac:dyDescent="0.3">
      <c r="A2721" t="s">
        <v>19</v>
      </c>
      <c r="B2721" t="s">
        <v>10</v>
      </c>
      <c r="C2721" t="s">
        <v>50</v>
      </c>
      <c r="D2721">
        <v>12531.37</v>
      </c>
      <c r="E2721">
        <v>86</v>
      </c>
      <c r="F2721" s="1">
        <v>45085</v>
      </c>
      <c r="G2721" t="str">
        <f>IF(COUNTIFS(Table1_3[Country],Table1_3[[#This Row],[Country]],Table1_3[Product],Table1_3[[#This Row],[Product]],Table1_3[Sales Person],Table1_3[[#This Row],[Sales Person]],Table1_3[Amount],"&lt;=100")&gt;=2,"Contract","Deal")</f>
        <v>Deal</v>
      </c>
    </row>
    <row r="2722" spans="1:7" x14ac:dyDescent="0.3">
      <c r="A2722" t="s">
        <v>19</v>
      </c>
      <c r="B2722" t="s">
        <v>10</v>
      </c>
      <c r="C2722" t="s">
        <v>50</v>
      </c>
      <c r="D2722">
        <v>13189.14</v>
      </c>
      <c r="E2722">
        <v>95</v>
      </c>
      <c r="F2722" s="1">
        <v>45451</v>
      </c>
      <c r="G2722" t="str">
        <f>IF(COUNTIFS(Table1_3[Country],Table1_3[[#This Row],[Country]],Table1_3[Product],Table1_3[[#This Row],[Product]],Table1_3[Sales Person],Table1_3[[#This Row],[Sales Person]],Table1_3[Amount],"&lt;=100")&gt;=2,"Contract","Deal")</f>
        <v>Deal</v>
      </c>
    </row>
    <row r="2723" spans="1:7" x14ac:dyDescent="0.3">
      <c r="A2723" t="s">
        <v>19</v>
      </c>
      <c r="B2723" t="s">
        <v>25</v>
      </c>
      <c r="C2723" t="s">
        <v>11</v>
      </c>
      <c r="D2723">
        <v>3381</v>
      </c>
      <c r="E2723">
        <v>417</v>
      </c>
      <c r="F2723" s="1">
        <v>44593</v>
      </c>
      <c r="G2723" t="str">
        <f>IF(COUNTIFS(Table1_3[Country],Table1_3[[#This Row],[Country]],Table1_3[Product],Table1_3[[#This Row],[Product]],Table1_3[Sales Person],Table1_3[[#This Row],[Sales Person]],Table1_3[Amount],"&lt;=100")&gt;=2,"Contract","Deal")</f>
        <v>Deal</v>
      </c>
    </row>
    <row r="2724" spans="1:7" x14ac:dyDescent="0.3">
      <c r="A2724" t="s">
        <v>19</v>
      </c>
      <c r="B2724" t="s">
        <v>25</v>
      </c>
      <c r="C2724" t="s">
        <v>11</v>
      </c>
      <c r="D2724">
        <v>3432.3</v>
      </c>
      <c r="E2724">
        <v>452</v>
      </c>
      <c r="F2724" s="1">
        <v>44958</v>
      </c>
      <c r="G2724" t="str">
        <f>IF(COUNTIFS(Table1_3[Country],Table1_3[[#This Row],[Country]],Table1_3[Product],Table1_3[[#This Row],[Product]],Table1_3[Sales Person],Table1_3[[#This Row],[Sales Person]],Table1_3[Amount],"&lt;=100")&gt;=2,"Contract","Deal")</f>
        <v>Deal</v>
      </c>
    </row>
    <row r="2725" spans="1:7" x14ac:dyDescent="0.3">
      <c r="A2725" t="s">
        <v>19</v>
      </c>
      <c r="B2725" t="s">
        <v>25</v>
      </c>
      <c r="C2725" t="s">
        <v>11</v>
      </c>
      <c r="D2725">
        <v>4040.65</v>
      </c>
      <c r="E2725">
        <v>423</v>
      </c>
      <c r="F2725" s="1">
        <v>45323</v>
      </c>
      <c r="G2725" t="str">
        <f>IF(COUNTIFS(Table1_3[Country],Table1_3[[#This Row],[Country]],Table1_3[Product],Table1_3[[#This Row],[Product]],Table1_3[Sales Person],Table1_3[[#This Row],[Sales Person]],Table1_3[Amount],"&lt;=100")&gt;=2,"Contract","Deal")</f>
        <v>Deal</v>
      </c>
    </row>
    <row r="2726" spans="1:7" x14ac:dyDescent="0.3">
      <c r="A2726" t="s">
        <v>19</v>
      </c>
      <c r="B2726" t="s">
        <v>25</v>
      </c>
      <c r="C2726" t="s">
        <v>87</v>
      </c>
      <c r="D2726">
        <v>11823</v>
      </c>
      <c r="E2726">
        <v>47</v>
      </c>
      <c r="F2726" s="1">
        <v>44676</v>
      </c>
      <c r="G2726" t="str">
        <f>IF(COUNTIFS(Table1_3[Country],Table1_3[[#This Row],[Country]],Table1_3[Product],Table1_3[[#This Row],[Product]],Table1_3[Sales Person],Table1_3[[#This Row],[Sales Person]],Table1_3[Amount],"&lt;=100")&gt;=2,"Contract","Deal")</f>
        <v>Deal</v>
      </c>
    </row>
    <row r="2727" spans="1:7" x14ac:dyDescent="0.3">
      <c r="A2727" t="s">
        <v>19</v>
      </c>
      <c r="B2727" t="s">
        <v>25</v>
      </c>
      <c r="C2727" t="s">
        <v>87</v>
      </c>
      <c r="D2727">
        <v>12073.18</v>
      </c>
      <c r="E2727">
        <v>51</v>
      </c>
      <c r="F2727" s="1">
        <v>45041</v>
      </c>
      <c r="G2727" t="str">
        <f>IF(COUNTIFS(Table1_3[Country],Table1_3[[#This Row],[Country]],Table1_3[Product],Table1_3[[#This Row],[Product]],Table1_3[Sales Person],Table1_3[[#This Row],[Sales Person]],Table1_3[Amount],"&lt;=100")&gt;=2,"Contract","Deal")</f>
        <v>Deal</v>
      </c>
    </row>
    <row r="2728" spans="1:7" x14ac:dyDescent="0.3">
      <c r="A2728" t="s">
        <v>19</v>
      </c>
      <c r="B2728" t="s">
        <v>25</v>
      </c>
      <c r="C2728" t="s">
        <v>87</v>
      </c>
      <c r="D2728">
        <v>14234.61</v>
      </c>
      <c r="E2728">
        <v>45</v>
      </c>
      <c r="F2728" s="1">
        <v>45407</v>
      </c>
      <c r="G2728" t="str">
        <f>IF(COUNTIFS(Table1_3[Country],Table1_3[[#This Row],[Country]],Table1_3[Product],Table1_3[[#This Row],[Product]],Table1_3[Sales Person],Table1_3[[#This Row],[Sales Person]],Table1_3[Amount],"&lt;=100")&gt;=2,"Contract","Deal")</f>
        <v>Deal</v>
      </c>
    </row>
    <row r="2729" spans="1:7" x14ac:dyDescent="0.3">
      <c r="A2729" t="s">
        <v>19</v>
      </c>
      <c r="B2729" t="s">
        <v>25</v>
      </c>
      <c r="C2729" t="s">
        <v>46</v>
      </c>
      <c r="D2729">
        <v>4494</v>
      </c>
      <c r="E2729">
        <v>187</v>
      </c>
      <c r="F2729" s="1">
        <v>44573</v>
      </c>
      <c r="G2729" t="str">
        <f>IF(COUNTIFS(Table1_3[Country],Table1_3[[#This Row],[Country]],Table1_3[Product],Table1_3[[#This Row],[Product]],Table1_3[Sales Person],Table1_3[[#This Row],[Sales Person]],Table1_3[Amount],"&lt;=100")&gt;=2,"Contract","Deal")</f>
        <v>Deal</v>
      </c>
    </row>
    <row r="2730" spans="1:7" x14ac:dyDescent="0.3">
      <c r="A2730" t="s">
        <v>19</v>
      </c>
      <c r="B2730" t="s">
        <v>25</v>
      </c>
      <c r="C2730" t="s">
        <v>46</v>
      </c>
      <c r="D2730">
        <v>4484.03</v>
      </c>
      <c r="E2730">
        <v>201</v>
      </c>
      <c r="F2730" s="1">
        <v>44938</v>
      </c>
      <c r="G2730" t="str">
        <f>IF(COUNTIFS(Table1_3[Country],Table1_3[[#This Row],[Country]],Table1_3[Product],Table1_3[[#This Row],[Product]],Table1_3[Sales Person],Table1_3[[#This Row],[Sales Person]],Table1_3[Amount],"&lt;=100")&gt;=2,"Contract","Deal")</f>
        <v>Deal</v>
      </c>
    </row>
    <row r="2731" spans="1:7" x14ac:dyDescent="0.3">
      <c r="A2731" t="s">
        <v>19</v>
      </c>
      <c r="B2731" t="s">
        <v>25</v>
      </c>
      <c r="C2731" t="s">
        <v>46</v>
      </c>
      <c r="D2731">
        <v>5074.8599999999997</v>
      </c>
      <c r="E2731">
        <v>201</v>
      </c>
      <c r="F2731" s="1">
        <v>45303</v>
      </c>
      <c r="G2731" t="str">
        <f>IF(COUNTIFS(Table1_3[Country],Table1_3[[#This Row],[Country]],Table1_3[Product],Table1_3[[#This Row],[Product]],Table1_3[Sales Person],Table1_3[[#This Row],[Sales Person]],Table1_3[Amount],"&lt;=100")&gt;=2,"Contract","Deal")</f>
        <v>Deal</v>
      </c>
    </row>
    <row r="2732" spans="1:7" x14ac:dyDescent="0.3">
      <c r="A2732" t="s">
        <v>19</v>
      </c>
      <c r="B2732" t="s">
        <v>25</v>
      </c>
      <c r="C2732" t="s">
        <v>42</v>
      </c>
      <c r="D2732">
        <v>15316</v>
      </c>
      <c r="E2732">
        <v>270</v>
      </c>
      <c r="F2732" s="1">
        <v>44609</v>
      </c>
      <c r="G2732" t="str">
        <f>IF(COUNTIFS(Table1_3[Country],Table1_3[[#This Row],[Country]],Table1_3[Product],Table1_3[[#This Row],[Product]],Table1_3[Sales Person],Table1_3[[#This Row],[Sales Person]],Table1_3[Amount],"&lt;=100")&gt;=2,"Contract","Deal")</f>
        <v>Deal</v>
      </c>
    </row>
    <row r="2733" spans="1:7" x14ac:dyDescent="0.3">
      <c r="A2733" t="s">
        <v>19</v>
      </c>
      <c r="B2733" t="s">
        <v>25</v>
      </c>
      <c r="C2733" t="s">
        <v>42</v>
      </c>
      <c r="D2733">
        <v>16765.07</v>
      </c>
      <c r="E2733">
        <v>261</v>
      </c>
      <c r="F2733" s="1">
        <v>44974</v>
      </c>
      <c r="G2733" t="str">
        <f>IF(COUNTIFS(Table1_3[Country],Table1_3[[#This Row],[Country]],Table1_3[Product],Table1_3[[#This Row],[Product]],Table1_3[Sales Person],Table1_3[[#This Row],[Sales Person]],Table1_3[Amount],"&lt;=100")&gt;=2,"Contract","Deal")</f>
        <v>Deal</v>
      </c>
    </row>
    <row r="2734" spans="1:7" x14ac:dyDescent="0.3">
      <c r="A2734" t="s">
        <v>19</v>
      </c>
      <c r="B2734" t="s">
        <v>25</v>
      </c>
      <c r="C2734" t="s">
        <v>42</v>
      </c>
      <c r="D2734">
        <v>17102.97</v>
      </c>
      <c r="E2734">
        <v>267</v>
      </c>
      <c r="F2734" s="1">
        <v>45339</v>
      </c>
      <c r="G2734" t="str">
        <f>IF(COUNTIFS(Table1_3[Country],Table1_3[[#This Row],[Country]],Table1_3[Product],Table1_3[[#This Row],[Product]],Table1_3[Sales Person],Table1_3[[#This Row],[Sales Person]],Table1_3[Amount],"&lt;=100")&gt;=2,"Contract","Deal")</f>
        <v>Deal</v>
      </c>
    </row>
    <row r="2735" spans="1:7" x14ac:dyDescent="0.3">
      <c r="A2735" t="s">
        <v>19</v>
      </c>
      <c r="B2735" t="s">
        <v>25</v>
      </c>
      <c r="C2735" t="s">
        <v>73</v>
      </c>
      <c r="D2735">
        <v>4550</v>
      </c>
      <c r="E2735">
        <v>281</v>
      </c>
      <c r="F2735" s="1">
        <v>44694</v>
      </c>
      <c r="G2735" t="str">
        <f>IF(COUNTIFS(Table1_3[Country],Table1_3[[#This Row],[Country]],Table1_3[Product],Table1_3[[#This Row],[Product]],Table1_3[Sales Person],Table1_3[[#This Row],[Sales Person]],Table1_3[Amount],"&lt;=100")&gt;=2,"Contract","Deal")</f>
        <v>Deal</v>
      </c>
    </row>
    <row r="2736" spans="1:7" x14ac:dyDescent="0.3">
      <c r="A2736" t="s">
        <v>19</v>
      </c>
      <c r="B2736" t="s">
        <v>25</v>
      </c>
      <c r="C2736" t="s">
        <v>73</v>
      </c>
      <c r="D2736">
        <v>4908.71</v>
      </c>
      <c r="E2736">
        <v>288</v>
      </c>
      <c r="F2736" s="1">
        <v>45059</v>
      </c>
      <c r="G2736" t="str">
        <f>IF(COUNTIFS(Table1_3[Country],Table1_3[[#This Row],[Country]],Table1_3[Product],Table1_3[[#This Row],[Product]],Table1_3[Sales Person],Table1_3[[#This Row],[Sales Person]],Table1_3[Amount],"&lt;=100")&gt;=2,"Contract","Deal")</f>
        <v>Deal</v>
      </c>
    </row>
    <row r="2737" spans="1:7" x14ac:dyDescent="0.3">
      <c r="A2737" t="s">
        <v>19</v>
      </c>
      <c r="B2737" t="s">
        <v>25</v>
      </c>
      <c r="C2737" t="s">
        <v>73</v>
      </c>
      <c r="D2737">
        <v>5129.71</v>
      </c>
      <c r="E2737">
        <v>270</v>
      </c>
      <c r="F2737" s="1">
        <v>45425</v>
      </c>
      <c r="G2737" t="str">
        <f>IF(COUNTIFS(Table1_3[Country],Table1_3[[#This Row],[Country]],Table1_3[Product],Table1_3[[#This Row],[Product]],Table1_3[Sales Person],Table1_3[[#This Row],[Sales Person]],Table1_3[Amount],"&lt;=100")&gt;=2,"Contract","Deal")</f>
        <v>Deal</v>
      </c>
    </row>
    <row r="2738" spans="1:7" x14ac:dyDescent="0.3">
      <c r="A2738" t="s">
        <v>19</v>
      </c>
      <c r="B2738" t="s">
        <v>25</v>
      </c>
      <c r="C2738" t="s">
        <v>18</v>
      </c>
      <c r="D2738">
        <v>8673</v>
      </c>
      <c r="E2738">
        <v>60</v>
      </c>
      <c r="F2738" s="1">
        <v>44749</v>
      </c>
      <c r="G2738" t="str">
        <f>IF(COUNTIFS(Table1_3[Country],Table1_3[[#This Row],[Country]],Table1_3[Product],Table1_3[[#This Row],[Product]],Table1_3[Sales Person],Table1_3[[#This Row],[Sales Person]],Table1_3[Amount],"&lt;=100")&gt;=2,"Contract","Deal")</f>
        <v>Deal</v>
      </c>
    </row>
    <row r="2739" spans="1:7" x14ac:dyDescent="0.3">
      <c r="A2739" t="s">
        <v>19</v>
      </c>
      <c r="B2739" t="s">
        <v>25</v>
      </c>
      <c r="C2739" t="s">
        <v>18</v>
      </c>
      <c r="D2739">
        <v>9545.0300000000007</v>
      </c>
      <c r="E2739">
        <v>64</v>
      </c>
      <c r="F2739" s="1">
        <v>45114</v>
      </c>
      <c r="G2739" t="str">
        <f>IF(COUNTIFS(Table1_3[Country],Table1_3[[#This Row],[Country]],Table1_3[Product],Table1_3[[#This Row],[Product]],Table1_3[Sales Person],Table1_3[[#This Row],[Sales Person]],Table1_3[Amount],"&lt;=100")&gt;=2,"Contract","Deal")</f>
        <v>Deal</v>
      </c>
    </row>
    <row r="2740" spans="1:7" x14ac:dyDescent="0.3">
      <c r="A2740" t="s">
        <v>19</v>
      </c>
      <c r="B2740" t="s">
        <v>25</v>
      </c>
      <c r="C2740" t="s">
        <v>18</v>
      </c>
      <c r="D2740">
        <v>9261.26</v>
      </c>
      <c r="E2740">
        <v>65</v>
      </c>
      <c r="F2740" s="1">
        <v>45480</v>
      </c>
      <c r="G2740" t="str">
        <f>IF(COUNTIFS(Table1_3[Country],Table1_3[[#This Row],[Country]],Table1_3[Product],Table1_3[[#This Row],[Product]],Table1_3[Sales Person],Table1_3[[#This Row],[Sales Person]],Table1_3[Amount],"&lt;=100")&gt;=2,"Contract","Deal")</f>
        <v>Deal</v>
      </c>
    </row>
    <row r="2741" spans="1:7" x14ac:dyDescent="0.3">
      <c r="A2741" t="s">
        <v>19</v>
      </c>
      <c r="B2741" t="s">
        <v>25</v>
      </c>
      <c r="C2741" t="s">
        <v>50</v>
      </c>
      <c r="D2741">
        <v>1617</v>
      </c>
      <c r="E2741">
        <v>13</v>
      </c>
      <c r="F2741" s="1">
        <v>44715</v>
      </c>
      <c r="G2741" t="str">
        <f>IF(COUNTIFS(Table1_3[Country],Table1_3[[#This Row],[Country]],Table1_3[Product],Table1_3[[#This Row],[Product]],Table1_3[Sales Person],Table1_3[[#This Row],[Sales Person]],Table1_3[Amount],"&lt;=100")&gt;=2,"Contract","Deal")</f>
        <v>Deal</v>
      </c>
    </row>
    <row r="2742" spans="1:7" x14ac:dyDescent="0.3">
      <c r="A2742" t="s">
        <v>19</v>
      </c>
      <c r="B2742" t="s">
        <v>25</v>
      </c>
      <c r="C2742" t="s">
        <v>50</v>
      </c>
      <c r="D2742">
        <v>1793.67</v>
      </c>
      <c r="E2742">
        <v>13</v>
      </c>
      <c r="F2742" s="1">
        <v>45080</v>
      </c>
      <c r="G2742" t="str">
        <f>IF(COUNTIFS(Table1_3[Country],Table1_3[[#This Row],[Country]],Table1_3[Product],Table1_3[[#This Row],[Product]],Table1_3[Sales Person],Table1_3[[#This Row],[Sales Person]],Table1_3[Amount],"&lt;=100")&gt;=2,"Contract","Deal")</f>
        <v>Deal</v>
      </c>
    </row>
    <row r="2743" spans="1:7" x14ac:dyDescent="0.3">
      <c r="A2743" t="s">
        <v>19</v>
      </c>
      <c r="B2743" t="s">
        <v>25</v>
      </c>
      <c r="C2743" t="s">
        <v>50</v>
      </c>
      <c r="D2743">
        <v>1826.32</v>
      </c>
      <c r="E2743">
        <v>13</v>
      </c>
      <c r="F2743" s="1">
        <v>45446</v>
      </c>
      <c r="G2743" t="str">
        <f>IF(COUNTIFS(Table1_3[Country],Table1_3[[#This Row],[Country]],Table1_3[Product],Table1_3[[#This Row],[Product]],Table1_3[Sales Person],Table1_3[[#This Row],[Sales Person]],Table1_3[Amount],"&lt;=100")&gt;=2,"Contract","Deal")</f>
        <v>Deal</v>
      </c>
    </row>
    <row r="2744" spans="1:7" x14ac:dyDescent="0.3">
      <c r="A2744" t="s">
        <v>19</v>
      </c>
      <c r="B2744" t="s">
        <v>25</v>
      </c>
      <c r="C2744" t="s">
        <v>59</v>
      </c>
      <c r="D2744">
        <v>4361</v>
      </c>
      <c r="E2744">
        <v>40</v>
      </c>
      <c r="F2744" s="1">
        <v>44722</v>
      </c>
      <c r="G2744" t="str">
        <f>IF(COUNTIFS(Table1_3[Country],Table1_3[[#This Row],[Country]],Table1_3[Product],Table1_3[[#This Row],[Product]],Table1_3[Sales Person],Table1_3[[#This Row],[Sales Person]],Table1_3[Amount],"&lt;=100")&gt;=2,"Contract","Deal")</f>
        <v>Deal</v>
      </c>
    </row>
    <row r="2745" spans="1:7" x14ac:dyDescent="0.3">
      <c r="A2745" t="s">
        <v>19</v>
      </c>
      <c r="B2745" t="s">
        <v>25</v>
      </c>
      <c r="C2745" t="s">
        <v>59</v>
      </c>
      <c r="D2745">
        <v>4612.08</v>
      </c>
      <c r="E2745">
        <v>38</v>
      </c>
      <c r="F2745" s="1">
        <v>45087</v>
      </c>
      <c r="G2745" t="str">
        <f>IF(COUNTIFS(Table1_3[Country],Table1_3[[#This Row],[Country]],Table1_3[Product],Table1_3[[#This Row],[Product]],Table1_3[Sales Person],Table1_3[[#This Row],[Sales Person]],Table1_3[Amount],"&lt;=100")&gt;=2,"Contract","Deal")</f>
        <v>Deal</v>
      </c>
    </row>
    <row r="2746" spans="1:7" x14ac:dyDescent="0.3">
      <c r="A2746" t="s">
        <v>19</v>
      </c>
      <c r="B2746" t="s">
        <v>25</v>
      </c>
      <c r="C2746" t="s">
        <v>59</v>
      </c>
      <c r="D2746">
        <v>4822.33</v>
      </c>
      <c r="E2746">
        <v>42</v>
      </c>
      <c r="F2746" s="1">
        <v>45453</v>
      </c>
      <c r="G2746" t="str">
        <f>IF(COUNTIFS(Table1_3[Country],Table1_3[[#This Row],[Country]],Table1_3[Product],Table1_3[[#This Row],[Product]],Table1_3[Sales Person],Table1_3[[#This Row],[Sales Person]],Table1_3[Amount],"&lt;=100")&gt;=2,"Contract","Deal")</f>
        <v>Deal</v>
      </c>
    </row>
    <row r="2747" spans="1:7" x14ac:dyDescent="0.3">
      <c r="A2747" t="s">
        <v>19</v>
      </c>
      <c r="B2747" t="s">
        <v>7</v>
      </c>
      <c r="C2747" t="s">
        <v>100</v>
      </c>
      <c r="D2747">
        <v>6223</v>
      </c>
      <c r="E2747">
        <v>181</v>
      </c>
      <c r="F2747" s="1">
        <v>44636</v>
      </c>
      <c r="G2747" t="str">
        <f>IF(COUNTIFS(Table1_3[Country],Table1_3[[#This Row],[Country]],Table1_3[Product],Table1_3[[#This Row],[Product]],Table1_3[Sales Person],Table1_3[[#This Row],[Sales Person]],Table1_3[Amount],"&lt;=100")&gt;=2,"Contract","Deal")</f>
        <v>Deal</v>
      </c>
    </row>
    <row r="2748" spans="1:7" x14ac:dyDescent="0.3">
      <c r="A2748" t="s">
        <v>19</v>
      </c>
      <c r="B2748" t="s">
        <v>7</v>
      </c>
      <c r="C2748" t="s">
        <v>100</v>
      </c>
      <c r="D2748">
        <v>6800.26</v>
      </c>
      <c r="E2748">
        <v>187</v>
      </c>
      <c r="F2748" s="1">
        <v>45001</v>
      </c>
      <c r="G2748" t="str">
        <f>IF(COUNTIFS(Table1_3[Country],Table1_3[[#This Row],[Country]],Table1_3[Product],Table1_3[[#This Row],[Product]],Table1_3[Sales Person],Table1_3[[#This Row],[Sales Person]],Table1_3[Amount],"&lt;=100")&gt;=2,"Contract","Deal")</f>
        <v>Deal</v>
      </c>
    </row>
    <row r="2749" spans="1:7" x14ac:dyDescent="0.3">
      <c r="A2749" t="s">
        <v>19</v>
      </c>
      <c r="B2749" t="s">
        <v>7</v>
      </c>
      <c r="C2749" t="s">
        <v>100</v>
      </c>
      <c r="D2749">
        <v>7431</v>
      </c>
      <c r="E2749">
        <v>180</v>
      </c>
      <c r="F2749" s="1">
        <v>45367</v>
      </c>
      <c r="G2749" t="str">
        <f>IF(COUNTIFS(Table1_3[Country],Table1_3[[#This Row],[Country]],Table1_3[Product],Table1_3[[#This Row],[Product]],Table1_3[Sales Person],Table1_3[[#This Row],[Sales Person]],Table1_3[Amount],"&lt;=100")&gt;=2,"Contract","Deal")</f>
        <v>Deal</v>
      </c>
    </row>
    <row r="2750" spans="1:7" x14ac:dyDescent="0.3">
      <c r="A2750" t="s">
        <v>19</v>
      </c>
      <c r="B2750" t="s">
        <v>7</v>
      </c>
      <c r="C2750" t="s">
        <v>20</v>
      </c>
      <c r="D2750">
        <v>13685</v>
      </c>
      <c r="E2750">
        <v>176</v>
      </c>
      <c r="F2750" s="1">
        <v>44586</v>
      </c>
      <c r="G2750" t="str">
        <f>IF(COUNTIFS(Table1_3[Country],Table1_3[[#This Row],[Country]],Table1_3[Product],Table1_3[[#This Row],[Product]],Table1_3[Sales Person],Table1_3[[#This Row],[Sales Person]],Table1_3[Amount],"&lt;=100")&gt;=2,"Contract","Deal")</f>
        <v>Deal</v>
      </c>
    </row>
    <row r="2751" spans="1:7" x14ac:dyDescent="0.3">
      <c r="A2751" t="s">
        <v>19</v>
      </c>
      <c r="B2751" t="s">
        <v>7</v>
      </c>
      <c r="C2751" t="s">
        <v>20</v>
      </c>
      <c r="D2751">
        <v>14673.2</v>
      </c>
      <c r="E2751">
        <v>175</v>
      </c>
      <c r="F2751" s="1">
        <v>44951</v>
      </c>
      <c r="G2751" t="str">
        <f>IF(COUNTIFS(Table1_3[Country],Table1_3[[#This Row],[Country]],Table1_3[Product],Table1_3[[#This Row],[Product]],Table1_3[Sales Person],Table1_3[[#This Row],[Sales Person]],Table1_3[Amount],"&lt;=100")&gt;=2,"Contract","Deal")</f>
        <v>Deal</v>
      </c>
    </row>
    <row r="2752" spans="1:7" x14ac:dyDescent="0.3">
      <c r="A2752" t="s">
        <v>19</v>
      </c>
      <c r="B2752" t="s">
        <v>7</v>
      </c>
      <c r="C2752" t="s">
        <v>20</v>
      </c>
      <c r="D2752">
        <v>15900.6</v>
      </c>
      <c r="E2752">
        <v>188</v>
      </c>
      <c r="F2752" s="1">
        <v>45316</v>
      </c>
      <c r="G2752" t="str">
        <f>IF(COUNTIFS(Table1_3[Country],Table1_3[[#This Row],[Country]],Table1_3[Product],Table1_3[[#This Row],[Product]],Table1_3[Sales Person],Table1_3[[#This Row],[Sales Person]],Table1_3[Amount],"&lt;=100")&gt;=2,"Contract","Deal")</f>
        <v>Deal</v>
      </c>
    </row>
    <row r="2753" spans="1:7" x14ac:dyDescent="0.3">
      <c r="A2753" t="s">
        <v>19</v>
      </c>
      <c r="B2753" t="s">
        <v>7</v>
      </c>
      <c r="C2753" t="s">
        <v>23</v>
      </c>
      <c r="D2753">
        <v>2345</v>
      </c>
      <c r="E2753">
        <v>104</v>
      </c>
      <c r="F2753" s="1">
        <v>44760</v>
      </c>
      <c r="G2753" t="str">
        <f>IF(COUNTIFS(Table1_3[Country],Table1_3[[#This Row],[Country]],Table1_3[Product],Table1_3[[#This Row],[Product]],Table1_3[Sales Person],Table1_3[[#This Row],[Sales Person]],Table1_3[Amount],"&lt;=100")&gt;=2,"Contract","Deal")</f>
        <v>Deal</v>
      </c>
    </row>
    <row r="2754" spans="1:7" x14ac:dyDescent="0.3">
      <c r="A2754" t="s">
        <v>19</v>
      </c>
      <c r="B2754" t="s">
        <v>7</v>
      </c>
      <c r="C2754" t="s">
        <v>23</v>
      </c>
      <c r="D2754">
        <v>2587.7600000000002</v>
      </c>
      <c r="E2754">
        <v>108</v>
      </c>
      <c r="F2754" s="1">
        <v>45125</v>
      </c>
      <c r="G2754" t="str">
        <f>IF(COUNTIFS(Table1_3[Country],Table1_3[[#This Row],[Country]],Table1_3[Product],Table1_3[[#This Row],[Product]],Table1_3[Sales Person],Table1_3[[#This Row],[Sales Person]],Table1_3[Amount],"&lt;=100")&gt;=2,"Contract","Deal")</f>
        <v>Deal</v>
      </c>
    </row>
    <row r="2755" spans="1:7" x14ac:dyDescent="0.3">
      <c r="A2755" t="s">
        <v>19</v>
      </c>
      <c r="B2755" t="s">
        <v>7</v>
      </c>
      <c r="C2755" t="s">
        <v>23</v>
      </c>
      <c r="D2755">
        <v>2555.9499999999998</v>
      </c>
      <c r="E2755">
        <v>109</v>
      </c>
      <c r="F2755" s="1">
        <v>45491</v>
      </c>
      <c r="G2755" t="str">
        <f>IF(COUNTIFS(Table1_3[Country],Table1_3[[#This Row],[Country]],Table1_3[Product],Table1_3[[#This Row],[Product]],Table1_3[Sales Person],Table1_3[[#This Row],[Sales Person]],Table1_3[Amount],"&lt;=100")&gt;=2,"Contract","Deal")</f>
        <v>Deal</v>
      </c>
    </row>
    <row r="2756" spans="1:7" x14ac:dyDescent="0.3">
      <c r="A2756" t="s">
        <v>19</v>
      </c>
      <c r="B2756" t="s">
        <v>7</v>
      </c>
      <c r="C2756" t="s">
        <v>75</v>
      </c>
      <c r="D2756">
        <v>9324</v>
      </c>
      <c r="E2756">
        <v>41</v>
      </c>
      <c r="F2756" s="1">
        <v>44637</v>
      </c>
      <c r="G2756" t="str">
        <f>IF(COUNTIFS(Table1_3[Country],Table1_3[[#This Row],[Country]],Table1_3[Product],Table1_3[[#This Row],[Product]],Table1_3[Sales Person],Table1_3[[#This Row],[Sales Person]],Table1_3[Amount],"&lt;=100")&gt;=2,"Contract","Deal")</f>
        <v>Deal</v>
      </c>
    </row>
    <row r="2757" spans="1:7" x14ac:dyDescent="0.3">
      <c r="A2757" t="s">
        <v>19</v>
      </c>
      <c r="B2757" t="s">
        <v>7</v>
      </c>
      <c r="C2757" t="s">
        <v>75</v>
      </c>
      <c r="D2757">
        <v>10370.44</v>
      </c>
      <c r="E2757">
        <v>44</v>
      </c>
      <c r="F2757" s="1">
        <v>45002</v>
      </c>
      <c r="G2757" t="str">
        <f>IF(COUNTIFS(Table1_3[Country],Table1_3[[#This Row],[Country]],Table1_3[Product],Table1_3[[#This Row],[Product]],Table1_3[Sales Person],Table1_3[[#This Row],[Sales Person]],Table1_3[Amount],"&lt;=100")&gt;=2,"Contract","Deal")</f>
        <v>Deal</v>
      </c>
    </row>
    <row r="2758" spans="1:7" x14ac:dyDescent="0.3">
      <c r="A2758" t="s">
        <v>19</v>
      </c>
      <c r="B2758" t="s">
        <v>7</v>
      </c>
      <c r="C2758" t="s">
        <v>75</v>
      </c>
      <c r="D2758">
        <v>10751.19</v>
      </c>
      <c r="E2758">
        <v>44</v>
      </c>
      <c r="F2758" s="1">
        <v>45368</v>
      </c>
      <c r="G2758" t="str">
        <f>IF(COUNTIFS(Table1_3[Country],Table1_3[[#This Row],[Country]],Table1_3[Product],Table1_3[[#This Row],[Product]],Table1_3[Sales Person],Table1_3[[#This Row],[Sales Person]],Table1_3[Amount],"&lt;=100")&gt;=2,"Contract","Deal")</f>
        <v>Deal</v>
      </c>
    </row>
    <row r="2759" spans="1:7" x14ac:dyDescent="0.3">
      <c r="A2759" t="s">
        <v>19</v>
      </c>
      <c r="B2759" t="s">
        <v>7</v>
      </c>
      <c r="C2759" t="s">
        <v>46</v>
      </c>
      <c r="D2759">
        <v>6468</v>
      </c>
      <c r="E2759">
        <v>223</v>
      </c>
      <c r="F2759" s="1">
        <v>44753</v>
      </c>
      <c r="G2759" t="str">
        <f>IF(COUNTIFS(Table1_3[Country],Table1_3[[#This Row],[Country]],Table1_3[Product],Table1_3[[#This Row],[Product]],Table1_3[Sales Person],Table1_3[[#This Row],[Sales Person]],Table1_3[Amount],"&lt;=100")&gt;=2,"Contract","Deal")</f>
        <v>Deal</v>
      </c>
    </row>
    <row r="2760" spans="1:7" x14ac:dyDescent="0.3">
      <c r="A2760" t="s">
        <v>19</v>
      </c>
      <c r="B2760" t="s">
        <v>7</v>
      </c>
      <c r="C2760" t="s">
        <v>46</v>
      </c>
      <c r="D2760">
        <v>6853.82</v>
      </c>
      <c r="E2760">
        <v>220</v>
      </c>
      <c r="F2760" s="1">
        <v>45118</v>
      </c>
      <c r="G2760" t="str">
        <f>IF(COUNTIFS(Table1_3[Country],Table1_3[[#This Row],[Country]],Table1_3[Product],Table1_3[[#This Row],[Product]],Table1_3[Sales Person],Table1_3[[#This Row],[Sales Person]],Table1_3[Amount],"&lt;=100")&gt;=2,"Contract","Deal")</f>
        <v>Deal</v>
      </c>
    </row>
    <row r="2761" spans="1:7" x14ac:dyDescent="0.3">
      <c r="A2761" t="s">
        <v>19</v>
      </c>
      <c r="B2761" t="s">
        <v>7</v>
      </c>
      <c r="C2761" t="s">
        <v>46</v>
      </c>
      <c r="D2761">
        <v>6831.03</v>
      </c>
      <c r="E2761">
        <v>243</v>
      </c>
      <c r="F2761" s="1">
        <v>45484</v>
      </c>
      <c r="G2761" t="str">
        <f>IF(COUNTIFS(Table1_3[Country],Table1_3[[#This Row],[Country]],Table1_3[Product],Table1_3[[#This Row],[Product]],Table1_3[Sales Person],Table1_3[[#This Row],[Sales Person]],Table1_3[Amount],"&lt;=100")&gt;=2,"Contract","Deal")</f>
        <v>Deal</v>
      </c>
    </row>
    <row r="2762" spans="1:7" x14ac:dyDescent="0.3">
      <c r="A2762" t="s">
        <v>19</v>
      </c>
      <c r="B2762" t="s">
        <v>7</v>
      </c>
      <c r="C2762" t="s">
        <v>33</v>
      </c>
      <c r="D2762">
        <v>7315</v>
      </c>
      <c r="E2762">
        <v>237</v>
      </c>
      <c r="F2762" s="1">
        <v>44666</v>
      </c>
      <c r="G2762" t="str">
        <f>IF(COUNTIFS(Table1_3[Country],Table1_3[[#This Row],[Country]],Table1_3[Product],Table1_3[[#This Row],[Product]],Table1_3[Sales Person],Table1_3[[#This Row],[Sales Person]],Table1_3[Amount],"&lt;=100")&gt;=2,"Contract","Deal")</f>
        <v>Deal</v>
      </c>
    </row>
    <row r="2763" spans="1:7" x14ac:dyDescent="0.3">
      <c r="A2763" t="s">
        <v>19</v>
      </c>
      <c r="B2763" t="s">
        <v>7</v>
      </c>
      <c r="C2763" t="s">
        <v>33</v>
      </c>
      <c r="D2763">
        <v>8431.83</v>
      </c>
      <c r="E2763">
        <v>251</v>
      </c>
      <c r="F2763" s="1">
        <v>45031</v>
      </c>
      <c r="G2763" t="str">
        <f>IF(COUNTIFS(Table1_3[Country],Table1_3[[#This Row],[Country]],Table1_3[Product],Table1_3[[#This Row],[Product]],Table1_3[Sales Person],Table1_3[[#This Row],[Sales Person]],Table1_3[Amount],"&lt;=100")&gt;=2,"Contract","Deal")</f>
        <v>Deal</v>
      </c>
    </row>
    <row r="2764" spans="1:7" x14ac:dyDescent="0.3">
      <c r="A2764" t="s">
        <v>19</v>
      </c>
      <c r="B2764" t="s">
        <v>7</v>
      </c>
      <c r="C2764" t="s">
        <v>33</v>
      </c>
      <c r="D2764">
        <v>8250.0300000000007</v>
      </c>
      <c r="E2764">
        <v>228</v>
      </c>
      <c r="F2764" s="1">
        <v>45397</v>
      </c>
      <c r="G2764" t="str">
        <f>IF(COUNTIFS(Table1_3[Country],Table1_3[[#This Row],[Country]],Table1_3[Product],Table1_3[[#This Row],[Product]],Table1_3[Sales Person],Table1_3[[#This Row],[Sales Person]],Table1_3[Amount],"&lt;=100")&gt;=2,"Contract","Deal")</f>
        <v>Deal</v>
      </c>
    </row>
    <row r="2765" spans="1:7" x14ac:dyDescent="0.3">
      <c r="A2765" t="s">
        <v>19</v>
      </c>
      <c r="B2765" t="s">
        <v>7</v>
      </c>
      <c r="C2765" t="s">
        <v>42</v>
      </c>
      <c r="D2765">
        <v>7980</v>
      </c>
      <c r="E2765">
        <v>157</v>
      </c>
      <c r="F2765" s="1">
        <v>44742</v>
      </c>
      <c r="G2765" t="str">
        <f>IF(COUNTIFS(Table1_3[Country],Table1_3[[#This Row],[Country]],Table1_3[Product],Table1_3[[#This Row],[Product]],Table1_3[Sales Person],Table1_3[[#This Row],[Sales Person]],Table1_3[Amount],"&lt;=100")&gt;=2,"Contract","Deal")</f>
        <v>Deal</v>
      </c>
    </row>
    <row r="2766" spans="1:7" x14ac:dyDescent="0.3">
      <c r="A2766" t="s">
        <v>19</v>
      </c>
      <c r="B2766" t="s">
        <v>7</v>
      </c>
      <c r="C2766" t="s">
        <v>42</v>
      </c>
      <c r="D2766">
        <v>8839.7199999999993</v>
      </c>
      <c r="E2766">
        <v>170</v>
      </c>
      <c r="F2766" s="1">
        <v>45107</v>
      </c>
      <c r="G2766" t="str">
        <f>IF(COUNTIFS(Table1_3[Country],Table1_3[[#This Row],[Country]],Table1_3[Product],Table1_3[[#This Row],[Product]],Table1_3[Sales Person],Table1_3[[#This Row],[Sales Person]],Table1_3[Amount],"&lt;=100")&gt;=2,"Contract","Deal")</f>
        <v>Deal</v>
      </c>
    </row>
    <row r="2767" spans="1:7" x14ac:dyDescent="0.3">
      <c r="A2767" t="s">
        <v>19</v>
      </c>
      <c r="B2767" t="s">
        <v>7</v>
      </c>
      <c r="C2767" t="s">
        <v>42</v>
      </c>
      <c r="D2767">
        <v>8471.68</v>
      </c>
      <c r="E2767">
        <v>162</v>
      </c>
      <c r="F2767" s="1">
        <v>45473</v>
      </c>
      <c r="G2767" t="str">
        <f>IF(COUNTIFS(Table1_3[Country],Table1_3[[#This Row],[Country]],Table1_3[Product],Table1_3[[#This Row],[Product]],Table1_3[Sales Person],Table1_3[[#This Row],[Sales Person]],Table1_3[Amount],"&lt;=100")&gt;=2,"Contract","Deal")</f>
        <v>Deal</v>
      </c>
    </row>
    <row r="2768" spans="1:7" x14ac:dyDescent="0.3">
      <c r="A2768" t="s">
        <v>19</v>
      </c>
      <c r="B2768" t="s">
        <v>7</v>
      </c>
      <c r="C2768" t="s">
        <v>73</v>
      </c>
      <c r="D2768">
        <v>4599</v>
      </c>
      <c r="E2768">
        <v>323</v>
      </c>
      <c r="F2768" s="1">
        <v>44659</v>
      </c>
      <c r="G2768" t="str">
        <f>IF(COUNTIFS(Table1_3[Country],Table1_3[[#This Row],[Country]],Table1_3[Product],Table1_3[[#This Row],[Product]],Table1_3[Sales Person],Table1_3[[#This Row],[Sales Person]],Table1_3[Amount],"&lt;=100")&gt;=2,"Contract","Deal")</f>
        <v>Deal</v>
      </c>
    </row>
    <row r="2769" spans="1:7" x14ac:dyDescent="0.3">
      <c r="A2769" t="s">
        <v>19</v>
      </c>
      <c r="B2769" t="s">
        <v>7</v>
      </c>
      <c r="C2769" t="s">
        <v>73</v>
      </c>
      <c r="D2769">
        <v>4611.37</v>
      </c>
      <c r="E2769">
        <v>322</v>
      </c>
      <c r="F2769" s="1">
        <v>45024</v>
      </c>
      <c r="G2769" t="str">
        <f>IF(COUNTIFS(Table1_3[Country],Table1_3[[#This Row],[Country]],Table1_3[Product],Table1_3[[#This Row],[Product]],Table1_3[Sales Person],Table1_3[[#This Row],[Sales Person]],Table1_3[Amount],"&lt;=100")&gt;=2,"Contract","Deal")</f>
        <v>Deal</v>
      </c>
    </row>
    <row r="2770" spans="1:7" x14ac:dyDescent="0.3">
      <c r="A2770" t="s">
        <v>19</v>
      </c>
      <c r="B2770" t="s">
        <v>7</v>
      </c>
      <c r="C2770" t="s">
        <v>73</v>
      </c>
      <c r="D2770">
        <v>5477.33</v>
      </c>
      <c r="E2770">
        <v>341</v>
      </c>
      <c r="F2770" s="1">
        <v>45390</v>
      </c>
      <c r="G2770" t="str">
        <f>IF(COUNTIFS(Table1_3[Country],Table1_3[[#This Row],[Country]],Table1_3[Product],Table1_3[[#This Row],[Product]],Table1_3[Sales Person],Table1_3[[#This Row],[Sales Person]],Table1_3[Amount],"&lt;=100")&gt;=2,"Contract","Deal")</f>
        <v>Deal</v>
      </c>
    </row>
    <row r="2771" spans="1:7" x14ac:dyDescent="0.3">
      <c r="A2771" t="s">
        <v>19</v>
      </c>
      <c r="B2771" t="s">
        <v>7</v>
      </c>
      <c r="C2771" t="s">
        <v>18</v>
      </c>
      <c r="D2771">
        <v>9625</v>
      </c>
      <c r="E2771">
        <v>313</v>
      </c>
      <c r="F2771" s="1">
        <v>44712</v>
      </c>
      <c r="G2771" t="str">
        <f>IF(COUNTIFS(Table1_3[Country],Table1_3[[#This Row],[Country]],Table1_3[Product],Table1_3[[#This Row],[Product]],Table1_3[Sales Person],Table1_3[[#This Row],[Sales Person]],Table1_3[Amount],"&lt;=100")&gt;=2,"Contract","Deal")</f>
        <v>Deal</v>
      </c>
    </row>
    <row r="2772" spans="1:7" x14ac:dyDescent="0.3">
      <c r="A2772" t="s">
        <v>19</v>
      </c>
      <c r="B2772" t="s">
        <v>7</v>
      </c>
      <c r="C2772" t="s">
        <v>18</v>
      </c>
      <c r="D2772">
        <v>10573.5</v>
      </c>
      <c r="E2772">
        <v>338</v>
      </c>
      <c r="F2772" s="1">
        <v>45077</v>
      </c>
      <c r="G2772" t="str">
        <f>IF(COUNTIFS(Table1_3[Country],Table1_3[[#This Row],[Country]],Table1_3[Product],Table1_3[[#This Row],[Product]],Table1_3[Sales Person],Table1_3[[#This Row],[Sales Person]],Table1_3[Amount],"&lt;=100")&gt;=2,"Contract","Deal")</f>
        <v>Deal</v>
      </c>
    </row>
    <row r="2773" spans="1:7" x14ac:dyDescent="0.3">
      <c r="A2773" t="s">
        <v>19</v>
      </c>
      <c r="B2773" t="s">
        <v>7</v>
      </c>
      <c r="C2773" t="s">
        <v>18</v>
      </c>
      <c r="D2773">
        <v>11264.45</v>
      </c>
      <c r="E2773">
        <v>340</v>
      </c>
      <c r="F2773" s="1">
        <v>45443</v>
      </c>
      <c r="G2773" t="str">
        <f>IF(COUNTIFS(Table1_3[Country],Table1_3[[#This Row],[Country]],Table1_3[Product],Table1_3[[#This Row],[Product]],Table1_3[Sales Person],Table1_3[[#This Row],[Sales Person]],Table1_3[Amount],"&lt;=100")&gt;=2,"Contract","Deal")</f>
        <v>Deal</v>
      </c>
    </row>
    <row r="2774" spans="1:7" x14ac:dyDescent="0.3">
      <c r="A2774" t="s">
        <v>19</v>
      </c>
      <c r="B2774" t="s">
        <v>7</v>
      </c>
      <c r="C2774" t="s">
        <v>59</v>
      </c>
      <c r="D2774">
        <v>1715</v>
      </c>
      <c r="E2774">
        <v>286</v>
      </c>
      <c r="F2774" s="1">
        <v>44739</v>
      </c>
      <c r="G2774" t="str">
        <f>IF(COUNTIFS(Table1_3[Country],Table1_3[[#This Row],[Country]],Table1_3[Product],Table1_3[[#This Row],[Product]],Table1_3[Sales Person],Table1_3[[#This Row],[Sales Person]],Table1_3[Amount],"&lt;=100")&gt;=2,"Contract","Deal")</f>
        <v>Deal</v>
      </c>
    </row>
    <row r="2775" spans="1:7" x14ac:dyDescent="0.3">
      <c r="A2775" t="s">
        <v>19</v>
      </c>
      <c r="B2775" t="s">
        <v>7</v>
      </c>
      <c r="C2775" t="s">
        <v>59</v>
      </c>
      <c r="D2775">
        <v>1746.01</v>
      </c>
      <c r="E2775">
        <v>280</v>
      </c>
      <c r="F2775" s="1">
        <v>45104</v>
      </c>
      <c r="G2775" t="str">
        <f>IF(COUNTIFS(Table1_3[Country],Table1_3[[#This Row],[Country]],Table1_3[Product],Table1_3[[#This Row],[Product]],Table1_3[Sales Person],Table1_3[[#This Row],[Sales Person]],Table1_3[Amount],"&lt;=100")&gt;=2,"Contract","Deal")</f>
        <v>Deal</v>
      </c>
    </row>
    <row r="2776" spans="1:7" x14ac:dyDescent="0.3">
      <c r="A2776" t="s">
        <v>19</v>
      </c>
      <c r="B2776" t="s">
        <v>7</v>
      </c>
      <c r="C2776" t="s">
        <v>59</v>
      </c>
      <c r="D2776">
        <v>1998.41</v>
      </c>
      <c r="E2776">
        <v>303</v>
      </c>
      <c r="F2776" s="1">
        <v>45470</v>
      </c>
      <c r="G2776" t="str">
        <f>IF(COUNTIFS(Table1_3[Country],Table1_3[[#This Row],[Country]],Table1_3[Product],Table1_3[[#This Row],[Product]],Table1_3[Sales Person],Table1_3[[#This Row],[Sales Person]],Table1_3[Amount],"&lt;=100")&gt;=2,"Contract","Deal")</f>
        <v>Deal</v>
      </c>
    </row>
    <row r="2777" spans="1:7" x14ac:dyDescent="0.3">
      <c r="A2777" t="s">
        <v>19</v>
      </c>
      <c r="B2777" t="s">
        <v>32</v>
      </c>
      <c r="C2777" t="s">
        <v>65</v>
      </c>
      <c r="D2777">
        <v>6440</v>
      </c>
      <c r="E2777">
        <v>141</v>
      </c>
      <c r="F2777" s="1">
        <v>44700</v>
      </c>
      <c r="G2777" t="str">
        <f>IF(COUNTIFS(Table1_3[Country],Table1_3[[#This Row],[Country]],Table1_3[Product],Table1_3[[#This Row],[Product]],Table1_3[Sales Person],Table1_3[[#This Row],[Sales Person]],Table1_3[Amount],"&lt;=100")&gt;=2,"Contract","Deal")</f>
        <v>Deal</v>
      </c>
    </row>
    <row r="2778" spans="1:7" x14ac:dyDescent="0.3">
      <c r="A2778" t="s">
        <v>19</v>
      </c>
      <c r="B2778" t="s">
        <v>32</v>
      </c>
      <c r="C2778" t="s">
        <v>65</v>
      </c>
      <c r="D2778">
        <v>7107.55</v>
      </c>
      <c r="E2778">
        <v>142</v>
      </c>
      <c r="F2778" s="1">
        <v>45065</v>
      </c>
      <c r="G2778" t="str">
        <f>IF(COUNTIFS(Table1_3[Country],Table1_3[[#This Row],[Country]],Table1_3[Product],Table1_3[[#This Row],[Product]],Table1_3[Sales Person],Table1_3[[#This Row],[Sales Person]],Table1_3[Amount],"&lt;=100")&gt;=2,"Contract","Deal")</f>
        <v>Deal</v>
      </c>
    </row>
    <row r="2779" spans="1:7" x14ac:dyDescent="0.3">
      <c r="A2779" t="s">
        <v>19</v>
      </c>
      <c r="B2779" t="s">
        <v>32</v>
      </c>
      <c r="C2779" t="s">
        <v>65</v>
      </c>
      <c r="D2779">
        <v>7640.61</v>
      </c>
      <c r="E2779">
        <v>154</v>
      </c>
      <c r="F2779" s="1">
        <v>45431</v>
      </c>
      <c r="G2779" t="str">
        <f>IF(COUNTIFS(Table1_3[Country],Table1_3[[#This Row],[Country]],Table1_3[Product],Table1_3[[#This Row],[Product]],Table1_3[Sales Person],Table1_3[[#This Row],[Sales Person]],Table1_3[Amount],"&lt;=100")&gt;=2,"Contract","Deal")</f>
        <v>Deal</v>
      </c>
    </row>
    <row r="2780" spans="1:7" x14ac:dyDescent="0.3">
      <c r="A2780" t="s">
        <v>19</v>
      </c>
      <c r="B2780" t="s">
        <v>32</v>
      </c>
      <c r="C2780" t="s">
        <v>87</v>
      </c>
      <c r="D2780">
        <v>8001</v>
      </c>
      <c r="E2780">
        <v>120</v>
      </c>
      <c r="F2780" s="1">
        <v>44785</v>
      </c>
      <c r="G2780" t="str">
        <f>IF(COUNTIFS(Table1_3[Country],Table1_3[[#This Row],[Country]],Table1_3[Product],Table1_3[[#This Row],[Product]],Table1_3[Sales Person],Table1_3[[#This Row],[Sales Person]],Table1_3[Amount],"&lt;=100")&gt;=2,"Contract","Deal")</f>
        <v>Deal</v>
      </c>
    </row>
    <row r="2781" spans="1:7" x14ac:dyDescent="0.3">
      <c r="A2781" t="s">
        <v>19</v>
      </c>
      <c r="B2781" t="s">
        <v>32</v>
      </c>
      <c r="C2781" t="s">
        <v>87</v>
      </c>
      <c r="D2781">
        <v>9154.17</v>
      </c>
      <c r="E2781">
        <v>123</v>
      </c>
      <c r="F2781" s="1">
        <v>45150</v>
      </c>
      <c r="G2781" t="str">
        <f>IF(COUNTIFS(Table1_3[Country],Table1_3[[#This Row],[Country]],Table1_3[Product],Table1_3[[#This Row],[Product]],Table1_3[Sales Person],Table1_3[[#This Row],[Sales Person]],Table1_3[Amount],"&lt;=100")&gt;=2,"Contract","Deal")</f>
        <v>Deal</v>
      </c>
    </row>
    <row r="2782" spans="1:7" x14ac:dyDescent="0.3">
      <c r="A2782" t="s">
        <v>19</v>
      </c>
      <c r="B2782" t="s">
        <v>32</v>
      </c>
      <c r="C2782" t="s">
        <v>87</v>
      </c>
      <c r="D2782">
        <v>8485.1</v>
      </c>
      <c r="E2782">
        <v>120</v>
      </c>
      <c r="F2782" s="1">
        <v>45516</v>
      </c>
      <c r="G2782" t="str">
        <f>IF(COUNTIFS(Table1_3[Country],Table1_3[[#This Row],[Country]],Table1_3[Product],Table1_3[[#This Row],[Product]],Table1_3[Sales Person],Table1_3[[#This Row],[Sales Person]],Table1_3[Amount],"&lt;=100")&gt;=2,"Contract","Deal")</f>
        <v>Deal</v>
      </c>
    </row>
    <row r="2783" spans="1:7" x14ac:dyDescent="0.3">
      <c r="A2783" t="s">
        <v>19</v>
      </c>
      <c r="B2783" t="s">
        <v>32</v>
      </c>
      <c r="C2783" t="s">
        <v>38</v>
      </c>
      <c r="D2783">
        <v>7714</v>
      </c>
      <c r="E2783">
        <v>44</v>
      </c>
      <c r="F2783" s="1">
        <v>44631</v>
      </c>
      <c r="G2783" t="str">
        <f>IF(COUNTIFS(Table1_3[Country],Table1_3[[#This Row],[Country]],Table1_3[Product],Table1_3[[#This Row],[Product]],Table1_3[Sales Person],Table1_3[[#This Row],[Sales Person]],Table1_3[Amount],"&lt;=100")&gt;=2,"Contract","Deal")</f>
        <v>Deal</v>
      </c>
    </row>
    <row r="2784" spans="1:7" x14ac:dyDescent="0.3">
      <c r="A2784" t="s">
        <v>19</v>
      </c>
      <c r="B2784" t="s">
        <v>32</v>
      </c>
      <c r="C2784" t="s">
        <v>38</v>
      </c>
      <c r="D2784">
        <v>8280.6200000000008</v>
      </c>
      <c r="E2784">
        <v>47</v>
      </c>
      <c r="F2784" s="1">
        <v>44996</v>
      </c>
      <c r="G2784" t="str">
        <f>IF(COUNTIFS(Table1_3[Country],Table1_3[[#This Row],[Country]],Table1_3[Product],Table1_3[[#This Row],[Product]],Table1_3[Sales Person],Table1_3[[#This Row],[Sales Person]],Table1_3[Amount],"&lt;=100")&gt;=2,"Contract","Deal")</f>
        <v>Deal</v>
      </c>
    </row>
    <row r="2785" spans="1:7" x14ac:dyDescent="0.3">
      <c r="A2785" t="s">
        <v>19</v>
      </c>
      <c r="B2785" t="s">
        <v>32</v>
      </c>
      <c r="C2785" t="s">
        <v>38</v>
      </c>
      <c r="D2785">
        <v>9306.64</v>
      </c>
      <c r="E2785">
        <v>48</v>
      </c>
      <c r="F2785" s="1">
        <v>45362</v>
      </c>
      <c r="G2785" t="str">
        <f>IF(COUNTIFS(Table1_3[Country],Table1_3[[#This Row],[Country]],Table1_3[Product],Table1_3[[#This Row],[Product]],Table1_3[Sales Person],Table1_3[[#This Row],[Sales Person]],Table1_3[Amount],"&lt;=100")&gt;=2,"Contract","Deal")</f>
        <v>Deal</v>
      </c>
    </row>
    <row r="2786" spans="1:7" x14ac:dyDescent="0.3">
      <c r="A2786" t="s">
        <v>19</v>
      </c>
      <c r="B2786" t="s">
        <v>32</v>
      </c>
      <c r="C2786" t="s">
        <v>60</v>
      </c>
      <c r="D2786">
        <v>4340</v>
      </c>
      <c r="E2786">
        <v>86</v>
      </c>
      <c r="F2786" s="1">
        <v>44767</v>
      </c>
      <c r="G2786" t="str">
        <f>IF(COUNTIFS(Table1_3[Country],Table1_3[[#This Row],[Country]],Table1_3[Product],Table1_3[[#This Row],[Product]],Table1_3[Sales Person],Table1_3[[#This Row],[Sales Person]],Table1_3[Amount],"&lt;=100")&gt;=2,"Contract","Deal")</f>
        <v>Deal</v>
      </c>
    </row>
    <row r="2787" spans="1:7" x14ac:dyDescent="0.3">
      <c r="A2787" t="s">
        <v>19</v>
      </c>
      <c r="B2787" t="s">
        <v>32</v>
      </c>
      <c r="C2787" t="s">
        <v>60</v>
      </c>
      <c r="D2787">
        <v>4742.3500000000004</v>
      </c>
      <c r="E2787">
        <v>83</v>
      </c>
      <c r="F2787" s="1">
        <v>45132</v>
      </c>
      <c r="G2787" t="str">
        <f>IF(COUNTIFS(Table1_3[Country],Table1_3[[#This Row],[Country]],Table1_3[Product],Table1_3[[#This Row],[Product]],Table1_3[Sales Person],Table1_3[[#This Row],[Sales Person]],Table1_3[Amount],"&lt;=100")&gt;=2,"Contract","Deal")</f>
        <v>Deal</v>
      </c>
    </row>
    <row r="2788" spans="1:7" x14ac:dyDescent="0.3">
      <c r="A2788" t="s">
        <v>19</v>
      </c>
      <c r="B2788" t="s">
        <v>32</v>
      </c>
      <c r="C2788" t="s">
        <v>60</v>
      </c>
      <c r="D2788">
        <v>5050.53</v>
      </c>
      <c r="E2788">
        <v>85</v>
      </c>
      <c r="F2788" s="1">
        <v>45498</v>
      </c>
      <c r="G2788" t="str">
        <f>IF(COUNTIFS(Table1_3[Country],Table1_3[[#This Row],[Country]],Table1_3[Product],Table1_3[[#This Row],[Product]],Table1_3[Sales Person],Table1_3[[#This Row],[Sales Person]],Table1_3[Amount],"&lt;=100")&gt;=2,"Contract","Deal")</f>
        <v>Deal</v>
      </c>
    </row>
    <row r="2789" spans="1:7" x14ac:dyDescent="0.3">
      <c r="A2789" t="s">
        <v>19</v>
      </c>
      <c r="B2789" t="s">
        <v>32</v>
      </c>
      <c r="C2789" t="s">
        <v>46</v>
      </c>
      <c r="D2789">
        <v>1736</v>
      </c>
      <c r="E2789">
        <v>79</v>
      </c>
      <c r="F2789" s="1">
        <v>44726</v>
      </c>
      <c r="G2789" t="str">
        <f>IF(COUNTIFS(Table1_3[Country],Table1_3[[#This Row],[Country]],Table1_3[Product],Table1_3[[#This Row],[Product]],Table1_3[Sales Person],Table1_3[[#This Row],[Sales Person]],Table1_3[Amount],"&lt;=100")&gt;=2,"Contract","Deal")</f>
        <v>Deal</v>
      </c>
    </row>
    <row r="2790" spans="1:7" x14ac:dyDescent="0.3">
      <c r="A2790" t="s">
        <v>19</v>
      </c>
      <c r="B2790" t="s">
        <v>32</v>
      </c>
      <c r="C2790" t="s">
        <v>46</v>
      </c>
      <c r="D2790">
        <v>1868.25</v>
      </c>
      <c r="E2790">
        <v>82</v>
      </c>
      <c r="F2790" s="1">
        <v>45091</v>
      </c>
      <c r="G2790" t="str">
        <f>IF(COUNTIFS(Table1_3[Country],Table1_3[[#This Row],[Country]],Table1_3[Product],Table1_3[[#This Row],[Product]],Table1_3[Sales Person],Table1_3[[#This Row],[Sales Person]],Table1_3[Amount],"&lt;=100")&gt;=2,"Contract","Deal")</f>
        <v>Deal</v>
      </c>
    </row>
    <row r="2791" spans="1:7" x14ac:dyDescent="0.3">
      <c r="A2791" t="s">
        <v>19</v>
      </c>
      <c r="B2791" t="s">
        <v>32</v>
      </c>
      <c r="C2791" t="s">
        <v>46</v>
      </c>
      <c r="D2791">
        <v>1815.29</v>
      </c>
      <c r="E2791">
        <v>79</v>
      </c>
      <c r="F2791" s="1">
        <v>45457</v>
      </c>
      <c r="G2791" t="str">
        <f>IF(COUNTIFS(Table1_3[Country],Table1_3[[#This Row],[Country]],Table1_3[Product],Table1_3[[#This Row],[Product]],Table1_3[Sales Person],Table1_3[[#This Row],[Sales Person]],Table1_3[Amount],"&lt;=100")&gt;=2,"Contract","Deal")</f>
        <v>Deal</v>
      </c>
    </row>
    <row r="2792" spans="1:7" x14ac:dyDescent="0.3">
      <c r="A2792" t="s">
        <v>19</v>
      </c>
      <c r="B2792" t="s">
        <v>32</v>
      </c>
      <c r="C2792" t="s">
        <v>18</v>
      </c>
      <c r="D2792">
        <v>3577</v>
      </c>
      <c r="E2792">
        <v>158</v>
      </c>
      <c r="F2792" s="1">
        <v>44624</v>
      </c>
      <c r="G2792" t="str">
        <f>IF(COUNTIFS(Table1_3[Country],Table1_3[[#This Row],[Country]],Table1_3[Product],Table1_3[[#This Row],[Product]],Table1_3[Sales Person],Table1_3[[#This Row],[Sales Person]],Table1_3[Amount],"&lt;=100")&gt;=2,"Contract","Deal")</f>
        <v>Deal</v>
      </c>
    </row>
    <row r="2793" spans="1:7" x14ac:dyDescent="0.3">
      <c r="A2793" t="s">
        <v>19</v>
      </c>
      <c r="B2793" t="s">
        <v>32</v>
      </c>
      <c r="C2793" t="s">
        <v>18</v>
      </c>
      <c r="D2793">
        <v>3632.32</v>
      </c>
      <c r="E2793">
        <v>169</v>
      </c>
      <c r="F2793" s="1">
        <v>44989</v>
      </c>
      <c r="G2793" t="str">
        <f>IF(COUNTIFS(Table1_3[Country],Table1_3[[#This Row],[Country]],Table1_3[Product],Table1_3[[#This Row],[Product]],Table1_3[Sales Person],Table1_3[[#This Row],[Sales Person]],Table1_3[Amount],"&lt;=100")&gt;=2,"Contract","Deal")</f>
        <v>Deal</v>
      </c>
    </row>
    <row r="2794" spans="1:7" x14ac:dyDescent="0.3">
      <c r="A2794" t="s">
        <v>19</v>
      </c>
      <c r="B2794" t="s">
        <v>32</v>
      </c>
      <c r="C2794" t="s">
        <v>18</v>
      </c>
      <c r="D2794">
        <v>4011.83</v>
      </c>
      <c r="E2794">
        <v>169</v>
      </c>
      <c r="F2794" s="1">
        <v>45355</v>
      </c>
      <c r="G2794" t="str">
        <f>IF(COUNTIFS(Table1_3[Country],Table1_3[[#This Row],[Country]],Table1_3[Product],Table1_3[[#This Row],[Product]],Table1_3[Sales Person],Table1_3[[#This Row],[Sales Person]],Table1_3[Amount],"&lt;=100")&gt;=2,"Contract","Deal")</f>
        <v>Deal</v>
      </c>
    </row>
    <row r="2795" spans="1:7" x14ac:dyDescent="0.3">
      <c r="A2795" t="s">
        <v>19</v>
      </c>
      <c r="B2795" t="s">
        <v>32</v>
      </c>
      <c r="C2795" t="s">
        <v>50</v>
      </c>
      <c r="D2795">
        <v>5691</v>
      </c>
      <c r="E2795">
        <v>417</v>
      </c>
      <c r="F2795" s="1">
        <v>44599</v>
      </c>
      <c r="G2795" t="str">
        <f>IF(COUNTIFS(Table1_3[Country],Table1_3[[#This Row],[Country]],Table1_3[Product],Table1_3[[#This Row],[Product]],Table1_3[Sales Person],Table1_3[[#This Row],[Sales Person]],Table1_3[Amount],"&lt;=100")&gt;=2,"Contract","Deal")</f>
        <v>Deal</v>
      </c>
    </row>
    <row r="2796" spans="1:7" x14ac:dyDescent="0.3">
      <c r="A2796" t="s">
        <v>19</v>
      </c>
      <c r="B2796" t="s">
        <v>32</v>
      </c>
      <c r="C2796" t="s">
        <v>50</v>
      </c>
      <c r="D2796">
        <v>6315.14</v>
      </c>
      <c r="E2796">
        <v>398</v>
      </c>
      <c r="F2796" s="1">
        <v>44964</v>
      </c>
      <c r="G2796" t="str">
        <f>IF(COUNTIFS(Table1_3[Country],Table1_3[[#This Row],[Country]],Table1_3[Product],Table1_3[[#This Row],[Product]],Table1_3[Sales Person],Table1_3[[#This Row],[Sales Person]],Table1_3[Amount],"&lt;=100")&gt;=2,"Contract","Deal")</f>
        <v>Deal</v>
      </c>
    </row>
    <row r="2797" spans="1:7" x14ac:dyDescent="0.3">
      <c r="A2797" t="s">
        <v>19</v>
      </c>
      <c r="B2797" t="s">
        <v>32</v>
      </c>
      <c r="C2797" t="s">
        <v>50</v>
      </c>
      <c r="D2797">
        <v>6660.69</v>
      </c>
      <c r="E2797">
        <v>418</v>
      </c>
      <c r="F2797" s="1">
        <v>45329</v>
      </c>
      <c r="G2797" t="str">
        <f>IF(COUNTIFS(Table1_3[Country],Table1_3[[#This Row],[Country]],Table1_3[Product],Table1_3[[#This Row],[Product]],Table1_3[Sales Person],Table1_3[[#This Row],[Sales Person]],Table1_3[Amount],"&lt;=100")&gt;=2,"Contract","Deal")</f>
        <v>Deal</v>
      </c>
    </row>
    <row r="2798" spans="1:7" x14ac:dyDescent="0.3">
      <c r="A2798" t="s">
        <v>29</v>
      </c>
      <c r="B2798" t="s">
        <v>15</v>
      </c>
      <c r="C2798" t="s">
        <v>26</v>
      </c>
      <c r="D2798">
        <v>3010</v>
      </c>
      <c r="E2798">
        <v>40</v>
      </c>
      <c r="F2798" s="1">
        <v>44642</v>
      </c>
      <c r="G2798" t="str">
        <f>IF(COUNTIFS(Table1_3[Country],Table1_3[[#This Row],[Country]],Table1_3[Product],Table1_3[[#This Row],[Product]],Table1_3[Sales Person],Table1_3[[#This Row],[Sales Person]],Table1_3[Amount],"&lt;=100")&gt;=2,"Contract","Deal")</f>
        <v>Deal</v>
      </c>
    </row>
    <row r="2799" spans="1:7" x14ac:dyDescent="0.3">
      <c r="A2799" t="s">
        <v>29</v>
      </c>
      <c r="B2799" t="s">
        <v>15</v>
      </c>
      <c r="C2799" t="s">
        <v>26</v>
      </c>
      <c r="D2799">
        <v>3067.9</v>
      </c>
      <c r="E2799">
        <v>42</v>
      </c>
      <c r="F2799" s="1">
        <v>45007</v>
      </c>
      <c r="G2799" t="str">
        <f>IF(COUNTIFS(Table1_3[Country],Table1_3[[#This Row],[Country]],Table1_3[Product],Table1_3[[#This Row],[Product]],Table1_3[Sales Person],Table1_3[[#This Row],[Sales Person]],Table1_3[Amount],"&lt;=100")&gt;=2,"Contract","Deal")</f>
        <v>Deal</v>
      </c>
    </row>
    <row r="2800" spans="1:7" x14ac:dyDescent="0.3">
      <c r="A2800" t="s">
        <v>29</v>
      </c>
      <c r="B2800" t="s">
        <v>15</v>
      </c>
      <c r="C2800" t="s">
        <v>26</v>
      </c>
      <c r="D2800">
        <v>3375.83</v>
      </c>
      <c r="E2800">
        <v>41</v>
      </c>
      <c r="F2800" s="1">
        <v>45373</v>
      </c>
      <c r="G2800" t="str">
        <f>IF(COUNTIFS(Table1_3[Country],Table1_3[[#This Row],[Country]],Table1_3[Product],Table1_3[[#This Row],[Product]],Table1_3[Sales Person],Table1_3[[#This Row],[Sales Person]],Table1_3[Amount],"&lt;=100")&gt;=2,"Contract","Deal")</f>
        <v>Deal</v>
      </c>
    </row>
    <row r="2801" spans="1:7" x14ac:dyDescent="0.3">
      <c r="A2801" t="s">
        <v>29</v>
      </c>
      <c r="B2801" t="s">
        <v>15</v>
      </c>
      <c r="C2801" t="s">
        <v>87</v>
      </c>
      <c r="D2801">
        <v>2786</v>
      </c>
      <c r="E2801">
        <v>51</v>
      </c>
      <c r="F2801" s="1">
        <v>44795</v>
      </c>
      <c r="G2801" t="str">
        <f>IF(COUNTIFS(Table1_3[Country],Table1_3[[#This Row],[Country]],Table1_3[Product],Table1_3[[#This Row],[Product]],Table1_3[Sales Person],Table1_3[[#This Row],[Sales Person]],Table1_3[Amount],"&lt;=100")&gt;=2,"Contract","Deal")</f>
        <v>Deal</v>
      </c>
    </row>
    <row r="2802" spans="1:7" x14ac:dyDescent="0.3">
      <c r="A2802" t="s">
        <v>29</v>
      </c>
      <c r="B2802" t="s">
        <v>15</v>
      </c>
      <c r="C2802" t="s">
        <v>87</v>
      </c>
      <c r="D2802">
        <v>2820.41</v>
      </c>
      <c r="E2802">
        <v>50</v>
      </c>
      <c r="F2802" s="1">
        <v>45160</v>
      </c>
      <c r="G2802" t="str">
        <f>IF(COUNTIFS(Table1_3[Country],Table1_3[[#This Row],[Country]],Table1_3[Product],Table1_3[[#This Row],[Product]],Table1_3[Sales Person],Table1_3[[#This Row],[Sales Person]],Table1_3[Amount],"&lt;=100")&gt;=2,"Contract","Deal")</f>
        <v>Deal</v>
      </c>
    </row>
    <row r="2803" spans="1:7" x14ac:dyDescent="0.3">
      <c r="A2803" t="s">
        <v>29</v>
      </c>
      <c r="B2803" t="s">
        <v>15</v>
      </c>
      <c r="C2803" t="s">
        <v>87</v>
      </c>
      <c r="D2803">
        <v>3170.18</v>
      </c>
      <c r="E2803">
        <v>49</v>
      </c>
      <c r="F2803" s="1">
        <v>45526</v>
      </c>
      <c r="G2803" t="str">
        <f>IF(COUNTIFS(Table1_3[Country],Table1_3[[#This Row],[Country]],Table1_3[Product],Table1_3[[#This Row],[Product]],Table1_3[Sales Person],Table1_3[[#This Row],[Sales Person]],Table1_3[Amount],"&lt;=100")&gt;=2,"Contract","Deal")</f>
        <v>Deal</v>
      </c>
    </row>
    <row r="2804" spans="1:7" x14ac:dyDescent="0.3">
      <c r="A2804" t="s">
        <v>29</v>
      </c>
      <c r="B2804" t="s">
        <v>15</v>
      </c>
      <c r="C2804" t="s">
        <v>38</v>
      </c>
      <c r="D2804">
        <v>11550</v>
      </c>
      <c r="E2804">
        <v>396</v>
      </c>
      <c r="F2804" s="1">
        <v>44613</v>
      </c>
      <c r="G2804" t="str">
        <f>IF(COUNTIFS(Table1_3[Country],Table1_3[[#This Row],[Country]],Table1_3[Product],Table1_3[[#This Row],[Product]],Table1_3[Sales Person],Table1_3[[#This Row],[Sales Person]],Table1_3[Amount],"&lt;=100")&gt;=2,"Contract","Deal")</f>
        <v>Deal</v>
      </c>
    </row>
    <row r="2805" spans="1:7" x14ac:dyDescent="0.3">
      <c r="A2805" t="s">
        <v>29</v>
      </c>
      <c r="B2805" t="s">
        <v>15</v>
      </c>
      <c r="C2805" t="s">
        <v>38</v>
      </c>
      <c r="D2805">
        <v>11630.38</v>
      </c>
      <c r="E2805">
        <v>431</v>
      </c>
      <c r="F2805" s="1">
        <v>44978</v>
      </c>
      <c r="G2805" t="str">
        <f>IF(COUNTIFS(Table1_3[Country],Table1_3[[#This Row],[Country]],Table1_3[Product],Table1_3[[#This Row],[Product]],Table1_3[Sales Person],Table1_3[[#This Row],[Sales Person]],Table1_3[Amount],"&lt;=100")&gt;=2,"Contract","Deal")</f>
        <v>Deal</v>
      </c>
    </row>
    <row r="2806" spans="1:7" x14ac:dyDescent="0.3">
      <c r="A2806" t="s">
        <v>29</v>
      </c>
      <c r="B2806" t="s">
        <v>15</v>
      </c>
      <c r="C2806" t="s">
        <v>38</v>
      </c>
      <c r="D2806">
        <v>13699.76</v>
      </c>
      <c r="E2806">
        <v>389</v>
      </c>
      <c r="F2806" s="1">
        <v>45343</v>
      </c>
      <c r="G2806" t="str">
        <f>IF(COUNTIFS(Table1_3[Country],Table1_3[[#This Row],[Country]],Table1_3[Product],Table1_3[[#This Row],[Product]],Table1_3[Sales Person],Table1_3[[#This Row],[Sales Person]],Table1_3[Amount],"&lt;=100")&gt;=2,"Contract","Deal")</f>
        <v>Deal</v>
      </c>
    </row>
    <row r="2807" spans="1:7" x14ac:dyDescent="0.3">
      <c r="A2807" t="s">
        <v>29</v>
      </c>
      <c r="B2807" t="s">
        <v>15</v>
      </c>
      <c r="C2807" t="s">
        <v>60</v>
      </c>
      <c r="D2807">
        <v>4396</v>
      </c>
      <c r="E2807">
        <v>131</v>
      </c>
      <c r="F2807" s="1">
        <v>44776</v>
      </c>
      <c r="G2807" t="str">
        <f>IF(COUNTIFS(Table1_3[Country],Table1_3[[#This Row],[Country]],Table1_3[Product],Table1_3[[#This Row],[Product]],Table1_3[Sales Person],Table1_3[[#This Row],[Sales Person]],Table1_3[Amount],"&lt;=100")&gt;=2,"Contract","Deal")</f>
        <v>Deal</v>
      </c>
    </row>
    <row r="2808" spans="1:7" x14ac:dyDescent="0.3">
      <c r="A2808" t="s">
        <v>29</v>
      </c>
      <c r="B2808" t="s">
        <v>15</v>
      </c>
      <c r="C2808" t="s">
        <v>60</v>
      </c>
      <c r="D2808">
        <v>4806.6499999999996</v>
      </c>
      <c r="E2808">
        <v>132</v>
      </c>
      <c r="F2808" s="1">
        <v>45141</v>
      </c>
      <c r="G2808" t="str">
        <f>IF(COUNTIFS(Table1_3[Country],Table1_3[[#This Row],[Country]],Table1_3[Product],Table1_3[[#This Row],[Product]],Table1_3[Sales Person],Table1_3[[#This Row],[Sales Person]],Table1_3[Amount],"&lt;=100")&gt;=2,"Contract","Deal")</f>
        <v>Deal</v>
      </c>
    </row>
    <row r="2809" spans="1:7" x14ac:dyDescent="0.3">
      <c r="A2809" t="s">
        <v>29</v>
      </c>
      <c r="B2809" t="s">
        <v>15</v>
      </c>
      <c r="C2809" t="s">
        <v>60</v>
      </c>
      <c r="D2809">
        <v>5245.6</v>
      </c>
      <c r="E2809">
        <v>144</v>
      </c>
      <c r="F2809" s="1">
        <v>45507</v>
      </c>
      <c r="G2809" t="str">
        <f>IF(COUNTIFS(Table1_3[Country],Table1_3[[#This Row],[Country]],Table1_3[Product],Table1_3[[#This Row],[Product]],Table1_3[Sales Person],Table1_3[[#This Row],[Sales Person]],Table1_3[Amount],"&lt;=100")&gt;=2,"Contract","Deal")</f>
        <v>Deal</v>
      </c>
    </row>
    <row r="2810" spans="1:7" x14ac:dyDescent="0.3">
      <c r="A2810" t="s">
        <v>29</v>
      </c>
      <c r="B2810" t="s">
        <v>15</v>
      </c>
      <c r="C2810" t="s">
        <v>42</v>
      </c>
      <c r="D2810">
        <v>994</v>
      </c>
      <c r="E2810">
        <v>105</v>
      </c>
      <c r="F2810" s="1">
        <v>44587</v>
      </c>
      <c r="G2810" t="str">
        <f>IF(COUNTIFS(Table1_3[Country],Table1_3[[#This Row],[Country]],Table1_3[Product],Table1_3[[#This Row],[Product]],Table1_3[Sales Person],Table1_3[[#This Row],[Sales Person]],Table1_3[Amount],"&lt;=100")&gt;=2,"Contract","Deal")</f>
        <v>Deal</v>
      </c>
    </row>
    <row r="2811" spans="1:7" x14ac:dyDescent="0.3">
      <c r="A2811" t="s">
        <v>29</v>
      </c>
      <c r="B2811" t="s">
        <v>15</v>
      </c>
      <c r="C2811" t="s">
        <v>42</v>
      </c>
      <c r="D2811">
        <v>1123.58</v>
      </c>
      <c r="E2811">
        <v>114</v>
      </c>
      <c r="F2811" s="1">
        <v>44952</v>
      </c>
      <c r="G2811" t="str">
        <f>IF(COUNTIFS(Table1_3[Country],Table1_3[[#This Row],[Country]],Table1_3[Product],Table1_3[[#This Row],[Product]],Table1_3[Sales Person],Table1_3[[#This Row],[Sales Person]],Table1_3[Amount],"&lt;=100")&gt;=2,"Contract","Deal")</f>
        <v>Deal</v>
      </c>
    </row>
    <row r="2812" spans="1:7" x14ac:dyDescent="0.3">
      <c r="A2812" t="s">
        <v>29</v>
      </c>
      <c r="B2812" t="s">
        <v>15</v>
      </c>
      <c r="C2812" t="s">
        <v>42</v>
      </c>
      <c r="D2812">
        <v>1082.69</v>
      </c>
      <c r="E2812">
        <v>106</v>
      </c>
      <c r="F2812" s="1">
        <v>45317</v>
      </c>
      <c r="G2812" t="str">
        <f>IF(COUNTIFS(Table1_3[Country],Table1_3[[#This Row],[Country]],Table1_3[Product],Table1_3[[#This Row],[Product]],Table1_3[Sales Person],Table1_3[[#This Row],[Sales Person]],Table1_3[Amount],"&lt;=100")&gt;=2,"Contract","Deal")</f>
        <v>Deal</v>
      </c>
    </row>
    <row r="2813" spans="1:7" x14ac:dyDescent="0.3">
      <c r="A2813" t="s">
        <v>29</v>
      </c>
      <c r="B2813" t="s">
        <v>15</v>
      </c>
      <c r="C2813" t="s">
        <v>73</v>
      </c>
      <c r="D2813">
        <v>6916</v>
      </c>
      <c r="E2813">
        <v>259</v>
      </c>
      <c r="F2813" s="1">
        <v>44580</v>
      </c>
      <c r="G2813" t="str">
        <f>IF(COUNTIFS(Table1_3[Country],Table1_3[[#This Row],[Country]],Table1_3[Product],Table1_3[[#This Row],[Product]],Table1_3[Sales Person],Table1_3[[#This Row],[Sales Person]],Table1_3[Amount],"&lt;=100")&gt;=2,"Contract","Deal")</f>
        <v>Deal</v>
      </c>
    </row>
    <row r="2814" spans="1:7" x14ac:dyDescent="0.3">
      <c r="A2814" t="s">
        <v>29</v>
      </c>
      <c r="B2814" t="s">
        <v>15</v>
      </c>
      <c r="C2814" t="s">
        <v>73</v>
      </c>
      <c r="D2814">
        <v>7773.64</v>
      </c>
      <c r="E2814">
        <v>247</v>
      </c>
      <c r="F2814" s="1">
        <v>44945</v>
      </c>
      <c r="G2814" t="str">
        <f>IF(COUNTIFS(Table1_3[Country],Table1_3[[#This Row],[Country]],Table1_3[Product],Table1_3[[#This Row],[Product]],Table1_3[Sales Person],Table1_3[[#This Row],[Sales Person]],Table1_3[Amount],"&lt;=100")&gt;=2,"Contract","Deal")</f>
        <v>Deal</v>
      </c>
    </row>
    <row r="2815" spans="1:7" x14ac:dyDescent="0.3">
      <c r="A2815" t="s">
        <v>29</v>
      </c>
      <c r="B2815" t="s">
        <v>15</v>
      </c>
      <c r="C2815" t="s">
        <v>73</v>
      </c>
      <c r="D2815">
        <v>7884.86</v>
      </c>
      <c r="E2815">
        <v>266</v>
      </c>
      <c r="F2815" s="1">
        <v>45310</v>
      </c>
      <c r="G2815" t="str">
        <f>IF(COUNTIFS(Table1_3[Country],Table1_3[[#This Row],[Country]],Table1_3[Product],Table1_3[[#This Row],[Product]],Table1_3[Sales Person],Table1_3[[#This Row],[Sales Person]],Table1_3[Amount],"&lt;=100")&gt;=2,"Contract","Deal")</f>
        <v>Deal</v>
      </c>
    </row>
    <row r="2816" spans="1:7" x14ac:dyDescent="0.3">
      <c r="A2816" t="s">
        <v>29</v>
      </c>
      <c r="B2816" t="s">
        <v>15</v>
      </c>
      <c r="C2816" t="s">
        <v>18</v>
      </c>
      <c r="D2816">
        <v>3969</v>
      </c>
      <c r="E2816">
        <v>243</v>
      </c>
      <c r="F2816" s="1">
        <v>44711</v>
      </c>
      <c r="G2816" t="str">
        <f>IF(COUNTIFS(Table1_3[Country],Table1_3[[#This Row],[Country]],Table1_3[Product],Table1_3[[#This Row],[Product]],Table1_3[Sales Person],Table1_3[[#This Row],[Sales Person]],Table1_3[Amount],"&lt;=100")&gt;=2,"Contract","Deal")</f>
        <v>Deal</v>
      </c>
    </row>
    <row r="2817" spans="1:7" x14ac:dyDescent="0.3">
      <c r="A2817" t="s">
        <v>29</v>
      </c>
      <c r="B2817" t="s">
        <v>15</v>
      </c>
      <c r="C2817" t="s">
        <v>18</v>
      </c>
      <c r="D2817">
        <v>4207.22</v>
      </c>
      <c r="E2817">
        <v>255</v>
      </c>
      <c r="F2817" s="1">
        <v>45076</v>
      </c>
      <c r="G2817" t="str">
        <f>IF(COUNTIFS(Table1_3[Country],Table1_3[[#This Row],[Country]],Table1_3[Product],Table1_3[[#This Row],[Product]],Table1_3[Sales Person],Table1_3[[#This Row],[Sales Person]],Table1_3[Amount],"&lt;=100")&gt;=2,"Contract","Deal")</f>
        <v>Deal</v>
      </c>
    </row>
    <row r="2818" spans="1:7" x14ac:dyDescent="0.3">
      <c r="A2818" t="s">
        <v>29</v>
      </c>
      <c r="B2818" t="s">
        <v>15</v>
      </c>
      <c r="C2818" t="s">
        <v>18</v>
      </c>
      <c r="D2818">
        <v>4739.3900000000003</v>
      </c>
      <c r="E2818">
        <v>236</v>
      </c>
      <c r="F2818" s="1">
        <v>45442</v>
      </c>
      <c r="G2818" t="str">
        <f>IF(COUNTIFS(Table1_3[Country],Table1_3[[#This Row],[Country]],Table1_3[Product],Table1_3[[#This Row],[Product]],Table1_3[Sales Person],Table1_3[[#This Row],[Sales Person]],Table1_3[Amount],"&lt;=100")&gt;=2,"Contract","Deal")</f>
        <v>Deal</v>
      </c>
    </row>
    <row r="2819" spans="1:7" x14ac:dyDescent="0.3">
      <c r="A2819" t="s">
        <v>29</v>
      </c>
      <c r="B2819" t="s">
        <v>15</v>
      </c>
      <c r="C2819" t="s">
        <v>59</v>
      </c>
      <c r="D2819">
        <v>6818</v>
      </c>
      <c r="E2819">
        <v>102</v>
      </c>
      <c r="F2819" s="1">
        <v>44641</v>
      </c>
      <c r="G2819" t="str">
        <f>IF(COUNTIFS(Table1_3[Country],Table1_3[[#This Row],[Country]],Table1_3[Product],Table1_3[[#This Row],[Product]],Table1_3[Sales Person],Table1_3[[#This Row],[Sales Person]],Table1_3[Amount],"&lt;=100")&gt;=2,"Contract","Deal")</f>
        <v>Deal</v>
      </c>
    </row>
    <row r="2820" spans="1:7" x14ac:dyDescent="0.3">
      <c r="A2820" t="s">
        <v>29</v>
      </c>
      <c r="B2820" t="s">
        <v>15</v>
      </c>
      <c r="C2820" t="s">
        <v>59</v>
      </c>
      <c r="D2820">
        <v>7467.74</v>
      </c>
      <c r="E2820">
        <v>111</v>
      </c>
      <c r="F2820" s="1">
        <v>45006</v>
      </c>
      <c r="G2820" t="str">
        <f>IF(COUNTIFS(Table1_3[Country],Table1_3[[#This Row],[Country]],Table1_3[Product],Table1_3[[#This Row],[Product]],Table1_3[Sales Person],Table1_3[[#This Row],[Sales Person]],Table1_3[Amount],"&lt;=100")&gt;=2,"Contract","Deal")</f>
        <v>Deal</v>
      </c>
    </row>
    <row r="2821" spans="1:7" x14ac:dyDescent="0.3">
      <c r="A2821" t="s">
        <v>29</v>
      </c>
      <c r="B2821" t="s">
        <v>15</v>
      </c>
      <c r="C2821" t="s">
        <v>59</v>
      </c>
      <c r="D2821">
        <v>7326.91</v>
      </c>
      <c r="E2821">
        <v>102</v>
      </c>
      <c r="F2821" s="1">
        <v>45372</v>
      </c>
      <c r="G2821" t="str">
        <f>IF(COUNTIFS(Table1_3[Country],Table1_3[[#This Row],[Country]],Table1_3[Product],Table1_3[[#This Row],[Product]],Table1_3[Sales Person],Table1_3[[#This Row],[Sales Person]],Table1_3[Amount],"&lt;=100")&gt;=2,"Contract","Deal")</f>
        <v>Deal</v>
      </c>
    </row>
    <row r="2822" spans="1:7" x14ac:dyDescent="0.3">
      <c r="A2822" t="s">
        <v>29</v>
      </c>
      <c r="B2822" t="s">
        <v>35</v>
      </c>
      <c r="C2822" t="s">
        <v>20</v>
      </c>
      <c r="D2822">
        <v>5096</v>
      </c>
      <c r="E2822">
        <v>142</v>
      </c>
      <c r="F2822" s="1">
        <v>44622</v>
      </c>
      <c r="G2822" t="str">
        <f>IF(COUNTIFS(Table1_3[Country],Table1_3[[#This Row],[Country]],Table1_3[Product],Table1_3[[#This Row],[Product]],Table1_3[Sales Person],Table1_3[[#This Row],[Sales Person]],Table1_3[Amount],"&lt;=100")&gt;=2,"Contract","Deal")</f>
        <v>Deal</v>
      </c>
    </row>
    <row r="2823" spans="1:7" x14ac:dyDescent="0.3">
      <c r="A2823" t="s">
        <v>29</v>
      </c>
      <c r="B2823" t="s">
        <v>35</v>
      </c>
      <c r="C2823" t="s">
        <v>20</v>
      </c>
      <c r="D2823">
        <v>5566.57</v>
      </c>
      <c r="E2823">
        <v>140</v>
      </c>
      <c r="F2823" s="1">
        <v>44987</v>
      </c>
      <c r="G2823" t="str">
        <f>IF(COUNTIFS(Table1_3[Country],Table1_3[[#This Row],[Country]],Table1_3[Product],Table1_3[[#This Row],[Product]],Table1_3[Sales Person],Table1_3[[#This Row],[Sales Person]],Table1_3[Amount],"&lt;=100")&gt;=2,"Contract","Deal")</f>
        <v>Deal</v>
      </c>
    </row>
    <row r="2824" spans="1:7" x14ac:dyDescent="0.3">
      <c r="A2824" t="s">
        <v>29</v>
      </c>
      <c r="B2824" t="s">
        <v>35</v>
      </c>
      <c r="C2824" t="s">
        <v>20</v>
      </c>
      <c r="D2824">
        <v>5545.62</v>
      </c>
      <c r="E2824">
        <v>139</v>
      </c>
      <c r="F2824" s="1">
        <v>45353</v>
      </c>
      <c r="G2824" t="str">
        <f>IF(COUNTIFS(Table1_3[Country],Table1_3[[#This Row],[Country]],Table1_3[Product],Table1_3[[#This Row],[Product]],Table1_3[Sales Person],Table1_3[[#This Row],[Sales Person]],Table1_3[Amount],"&lt;=100")&gt;=2,"Contract","Deal")</f>
        <v>Deal</v>
      </c>
    </row>
    <row r="2825" spans="1:7" x14ac:dyDescent="0.3">
      <c r="A2825" t="s">
        <v>29</v>
      </c>
      <c r="B2825" t="s">
        <v>35</v>
      </c>
      <c r="C2825" t="s">
        <v>90</v>
      </c>
      <c r="D2825">
        <v>7119</v>
      </c>
      <c r="E2825">
        <v>101</v>
      </c>
      <c r="F2825" s="1">
        <v>44774</v>
      </c>
      <c r="G2825" t="str">
        <f>IF(COUNTIFS(Table1_3[Country],Table1_3[[#This Row],[Country]],Table1_3[Product],Table1_3[[#This Row],[Product]],Table1_3[Sales Person],Table1_3[[#This Row],[Sales Person]],Table1_3[Amount],"&lt;=100")&gt;=2,"Contract","Deal")</f>
        <v>Deal</v>
      </c>
    </row>
    <row r="2826" spans="1:7" x14ac:dyDescent="0.3">
      <c r="A2826" t="s">
        <v>29</v>
      </c>
      <c r="B2826" t="s">
        <v>35</v>
      </c>
      <c r="C2826" t="s">
        <v>90</v>
      </c>
      <c r="D2826">
        <v>8145.99</v>
      </c>
      <c r="E2826">
        <v>100</v>
      </c>
      <c r="F2826" s="1">
        <v>45139</v>
      </c>
      <c r="G2826" t="str">
        <f>IF(COUNTIFS(Table1_3[Country],Table1_3[[#This Row],[Country]],Table1_3[Product],Table1_3[[#This Row],[Product]],Table1_3[Sales Person],Table1_3[[#This Row],[Sales Person]],Table1_3[Amount],"&lt;=100")&gt;=2,"Contract","Deal")</f>
        <v>Deal</v>
      </c>
    </row>
    <row r="2827" spans="1:7" x14ac:dyDescent="0.3">
      <c r="A2827" t="s">
        <v>29</v>
      </c>
      <c r="B2827" t="s">
        <v>35</v>
      </c>
      <c r="C2827" t="s">
        <v>90</v>
      </c>
      <c r="D2827">
        <v>7951.43</v>
      </c>
      <c r="E2827">
        <v>109</v>
      </c>
      <c r="F2827" s="1">
        <v>45505</v>
      </c>
      <c r="G2827" t="str">
        <f>IF(COUNTIFS(Table1_3[Country],Table1_3[[#This Row],[Country]],Table1_3[Product],Table1_3[[#This Row],[Product]],Table1_3[Sales Person],Table1_3[[#This Row],[Sales Person]],Table1_3[Amount],"&lt;=100")&gt;=2,"Contract","Deal")</f>
        <v>Deal</v>
      </c>
    </row>
    <row r="2828" spans="1:7" x14ac:dyDescent="0.3">
      <c r="A2828" t="s">
        <v>29</v>
      </c>
      <c r="B2828" t="s">
        <v>35</v>
      </c>
      <c r="C2828" t="s">
        <v>38</v>
      </c>
      <c r="D2828">
        <v>9884</v>
      </c>
      <c r="E2828">
        <v>200</v>
      </c>
      <c r="F2828" s="1">
        <v>44754</v>
      </c>
      <c r="G2828" t="str">
        <f>IF(COUNTIFS(Table1_3[Country],Table1_3[[#This Row],[Country]],Table1_3[Product],Table1_3[[#This Row],[Product]],Table1_3[Sales Person],Table1_3[[#This Row],[Sales Person]],Table1_3[Amount],"&lt;=100")&gt;=2,"Contract","Deal")</f>
        <v>Deal</v>
      </c>
    </row>
    <row r="2829" spans="1:7" x14ac:dyDescent="0.3">
      <c r="A2829" t="s">
        <v>29</v>
      </c>
      <c r="B2829" t="s">
        <v>35</v>
      </c>
      <c r="C2829" t="s">
        <v>38</v>
      </c>
      <c r="D2829">
        <v>10415.77</v>
      </c>
      <c r="E2829">
        <v>200</v>
      </c>
      <c r="F2829" s="1">
        <v>45119</v>
      </c>
      <c r="G2829" t="str">
        <f>IF(COUNTIFS(Table1_3[Country],Table1_3[[#This Row],[Country]],Table1_3[Product],Table1_3[[#This Row],[Product]],Table1_3[Sales Person],Table1_3[[#This Row],[Sales Person]],Table1_3[Amount],"&lt;=100")&gt;=2,"Contract","Deal")</f>
        <v>Deal</v>
      </c>
    </row>
    <row r="2830" spans="1:7" x14ac:dyDescent="0.3">
      <c r="A2830" t="s">
        <v>29</v>
      </c>
      <c r="B2830" t="s">
        <v>35</v>
      </c>
      <c r="C2830" t="s">
        <v>38</v>
      </c>
      <c r="D2830">
        <v>10772</v>
      </c>
      <c r="E2830">
        <v>192</v>
      </c>
      <c r="F2830" s="1">
        <v>45485</v>
      </c>
      <c r="G2830" t="str">
        <f>IF(COUNTIFS(Table1_3[Country],Table1_3[[#This Row],[Country]],Table1_3[Product],Table1_3[[#This Row],[Product]],Table1_3[Sales Person],Table1_3[[#This Row],[Sales Person]],Table1_3[Amount],"&lt;=100")&gt;=2,"Contract","Deal")</f>
        <v>Deal</v>
      </c>
    </row>
    <row r="2831" spans="1:7" x14ac:dyDescent="0.3">
      <c r="A2831" t="s">
        <v>29</v>
      </c>
      <c r="B2831" t="s">
        <v>35</v>
      </c>
      <c r="C2831" t="s">
        <v>57</v>
      </c>
      <c r="D2831">
        <v>483</v>
      </c>
      <c r="E2831">
        <v>185</v>
      </c>
      <c r="F2831" s="1">
        <v>44797</v>
      </c>
      <c r="G2831" t="str">
        <f>IF(COUNTIFS(Table1_3[Country],Table1_3[[#This Row],[Country]],Table1_3[Product],Table1_3[[#This Row],[Product]],Table1_3[Sales Person],Table1_3[[#This Row],[Sales Person]],Table1_3[Amount],"&lt;=100")&gt;=2,"Contract","Deal")</f>
        <v>Deal</v>
      </c>
    </row>
    <row r="2832" spans="1:7" x14ac:dyDescent="0.3">
      <c r="A2832" t="s">
        <v>29</v>
      </c>
      <c r="B2832" t="s">
        <v>35</v>
      </c>
      <c r="C2832" t="s">
        <v>57</v>
      </c>
      <c r="D2832">
        <v>518.07000000000005</v>
      </c>
      <c r="E2832">
        <v>192</v>
      </c>
      <c r="F2832" s="1">
        <v>45162</v>
      </c>
      <c r="G2832" t="str">
        <f>IF(COUNTIFS(Table1_3[Country],Table1_3[[#This Row],[Country]],Table1_3[Product],Table1_3[[#This Row],[Product]],Table1_3[Sales Person],Table1_3[[#This Row],[Sales Person]],Table1_3[Amount],"&lt;=100")&gt;=2,"Contract","Deal")</f>
        <v>Deal</v>
      </c>
    </row>
    <row r="2833" spans="1:7" x14ac:dyDescent="0.3">
      <c r="A2833" t="s">
        <v>29</v>
      </c>
      <c r="B2833" t="s">
        <v>35</v>
      </c>
      <c r="C2833" t="s">
        <v>57</v>
      </c>
      <c r="D2833">
        <v>570.58000000000004</v>
      </c>
      <c r="E2833">
        <v>191</v>
      </c>
      <c r="F2833" s="1">
        <v>45528</v>
      </c>
      <c r="G2833" t="str">
        <f>IF(COUNTIFS(Table1_3[Country],Table1_3[[#This Row],[Country]],Table1_3[Product],Table1_3[[#This Row],[Product]],Table1_3[Sales Person],Table1_3[[#This Row],[Sales Person]],Table1_3[Amount],"&lt;=100")&gt;=2,"Contract","Deal")</f>
        <v>Deal</v>
      </c>
    </row>
    <row r="2834" spans="1:7" x14ac:dyDescent="0.3">
      <c r="A2834" t="s">
        <v>29</v>
      </c>
      <c r="B2834" t="s">
        <v>35</v>
      </c>
      <c r="C2834" t="s">
        <v>50</v>
      </c>
      <c r="D2834">
        <v>2520</v>
      </c>
      <c r="E2834">
        <v>156</v>
      </c>
      <c r="F2834" s="1">
        <v>44683</v>
      </c>
      <c r="G2834" t="str">
        <f>IF(COUNTIFS(Table1_3[Country],Table1_3[[#This Row],[Country]],Table1_3[Product],Table1_3[[#This Row],[Product]],Table1_3[Sales Person],Table1_3[[#This Row],[Sales Person]],Table1_3[Amount],"&lt;=100")&gt;=2,"Contract","Deal")</f>
        <v>Deal</v>
      </c>
    </row>
    <row r="2835" spans="1:7" x14ac:dyDescent="0.3">
      <c r="A2835" t="s">
        <v>29</v>
      </c>
      <c r="B2835" t="s">
        <v>35</v>
      </c>
      <c r="C2835" t="s">
        <v>50</v>
      </c>
      <c r="D2835">
        <v>2883.71</v>
      </c>
      <c r="E2835">
        <v>163</v>
      </c>
      <c r="F2835" s="1">
        <v>45048</v>
      </c>
      <c r="G2835" t="str">
        <f>IF(COUNTIFS(Table1_3[Country],Table1_3[[#This Row],[Country]],Table1_3[Product],Table1_3[[#This Row],[Product]],Table1_3[Sales Person],Table1_3[[#This Row],[Sales Person]],Table1_3[Amount],"&lt;=100")&gt;=2,"Contract","Deal")</f>
        <v>Deal</v>
      </c>
    </row>
    <row r="2836" spans="1:7" x14ac:dyDescent="0.3">
      <c r="A2836" t="s">
        <v>29</v>
      </c>
      <c r="B2836" t="s">
        <v>35</v>
      </c>
      <c r="C2836" t="s">
        <v>50</v>
      </c>
      <c r="D2836">
        <v>2702.08</v>
      </c>
      <c r="E2836">
        <v>164</v>
      </c>
      <c r="F2836" s="1">
        <v>45414</v>
      </c>
      <c r="G2836" t="str">
        <f>IF(COUNTIFS(Table1_3[Country],Table1_3[[#This Row],[Country]],Table1_3[Product],Table1_3[[#This Row],[Product]],Table1_3[Sales Person],Table1_3[[#This Row],[Sales Person]],Table1_3[Amount],"&lt;=100")&gt;=2,"Contract","Deal")</f>
        <v>Deal</v>
      </c>
    </row>
    <row r="2837" spans="1:7" x14ac:dyDescent="0.3">
      <c r="A2837" t="s">
        <v>29</v>
      </c>
      <c r="B2837" t="s">
        <v>10</v>
      </c>
      <c r="C2837" t="s">
        <v>23</v>
      </c>
      <c r="D2837">
        <v>4739</v>
      </c>
      <c r="E2837">
        <v>204</v>
      </c>
      <c r="F2837" s="1">
        <v>44622</v>
      </c>
      <c r="G2837" t="str">
        <f>IF(COUNTIFS(Table1_3[Country],Table1_3[[#This Row],[Country]],Table1_3[Product],Table1_3[[#This Row],[Product]],Table1_3[Sales Person],Table1_3[[#This Row],[Sales Person]],Table1_3[Amount],"&lt;=100")&gt;=2,"Contract","Deal")</f>
        <v>Deal</v>
      </c>
    </row>
    <row r="2838" spans="1:7" x14ac:dyDescent="0.3">
      <c r="A2838" t="s">
        <v>29</v>
      </c>
      <c r="B2838" t="s">
        <v>10</v>
      </c>
      <c r="C2838" t="s">
        <v>23</v>
      </c>
      <c r="D2838">
        <v>5423.54</v>
      </c>
      <c r="E2838">
        <v>203</v>
      </c>
      <c r="F2838" s="1">
        <v>44987</v>
      </c>
      <c r="G2838" t="str">
        <f>IF(COUNTIFS(Table1_3[Country],Table1_3[[#This Row],[Country]],Table1_3[Product],Table1_3[[#This Row],[Product]],Table1_3[Sales Person],Table1_3[[#This Row],[Sales Person]],Table1_3[Amount],"&lt;=100")&gt;=2,"Contract","Deal")</f>
        <v>Deal</v>
      </c>
    </row>
    <row r="2839" spans="1:7" x14ac:dyDescent="0.3">
      <c r="A2839" t="s">
        <v>29</v>
      </c>
      <c r="B2839" t="s">
        <v>10</v>
      </c>
      <c r="C2839" t="s">
        <v>23</v>
      </c>
      <c r="D2839">
        <v>5256.03</v>
      </c>
      <c r="E2839">
        <v>201</v>
      </c>
      <c r="F2839" s="1">
        <v>45353</v>
      </c>
      <c r="G2839" t="str">
        <f>IF(COUNTIFS(Table1_3[Country],Table1_3[[#This Row],[Country]],Table1_3[Product],Table1_3[[#This Row],[Product]],Table1_3[Sales Person],Table1_3[[#This Row],[Sales Person]],Table1_3[Amount],"&lt;=100")&gt;=2,"Contract","Deal")</f>
        <v>Deal</v>
      </c>
    </row>
    <row r="2840" spans="1:7" x14ac:dyDescent="0.3">
      <c r="A2840" t="s">
        <v>29</v>
      </c>
      <c r="B2840" t="s">
        <v>10</v>
      </c>
      <c r="C2840" t="s">
        <v>65</v>
      </c>
      <c r="D2840">
        <v>3395</v>
      </c>
      <c r="E2840">
        <v>99</v>
      </c>
      <c r="F2840" s="1">
        <v>44769</v>
      </c>
      <c r="G2840" t="str">
        <f>IF(COUNTIFS(Table1_3[Country],Table1_3[[#This Row],[Country]],Table1_3[Product],Table1_3[[#This Row],[Product]],Table1_3[Sales Person],Table1_3[[#This Row],[Sales Person]],Table1_3[Amount],"&lt;=100")&gt;=2,"Contract","Deal")</f>
        <v>Deal</v>
      </c>
    </row>
    <row r="2841" spans="1:7" x14ac:dyDescent="0.3">
      <c r="A2841" t="s">
        <v>29</v>
      </c>
      <c r="B2841" t="s">
        <v>10</v>
      </c>
      <c r="C2841" t="s">
        <v>65</v>
      </c>
      <c r="D2841">
        <v>3791.66</v>
      </c>
      <c r="E2841">
        <v>100</v>
      </c>
      <c r="F2841" s="1">
        <v>45134</v>
      </c>
      <c r="G2841" t="str">
        <f>IF(COUNTIFS(Table1_3[Country],Table1_3[[#This Row],[Country]],Table1_3[Product],Table1_3[[#This Row],[Product]],Table1_3[Sales Person],Table1_3[[#This Row],[Sales Person]],Table1_3[Amount],"&lt;=100")&gt;=2,"Contract","Deal")</f>
        <v>Deal</v>
      </c>
    </row>
    <row r="2842" spans="1:7" x14ac:dyDescent="0.3">
      <c r="A2842" t="s">
        <v>29</v>
      </c>
      <c r="B2842" t="s">
        <v>10</v>
      </c>
      <c r="C2842" t="s">
        <v>65</v>
      </c>
      <c r="D2842">
        <v>3589.91</v>
      </c>
      <c r="E2842">
        <v>106</v>
      </c>
      <c r="F2842" s="1">
        <v>45500</v>
      </c>
      <c r="G2842" t="str">
        <f>IF(COUNTIFS(Table1_3[Country],Table1_3[[#This Row],[Country]],Table1_3[Product],Table1_3[[#This Row],[Product]],Table1_3[Sales Person],Table1_3[[#This Row],[Sales Person]],Table1_3[Amount],"&lt;=100")&gt;=2,"Contract","Deal")</f>
        <v>Deal</v>
      </c>
    </row>
    <row r="2843" spans="1:7" x14ac:dyDescent="0.3">
      <c r="A2843" t="s">
        <v>29</v>
      </c>
      <c r="B2843" t="s">
        <v>10</v>
      </c>
      <c r="C2843" t="s">
        <v>8</v>
      </c>
      <c r="D2843">
        <v>15491</v>
      </c>
      <c r="E2843">
        <v>85</v>
      </c>
      <c r="F2843" s="1">
        <v>44587</v>
      </c>
      <c r="G2843" t="str">
        <f>IF(COUNTIFS(Table1_3[Country],Table1_3[[#This Row],[Country]],Table1_3[Product],Table1_3[[#This Row],[Product]],Table1_3[Sales Person],Table1_3[[#This Row],[Sales Person]],Table1_3[Amount],"&lt;=100")&gt;=2,"Contract","Deal")</f>
        <v>Deal</v>
      </c>
    </row>
    <row r="2844" spans="1:7" x14ac:dyDescent="0.3">
      <c r="A2844" t="s">
        <v>29</v>
      </c>
      <c r="B2844" t="s">
        <v>10</v>
      </c>
      <c r="C2844" t="s">
        <v>8</v>
      </c>
      <c r="D2844">
        <v>15473</v>
      </c>
      <c r="E2844">
        <v>91</v>
      </c>
      <c r="F2844" s="1">
        <v>44952</v>
      </c>
      <c r="G2844" t="str">
        <f>IF(COUNTIFS(Table1_3[Country],Table1_3[[#This Row],[Country]],Table1_3[Product],Table1_3[[#This Row],[Product]],Table1_3[Sales Person],Table1_3[[#This Row],[Sales Person]],Table1_3[Amount],"&lt;=100")&gt;=2,"Contract","Deal")</f>
        <v>Deal</v>
      </c>
    </row>
    <row r="2845" spans="1:7" x14ac:dyDescent="0.3">
      <c r="A2845" t="s">
        <v>29</v>
      </c>
      <c r="B2845" t="s">
        <v>10</v>
      </c>
      <c r="C2845" t="s">
        <v>8</v>
      </c>
      <c r="D2845">
        <v>16520.75</v>
      </c>
      <c r="E2845">
        <v>84</v>
      </c>
      <c r="F2845" s="1">
        <v>45317</v>
      </c>
      <c r="G2845" t="str">
        <f>IF(COUNTIFS(Table1_3[Country],Table1_3[[#This Row],[Country]],Table1_3[Product],Table1_3[[#This Row],[Product]],Table1_3[Sales Person],Table1_3[[#This Row],[Sales Person]],Table1_3[Amount],"&lt;=100")&gt;=2,"Contract","Deal")</f>
        <v>Deal</v>
      </c>
    </row>
    <row r="2846" spans="1:7" x14ac:dyDescent="0.3">
      <c r="A2846" t="s">
        <v>29</v>
      </c>
      <c r="B2846" t="s">
        <v>10</v>
      </c>
      <c r="C2846" t="s">
        <v>18</v>
      </c>
      <c r="D2846">
        <v>1638</v>
      </c>
      <c r="E2846">
        <v>81</v>
      </c>
      <c r="F2846" s="1">
        <v>44687</v>
      </c>
      <c r="G2846" t="str">
        <f>IF(COUNTIFS(Table1_3[Country],Table1_3[[#This Row],[Country]],Table1_3[Product],Table1_3[[#This Row],[Product]],Table1_3[Sales Person],Table1_3[[#This Row],[Sales Person]],Table1_3[Amount],"&lt;=100")&gt;=2,"Contract","Deal")</f>
        <v>Deal</v>
      </c>
    </row>
    <row r="2847" spans="1:7" x14ac:dyDescent="0.3">
      <c r="A2847" t="s">
        <v>29</v>
      </c>
      <c r="B2847" t="s">
        <v>10</v>
      </c>
      <c r="C2847" t="s">
        <v>18</v>
      </c>
      <c r="D2847">
        <v>1871.33</v>
      </c>
      <c r="E2847">
        <v>88</v>
      </c>
      <c r="F2847" s="1">
        <v>45052</v>
      </c>
      <c r="G2847" t="str">
        <f>IF(COUNTIFS(Table1_3[Country],Table1_3[[#This Row],[Country]],Table1_3[Product],Table1_3[[#This Row],[Product]],Table1_3[Sales Person],Table1_3[[#This Row],[Sales Person]],Table1_3[Amount],"&lt;=100")&gt;=2,"Contract","Deal")</f>
        <v>Deal</v>
      </c>
    </row>
    <row r="2848" spans="1:7" x14ac:dyDescent="0.3">
      <c r="A2848" t="s">
        <v>29</v>
      </c>
      <c r="B2848" t="s">
        <v>10</v>
      </c>
      <c r="C2848" t="s">
        <v>18</v>
      </c>
      <c r="D2848">
        <v>1961.82</v>
      </c>
      <c r="E2848">
        <v>80</v>
      </c>
      <c r="F2848" s="1">
        <v>45418</v>
      </c>
      <c r="G2848" t="str">
        <f>IF(COUNTIFS(Table1_3[Country],Table1_3[[#This Row],[Country]],Table1_3[Product],Table1_3[[#This Row],[Product]],Table1_3[Sales Person],Table1_3[[#This Row],[Sales Person]],Table1_3[Amount],"&lt;=100")&gt;=2,"Contract","Deal")</f>
        <v>Deal</v>
      </c>
    </row>
    <row r="2849" spans="1:7" x14ac:dyDescent="0.3">
      <c r="A2849" t="s">
        <v>29</v>
      </c>
      <c r="B2849" t="s">
        <v>10</v>
      </c>
      <c r="C2849" t="s">
        <v>50</v>
      </c>
      <c r="D2849">
        <v>8064</v>
      </c>
      <c r="E2849">
        <v>134</v>
      </c>
      <c r="F2849" s="1">
        <v>44565</v>
      </c>
      <c r="G2849" t="str">
        <f>IF(COUNTIFS(Table1_3[Country],Table1_3[[#This Row],[Country]],Table1_3[Product],Table1_3[[#This Row],[Product]],Table1_3[Sales Person],Table1_3[[#This Row],[Sales Person]],Table1_3[Amount],"&lt;=100")&gt;=2,"Contract","Deal")</f>
        <v>Deal</v>
      </c>
    </row>
    <row r="2850" spans="1:7" x14ac:dyDescent="0.3">
      <c r="A2850" t="s">
        <v>29</v>
      </c>
      <c r="B2850" t="s">
        <v>10</v>
      </c>
      <c r="C2850" t="s">
        <v>50</v>
      </c>
      <c r="D2850">
        <v>8586.0400000000009</v>
      </c>
      <c r="E2850">
        <v>144</v>
      </c>
      <c r="F2850" s="1">
        <v>44930</v>
      </c>
      <c r="G2850" t="str">
        <f>IF(COUNTIFS(Table1_3[Country],Table1_3[[#This Row],[Country]],Table1_3[Product],Table1_3[[#This Row],[Product]],Table1_3[Sales Person],Table1_3[[#This Row],[Sales Person]],Table1_3[Amount],"&lt;=100")&gt;=2,"Contract","Deal")</f>
        <v>Deal</v>
      </c>
    </row>
    <row r="2851" spans="1:7" x14ac:dyDescent="0.3">
      <c r="A2851" t="s">
        <v>29</v>
      </c>
      <c r="B2851" t="s">
        <v>10</v>
      </c>
      <c r="C2851" t="s">
        <v>50</v>
      </c>
      <c r="D2851">
        <v>8972.7900000000009</v>
      </c>
      <c r="E2851">
        <v>134</v>
      </c>
      <c r="F2851" s="1">
        <v>45295</v>
      </c>
      <c r="G2851" t="str">
        <f>IF(COUNTIFS(Table1_3[Country],Table1_3[[#This Row],[Country]],Table1_3[Product],Table1_3[[#This Row],[Product]],Table1_3[Sales Person],Table1_3[[#This Row],[Sales Person]],Table1_3[Amount],"&lt;=100")&gt;=2,"Contract","Deal")</f>
        <v>Deal</v>
      </c>
    </row>
    <row r="2852" spans="1:7" x14ac:dyDescent="0.3">
      <c r="A2852" t="s">
        <v>29</v>
      </c>
      <c r="B2852" t="s">
        <v>25</v>
      </c>
      <c r="C2852" t="s">
        <v>100</v>
      </c>
      <c r="D2852">
        <v>679</v>
      </c>
      <c r="E2852">
        <v>280</v>
      </c>
      <c r="F2852" s="1">
        <v>44797</v>
      </c>
      <c r="G2852" t="str">
        <f>IF(COUNTIFS(Table1_3[Country],Table1_3[[#This Row],[Country]],Table1_3[Product],Table1_3[[#This Row],[Product]],Table1_3[Sales Person],Table1_3[[#This Row],[Sales Person]],Table1_3[Amount],"&lt;=100")&gt;=2,"Contract","Deal")</f>
        <v>Deal</v>
      </c>
    </row>
    <row r="2853" spans="1:7" x14ac:dyDescent="0.3">
      <c r="A2853" t="s">
        <v>29</v>
      </c>
      <c r="B2853" t="s">
        <v>25</v>
      </c>
      <c r="C2853" t="s">
        <v>100</v>
      </c>
      <c r="D2853">
        <v>773.73</v>
      </c>
      <c r="E2853">
        <v>280</v>
      </c>
      <c r="F2853" s="1">
        <v>45162</v>
      </c>
      <c r="G2853" t="str">
        <f>IF(COUNTIFS(Table1_3[Country],Table1_3[[#This Row],[Country]],Table1_3[Product],Table1_3[[#This Row],[Product]],Table1_3[Sales Person],Table1_3[[#This Row],[Sales Person]],Table1_3[Amount],"&lt;=100")&gt;=2,"Contract","Deal")</f>
        <v>Deal</v>
      </c>
    </row>
    <row r="2854" spans="1:7" x14ac:dyDescent="0.3">
      <c r="A2854" t="s">
        <v>29</v>
      </c>
      <c r="B2854" t="s">
        <v>25</v>
      </c>
      <c r="C2854" t="s">
        <v>100</v>
      </c>
      <c r="D2854">
        <v>791.19</v>
      </c>
      <c r="E2854">
        <v>280</v>
      </c>
      <c r="F2854" s="1">
        <v>45528</v>
      </c>
      <c r="G2854" t="str">
        <f>IF(COUNTIFS(Table1_3[Country],Table1_3[[#This Row],[Country]],Table1_3[Product],Table1_3[[#This Row],[Product]],Table1_3[Sales Person],Table1_3[[#This Row],[Sales Person]],Table1_3[Amount],"&lt;=100")&gt;=2,"Contract","Deal")</f>
        <v>Deal</v>
      </c>
    </row>
    <row r="2855" spans="1:7" x14ac:dyDescent="0.3">
      <c r="A2855" t="s">
        <v>29</v>
      </c>
      <c r="B2855" t="s">
        <v>25</v>
      </c>
      <c r="C2855" t="s">
        <v>20</v>
      </c>
      <c r="D2855">
        <v>3164</v>
      </c>
      <c r="E2855">
        <v>84</v>
      </c>
      <c r="F2855" s="1">
        <v>44645</v>
      </c>
      <c r="G2855" t="str">
        <f>IF(COUNTIFS(Table1_3[Country],Table1_3[[#This Row],[Country]],Table1_3[Product],Table1_3[[#This Row],[Product]],Table1_3[Sales Person],Table1_3[[#This Row],[Sales Person]],Table1_3[Amount],"&lt;=100")&gt;=2,"Contract","Deal")</f>
        <v>Deal</v>
      </c>
    </row>
    <row r="2856" spans="1:7" x14ac:dyDescent="0.3">
      <c r="A2856" t="s">
        <v>29</v>
      </c>
      <c r="B2856" t="s">
        <v>25</v>
      </c>
      <c r="C2856" t="s">
        <v>20</v>
      </c>
      <c r="D2856">
        <v>3550.76</v>
      </c>
      <c r="E2856">
        <v>85</v>
      </c>
      <c r="F2856" s="1">
        <v>45010</v>
      </c>
      <c r="G2856" t="str">
        <f>IF(COUNTIFS(Table1_3[Country],Table1_3[[#This Row],[Country]],Table1_3[Product],Table1_3[[#This Row],[Product]],Table1_3[Sales Person],Table1_3[[#This Row],[Sales Person]],Table1_3[Amount],"&lt;=100")&gt;=2,"Contract","Deal")</f>
        <v>Deal</v>
      </c>
    </row>
    <row r="2857" spans="1:7" x14ac:dyDescent="0.3">
      <c r="A2857" t="s">
        <v>29</v>
      </c>
      <c r="B2857" t="s">
        <v>25</v>
      </c>
      <c r="C2857" t="s">
        <v>20</v>
      </c>
      <c r="D2857">
        <v>3822.64</v>
      </c>
      <c r="E2857">
        <v>85</v>
      </c>
      <c r="F2857" s="1">
        <v>45376</v>
      </c>
      <c r="G2857" t="str">
        <f>IF(COUNTIFS(Table1_3[Country],Table1_3[[#This Row],[Country]],Table1_3[Product],Table1_3[[#This Row],[Product]],Table1_3[Sales Person],Table1_3[[#This Row],[Sales Person]],Table1_3[Amount],"&lt;=100")&gt;=2,"Contract","Deal")</f>
        <v>Deal</v>
      </c>
    </row>
    <row r="2858" spans="1:7" x14ac:dyDescent="0.3">
      <c r="A2858" t="s">
        <v>29</v>
      </c>
      <c r="B2858" t="s">
        <v>25</v>
      </c>
      <c r="C2858" t="s">
        <v>23</v>
      </c>
      <c r="D2858">
        <v>1099</v>
      </c>
      <c r="E2858">
        <v>92</v>
      </c>
      <c r="F2858" s="1">
        <v>44749</v>
      </c>
      <c r="G2858" t="str">
        <f>IF(COUNTIFS(Table1_3[Country],Table1_3[[#This Row],[Country]],Table1_3[Product],Table1_3[[#This Row],[Product]],Table1_3[Sales Person],Table1_3[[#This Row],[Sales Person]],Table1_3[Amount],"&lt;=100")&gt;=2,"Contract","Deal")</f>
        <v>Deal</v>
      </c>
    </row>
    <row r="2859" spans="1:7" x14ac:dyDescent="0.3">
      <c r="A2859" t="s">
        <v>29</v>
      </c>
      <c r="B2859" t="s">
        <v>25</v>
      </c>
      <c r="C2859" t="s">
        <v>23</v>
      </c>
      <c r="D2859">
        <v>1127.5</v>
      </c>
      <c r="E2859">
        <v>88</v>
      </c>
      <c r="F2859" s="1">
        <v>45114</v>
      </c>
      <c r="G2859" t="str">
        <f>IF(COUNTIFS(Table1_3[Country],Table1_3[[#This Row],[Country]],Table1_3[Product],Table1_3[[#This Row],[Product]],Table1_3[Sales Person],Table1_3[[#This Row],[Sales Person]],Table1_3[Amount],"&lt;=100")&gt;=2,"Contract","Deal")</f>
        <v>Deal</v>
      </c>
    </row>
    <row r="2860" spans="1:7" x14ac:dyDescent="0.3">
      <c r="A2860" t="s">
        <v>29</v>
      </c>
      <c r="B2860" t="s">
        <v>25</v>
      </c>
      <c r="C2860" t="s">
        <v>23</v>
      </c>
      <c r="D2860">
        <v>1245.9100000000001</v>
      </c>
      <c r="E2860">
        <v>90</v>
      </c>
      <c r="F2860" s="1">
        <v>45480</v>
      </c>
      <c r="G2860" t="str">
        <f>IF(COUNTIFS(Table1_3[Country],Table1_3[[#This Row],[Country]],Table1_3[Product],Table1_3[[#This Row],[Product]],Table1_3[Sales Person],Table1_3[[#This Row],[Sales Person]],Table1_3[Amount],"&lt;=100")&gt;=2,"Contract","Deal")</f>
        <v>Deal</v>
      </c>
    </row>
    <row r="2861" spans="1:7" x14ac:dyDescent="0.3">
      <c r="A2861" t="s">
        <v>29</v>
      </c>
      <c r="B2861" t="s">
        <v>25</v>
      </c>
      <c r="C2861" t="s">
        <v>90</v>
      </c>
      <c r="D2861">
        <v>13083</v>
      </c>
      <c r="E2861">
        <v>14</v>
      </c>
      <c r="F2861" s="1">
        <v>44701</v>
      </c>
      <c r="G2861" t="str">
        <f>IF(COUNTIFS(Table1_3[Country],Table1_3[[#This Row],[Country]],Table1_3[Product],Table1_3[[#This Row],[Product]],Table1_3[Sales Person],Table1_3[[#This Row],[Sales Person]],Table1_3[Amount],"&lt;=100")&gt;=2,"Contract","Deal")</f>
        <v>Deal</v>
      </c>
    </row>
    <row r="2862" spans="1:7" x14ac:dyDescent="0.3">
      <c r="A2862" t="s">
        <v>29</v>
      </c>
      <c r="B2862" t="s">
        <v>25</v>
      </c>
      <c r="C2862" t="s">
        <v>90</v>
      </c>
      <c r="D2862">
        <v>14369.4</v>
      </c>
      <c r="E2862">
        <v>15</v>
      </c>
      <c r="F2862" s="1">
        <v>45066</v>
      </c>
      <c r="G2862" t="str">
        <f>IF(COUNTIFS(Table1_3[Country],Table1_3[[#This Row],[Country]],Table1_3[Product],Table1_3[[#This Row],[Product]],Table1_3[Sales Person],Table1_3[[#This Row],[Sales Person]],Table1_3[Amount],"&lt;=100")&gt;=2,"Contract","Deal")</f>
        <v>Deal</v>
      </c>
    </row>
    <row r="2863" spans="1:7" x14ac:dyDescent="0.3">
      <c r="A2863" t="s">
        <v>29</v>
      </c>
      <c r="B2863" t="s">
        <v>25</v>
      </c>
      <c r="C2863" t="s">
        <v>90</v>
      </c>
      <c r="D2863">
        <v>14493.5</v>
      </c>
      <c r="E2863">
        <v>15</v>
      </c>
      <c r="F2863" s="1">
        <v>45432</v>
      </c>
      <c r="G2863" t="str">
        <f>IF(COUNTIFS(Table1_3[Country],Table1_3[[#This Row],[Country]],Table1_3[Product],Table1_3[[#This Row],[Product]],Table1_3[Sales Person],Table1_3[[#This Row],[Sales Person]],Table1_3[Amount],"&lt;=100")&gt;=2,"Contract","Deal")</f>
        <v>Deal</v>
      </c>
    </row>
    <row r="2864" spans="1:7" x14ac:dyDescent="0.3">
      <c r="A2864" t="s">
        <v>29</v>
      </c>
      <c r="B2864" t="s">
        <v>25</v>
      </c>
      <c r="C2864" t="s">
        <v>75</v>
      </c>
      <c r="D2864">
        <v>2093</v>
      </c>
      <c r="E2864">
        <v>45</v>
      </c>
      <c r="F2864" s="1">
        <v>44719</v>
      </c>
      <c r="G2864" t="str">
        <f>IF(COUNTIFS(Table1_3[Country],Table1_3[[#This Row],[Country]],Table1_3[Product],Table1_3[[#This Row],[Product]],Table1_3[Sales Person],Table1_3[[#This Row],[Sales Person]],Table1_3[Amount],"&lt;=100")&gt;=2,"Contract","Deal")</f>
        <v>Deal</v>
      </c>
    </row>
    <row r="2865" spans="1:7" x14ac:dyDescent="0.3">
      <c r="A2865" t="s">
        <v>29</v>
      </c>
      <c r="B2865" t="s">
        <v>25</v>
      </c>
      <c r="C2865" t="s">
        <v>75</v>
      </c>
      <c r="D2865">
        <v>2236.11</v>
      </c>
      <c r="E2865">
        <v>46</v>
      </c>
      <c r="F2865" s="1">
        <v>45084</v>
      </c>
      <c r="G2865" t="str">
        <f>IF(COUNTIFS(Table1_3[Country],Table1_3[[#This Row],[Country]],Table1_3[Product],Table1_3[[#This Row],[Product]],Table1_3[Sales Person],Table1_3[[#This Row],[Sales Person]],Table1_3[Amount],"&lt;=100")&gt;=2,"Contract","Deal")</f>
        <v>Deal</v>
      </c>
    </row>
    <row r="2866" spans="1:7" x14ac:dyDescent="0.3">
      <c r="A2866" t="s">
        <v>29</v>
      </c>
      <c r="B2866" t="s">
        <v>25</v>
      </c>
      <c r="C2866" t="s">
        <v>75</v>
      </c>
      <c r="D2866">
        <v>2278.06</v>
      </c>
      <c r="E2866">
        <v>49</v>
      </c>
      <c r="F2866" s="1">
        <v>45450</v>
      </c>
      <c r="G2866" t="str">
        <f>IF(COUNTIFS(Table1_3[Country],Table1_3[[#This Row],[Country]],Table1_3[Product],Table1_3[[#This Row],[Product]],Table1_3[Sales Person],Table1_3[[#This Row],[Sales Person]],Table1_3[Amount],"&lt;=100")&gt;=2,"Contract","Deal")</f>
        <v>Deal</v>
      </c>
    </row>
    <row r="2867" spans="1:7" x14ac:dyDescent="0.3">
      <c r="A2867" t="s">
        <v>29</v>
      </c>
      <c r="B2867" t="s">
        <v>25</v>
      </c>
      <c r="C2867" t="s">
        <v>36</v>
      </c>
      <c r="D2867">
        <v>19481</v>
      </c>
      <c r="E2867">
        <v>51</v>
      </c>
      <c r="F2867" s="1">
        <v>44599</v>
      </c>
      <c r="G2867" t="str">
        <f>IF(COUNTIFS(Table1_3[Country],Table1_3[[#This Row],[Country]],Table1_3[Product],Table1_3[[#This Row],[Product]],Table1_3[Sales Person],Table1_3[[#This Row],[Sales Person]],Table1_3[Amount],"&lt;=100")&gt;=2,"Contract","Deal")</f>
        <v>Deal</v>
      </c>
    </row>
    <row r="2868" spans="1:7" x14ac:dyDescent="0.3">
      <c r="A2868" t="s">
        <v>29</v>
      </c>
      <c r="B2868" t="s">
        <v>25</v>
      </c>
      <c r="C2868" t="s">
        <v>36</v>
      </c>
      <c r="D2868">
        <v>20470.43</v>
      </c>
      <c r="E2868">
        <v>54</v>
      </c>
      <c r="F2868" s="1">
        <v>44964</v>
      </c>
      <c r="G2868" t="str">
        <f>IF(COUNTIFS(Table1_3[Country],Table1_3[[#This Row],[Country]],Table1_3[Product],Table1_3[[#This Row],[Product]],Table1_3[Sales Person],Table1_3[[#This Row],[Sales Person]],Table1_3[Amount],"&lt;=100")&gt;=2,"Contract","Deal")</f>
        <v>Deal</v>
      </c>
    </row>
    <row r="2869" spans="1:7" x14ac:dyDescent="0.3">
      <c r="A2869" t="s">
        <v>29</v>
      </c>
      <c r="B2869" t="s">
        <v>25</v>
      </c>
      <c r="C2869" t="s">
        <v>36</v>
      </c>
      <c r="D2869">
        <v>20690.2</v>
      </c>
      <c r="E2869">
        <v>51</v>
      </c>
      <c r="F2869" s="1">
        <v>45329</v>
      </c>
      <c r="G2869" t="str">
        <f>IF(COUNTIFS(Table1_3[Country],Table1_3[[#This Row],[Country]],Table1_3[Product],Table1_3[[#This Row],[Product]],Table1_3[Sales Person],Table1_3[[#This Row],[Sales Person]],Table1_3[Amount],"&lt;=100")&gt;=2,"Contract","Deal")</f>
        <v>Deal</v>
      </c>
    </row>
    <row r="2870" spans="1:7" x14ac:dyDescent="0.3">
      <c r="A2870" t="s">
        <v>29</v>
      </c>
      <c r="B2870" t="s">
        <v>7</v>
      </c>
      <c r="C2870" t="s">
        <v>26</v>
      </c>
      <c r="D2870">
        <v>10150</v>
      </c>
      <c r="E2870">
        <v>68</v>
      </c>
      <c r="F2870" s="1">
        <v>44608</v>
      </c>
      <c r="G2870" t="str">
        <f>IF(COUNTIFS(Table1_3[Country],Table1_3[[#This Row],[Country]],Table1_3[Product],Table1_3[[#This Row],[Product]],Table1_3[Sales Person],Table1_3[[#This Row],[Sales Person]],Table1_3[Amount],"&lt;=100")&gt;=2,"Contract","Deal")</f>
        <v>Deal</v>
      </c>
    </row>
    <row r="2871" spans="1:7" x14ac:dyDescent="0.3">
      <c r="A2871" t="s">
        <v>29</v>
      </c>
      <c r="B2871" t="s">
        <v>7</v>
      </c>
      <c r="C2871" t="s">
        <v>26</v>
      </c>
      <c r="D2871">
        <v>11099.73</v>
      </c>
      <c r="E2871">
        <v>73</v>
      </c>
      <c r="F2871" s="1">
        <v>44973</v>
      </c>
      <c r="G2871" t="str">
        <f>IF(COUNTIFS(Table1_3[Country],Table1_3[[#This Row],[Country]],Table1_3[Product],Table1_3[[#This Row],[Product]],Table1_3[Sales Person],Table1_3[[#This Row],[Sales Person]],Table1_3[Amount],"&lt;=100")&gt;=2,"Contract","Deal")</f>
        <v>Deal</v>
      </c>
    </row>
    <row r="2872" spans="1:7" x14ac:dyDescent="0.3">
      <c r="A2872" t="s">
        <v>29</v>
      </c>
      <c r="B2872" t="s">
        <v>7</v>
      </c>
      <c r="C2872" t="s">
        <v>26</v>
      </c>
      <c r="D2872">
        <v>11491.21</v>
      </c>
      <c r="E2872">
        <v>71</v>
      </c>
      <c r="F2872" s="1">
        <v>45338</v>
      </c>
      <c r="G2872" t="str">
        <f>IF(COUNTIFS(Table1_3[Country],Table1_3[[#This Row],[Country]],Table1_3[Product],Table1_3[[#This Row],[Product]],Table1_3[Sales Person],Table1_3[[#This Row],[Sales Person]],Table1_3[Amount],"&lt;=100")&gt;=2,"Contract","Deal")</f>
        <v>Deal</v>
      </c>
    </row>
    <row r="2873" spans="1:7" x14ac:dyDescent="0.3">
      <c r="A2873" t="s">
        <v>29</v>
      </c>
      <c r="B2873" t="s">
        <v>7</v>
      </c>
      <c r="C2873" t="s">
        <v>20</v>
      </c>
      <c r="D2873">
        <v>12446</v>
      </c>
      <c r="E2873">
        <v>150</v>
      </c>
      <c r="F2873" s="1">
        <v>44741</v>
      </c>
      <c r="G2873" t="str">
        <f>IF(COUNTIFS(Table1_3[Country],Table1_3[[#This Row],[Country]],Table1_3[Product],Table1_3[[#This Row],[Product]],Table1_3[Sales Person],Table1_3[[#This Row],[Sales Person]],Table1_3[Amount],"&lt;=100")&gt;=2,"Contract","Deal")</f>
        <v>Deal</v>
      </c>
    </row>
    <row r="2874" spans="1:7" x14ac:dyDescent="0.3">
      <c r="A2874" t="s">
        <v>29</v>
      </c>
      <c r="B2874" t="s">
        <v>7</v>
      </c>
      <c r="C2874" t="s">
        <v>20</v>
      </c>
      <c r="D2874">
        <v>12643.1</v>
      </c>
      <c r="E2874">
        <v>150</v>
      </c>
      <c r="F2874" s="1">
        <v>45106</v>
      </c>
      <c r="G2874" t="str">
        <f>IF(COUNTIFS(Table1_3[Country],Table1_3[[#This Row],[Country]],Table1_3[Product],Table1_3[[#This Row],[Product]],Table1_3[Sales Person],Table1_3[[#This Row],[Sales Person]],Table1_3[Amount],"&lt;=100")&gt;=2,"Contract","Deal")</f>
        <v>Deal</v>
      </c>
    </row>
    <row r="2875" spans="1:7" x14ac:dyDescent="0.3">
      <c r="A2875" t="s">
        <v>29</v>
      </c>
      <c r="B2875" t="s">
        <v>7</v>
      </c>
      <c r="C2875" t="s">
        <v>20</v>
      </c>
      <c r="D2875">
        <v>14086.69</v>
      </c>
      <c r="E2875">
        <v>157</v>
      </c>
      <c r="F2875" s="1">
        <v>45472</v>
      </c>
      <c r="G2875" t="str">
        <f>IF(COUNTIFS(Table1_3[Country],Table1_3[[#This Row],[Country]],Table1_3[Product],Table1_3[[#This Row],[Product]],Table1_3[Sales Person],Table1_3[[#This Row],[Sales Person]],Table1_3[Amount],"&lt;=100")&gt;=2,"Contract","Deal")</f>
        <v>Deal</v>
      </c>
    </row>
    <row r="2876" spans="1:7" x14ac:dyDescent="0.3">
      <c r="A2876" t="s">
        <v>29</v>
      </c>
      <c r="B2876" t="s">
        <v>7</v>
      </c>
      <c r="C2876" t="s">
        <v>36</v>
      </c>
      <c r="D2876">
        <v>1379</v>
      </c>
      <c r="E2876">
        <v>70</v>
      </c>
      <c r="F2876" s="1">
        <v>44678</v>
      </c>
      <c r="G2876" t="str">
        <f>IF(COUNTIFS(Table1_3[Country],Table1_3[[#This Row],[Country]],Table1_3[Product],Table1_3[[#This Row],[Product]],Table1_3[Sales Person],Table1_3[[#This Row],[Sales Person]],Table1_3[Amount],"&lt;=100")&gt;=2,"Contract","Deal")</f>
        <v>Deal</v>
      </c>
    </row>
    <row r="2877" spans="1:7" x14ac:dyDescent="0.3">
      <c r="A2877" t="s">
        <v>29</v>
      </c>
      <c r="B2877" t="s">
        <v>7</v>
      </c>
      <c r="C2877" t="s">
        <v>36</v>
      </c>
      <c r="D2877">
        <v>1577.84</v>
      </c>
      <c r="E2877">
        <v>67</v>
      </c>
      <c r="F2877" s="1">
        <v>45043</v>
      </c>
      <c r="G2877" t="str">
        <f>IF(COUNTIFS(Table1_3[Country],Table1_3[[#This Row],[Country]],Table1_3[Product],Table1_3[[#This Row],[Product]],Table1_3[Sales Person],Table1_3[[#This Row],[Sales Person]],Table1_3[Amount],"&lt;=100")&gt;=2,"Contract","Deal")</f>
        <v>Deal</v>
      </c>
    </row>
    <row r="2878" spans="1:7" x14ac:dyDescent="0.3">
      <c r="A2878" t="s">
        <v>29</v>
      </c>
      <c r="B2878" t="s">
        <v>7</v>
      </c>
      <c r="C2878" t="s">
        <v>36</v>
      </c>
      <c r="D2878">
        <v>1608.04</v>
      </c>
      <c r="E2878">
        <v>75</v>
      </c>
      <c r="F2878" s="1">
        <v>45409</v>
      </c>
      <c r="G2878" t="str">
        <f>IF(COUNTIFS(Table1_3[Country],Table1_3[[#This Row],[Country]],Table1_3[Product],Table1_3[[#This Row],[Product]],Table1_3[Sales Person],Table1_3[[#This Row],[Sales Person]],Table1_3[Amount],"&lt;=100")&gt;=2,"Contract","Deal")</f>
        <v>Deal</v>
      </c>
    </row>
    <row r="2879" spans="1:7" x14ac:dyDescent="0.3">
      <c r="A2879" t="s">
        <v>29</v>
      </c>
      <c r="B2879" t="s">
        <v>7</v>
      </c>
      <c r="C2879" t="s">
        <v>18</v>
      </c>
      <c r="D2879">
        <v>4704</v>
      </c>
      <c r="E2879">
        <v>62</v>
      </c>
      <c r="F2879" s="1">
        <v>44574</v>
      </c>
      <c r="G2879" t="str">
        <f>IF(COUNTIFS(Table1_3[Country],Table1_3[[#This Row],[Country]],Table1_3[Product],Table1_3[[#This Row],[Product]],Table1_3[Sales Person],Table1_3[[#This Row],[Sales Person]],Table1_3[Amount],"&lt;=100")&gt;=2,"Contract","Deal")</f>
        <v>Deal</v>
      </c>
    </row>
    <row r="2880" spans="1:7" x14ac:dyDescent="0.3">
      <c r="A2880" t="s">
        <v>29</v>
      </c>
      <c r="B2880" t="s">
        <v>7</v>
      </c>
      <c r="C2880" t="s">
        <v>18</v>
      </c>
      <c r="D2880">
        <v>4866.3900000000003</v>
      </c>
      <c r="E2880">
        <v>65</v>
      </c>
      <c r="F2880" s="1">
        <v>44939</v>
      </c>
      <c r="G2880" t="str">
        <f>IF(COUNTIFS(Table1_3[Country],Table1_3[[#This Row],[Country]],Table1_3[Product],Table1_3[[#This Row],[Product]],Table1_3[Sales Person],Table1_3[[#This Row],[Sales Person]],Table1_3[Amount],"&lt;=100")&gt;=2,"Contract","Deal")</f>
        <v>Deal</v>
      </c>
    </row>
    <row r="2881" spans="1:7" x14ac:dyDescent="0.3">
      <c r="A2881" t="s">
        <v>29</v>
      </c>
      <c r="B2881" t="s">
        <v>7</v>
      </c>
      <c r="C2881" t="s">
        <v>18</v>
      </c>
      <c r="D2881">
        <v>5287.86</v>
      </c>
      <c r="E2881">
        <v>67</v>
      </c>
      <c r="F2881" s="1">
        <v>45304</v>
      </c>
      <c r="G2881" t="str">
        <f>IF(COUNTIFS(Table1_3[Country],Table1_3[[#This Row],[Country]],Table1_3[Product],Table1_3[[#This Row],[Product]],Table1_3[Sales Person],Table1_3[[#This Row],[Sales Person]],Table1_3[Amount],"&lt;=100")&gt;=2,"Contract","Deal")</f>
        <v>Deal</v>
      </c>
    </row>
    <row r="2882" spans="1:7" x14ac:dyDescent="0.3">
      <c r="A2882" t="s">
        <v>29</v>
      </c>
      <c r="B2882" t="s">
        <v>7</v>
      </c>
      <c r="C2882" t="s">
        <v>50</v>
      </c>
      <c r="D2882">
        <v>9345</v>
      </c>
      <c r="E2882">
        <v>133</v>
      </c>
      <c r="F2882" s="1">
        <v>44776</v>
      </c>
      <c r="G2882" t="str">
        <f>IF(COUNTIFS(Table1_3[Country],Table1_3[[#This Row],[Country]],Table1_3[Product],Table1_3[[#This Row],[Product]],Table1_3[Sales Person],Table1_3[[#This Row],[Sales Person]],Table1_3[Amount],"&lt;=100")&gt;=2,"Contract","Deal")</f>
        <v>Deal</v>
      </c>
    </row>
    <row r="2883" spans="1:7" x14ac:dyDescent="0.3">
      <c r="A2883" t="s">
        <v>29</v>
      </c>
      <c r="B2883" t="s">
        <v>7</v>
      </c>
      <c r="C2883" t="s">
        <v>50</v>
      </c>
      <c r="D2883">
        <v>9896.7999999999993</v>
      </c>
      <c r="E2883">
        <v>143</v>
      </c>
      <c r="F2883" s="1">
        <v>45141</v>
      </c>
      <c r="G2883" t="str">
        <f>IF(COUNTIFS(Table1_3[Country],Table1_3[[#This Row],[Country]],Table1_3[Product],Table1_3[[#This Row],[Product]],Table1_3[Sales Person],Table1_3[[#This Row],[Sales Person]],Table1_3[Amount],"&lt;=100")&gt;=2,"Contract","Deal")</f>
        <v>Deal</v>
      </c>
    </row>
    <row r="2884" spans="1:7" x14ac:dyDescent="0.3">
      <c r="A2884" t="s">
        <v>29</v>
      </c>
      <c r="B2884" t="s">
        <v>7</v>
      </c>
      <c r="C2884" t="s">
        <v>50</v>
      </c>
      <c r="D2884">
        <v>10001.950000000001</v>
      </c>
      <c r="E2884">
        <v>132</v>
      </c>
      <c r="F2884" s="1">
        <v>45507</v>
      </c>
      <c r="G2884" t="str">
        <f>IF(COUNTIFS(Table1_3[Country],Table1_3[[#This Row],[Country]],Table1_3[Product],Table1_3[[#This Row],[Product]],Table1_3[Sales Person],Table1_3[[#This Row],[Sales Person]],Table1_3[Amount],"&lt;=100")&gt;=2,"Contract","Deal")</f>
        <v>Deal</v>
      </c>
    </row>
    <row r="2885" spans="1:7" x14ac:dyDescent="0.3">
      <c r="A2885" t="s">
        <v>29</v>
      </c>
      <c r="B2885" t="s">
        <v>32</v>
      </c>
      <c r="C2885" t="s">
        <v>87</v>
      </c>
      <c r="D2885">
        <v>2863</v>
      </c>
      <c r="E2885">
        <v>58</v>
      </c>
      <c r="F2885" s="1">
        <v>44721</v>
      </c>
      <c r="G2885" t="str">
        <f>IF(COUNTIFS(Table1_3[Country],Table1_3[[#This Row],[Country]],Table1_3[Product],Table1_3[[#This Row],[Product]],Table1_3[Sales Person],Table1_3[[#This Row],[Sales Person]],Table1_3[Amount],"&lt;=100")&gt;=2,"Contract","Deal")</f>
        <v>Deal</v>
      </c>
    </row>
    <row r="2886" spans="1:7" x14ac:dyDescent="0.3">
      <c r="A2886" t="s">
        <v>29</v>
      </c>
      <c r="B2886" t="s">
        <v>32</v>
      </c>
      <c r="C2886" t="s">
        <v>87</v>
      </c>
      <c r="D2886">
        <v>3136.92</v>
      </c>
      <c r="E2886">
        <v>64</v>
      </c>
      <c r="F2886" s="1">
        <v>45086</v>
      </c>
      <c r="G2886" t="str">
        <f>IF(COUNTIFS(Table1_3[Country],Table1_3[[#This Row],[Country]],Table1_3[Product],Table1_3[[#This Row],[Product]],Table1_3[Sales Person],Table1_3[[#This Row],[Sales Person]],Table1_3[Amount],"&lt;=100")&gt;=2,"Contract","Deal")</f>
        <v>Deal</v>
      </c>
    </row>
    <row r="2887" spans="1:7" x14ac:dyDescent="0.3">
      <c r="A2887" t="s">
        <v>29</v>
      </c>
      <c r="B2887" t="s">
        <v>32</v>
      </c>
      <c r="C2887" t="s">
        <v>87</v>
      </c>
      <c r="D2887">
        <v>3083.39</v>
      </c>
      <c r="E2887">
        <v>55</v>
      </c>
      <c r="F2887" s="1">
        <v>45452</v>
      </c>
      <c r="G2887" t="str">
        <f>IF(COUNTIFS(Table1_3[Country],Table1_3[[#This Row],[Country]],Table1_3[Product],Table1_3[[#This Row],[Product]],Table1_3[Sales Person],Table1_3[[#This Row],[Sales Person]],Table1_3[Amount],"&lt;=100")&gt;=2,"Contract","Deal")</f>
        <v>Deal</v>
      </c>
    </row>
    <row r="2888" spans="1:7" x14ac:dyDescent="0.3">
      <c r="A2888" t="s">
        <v>29</v>
      </c>
      <c r="B2888" t="s">
        <v>32</v>
      </c>
      <c r="C2888" t="s">
        <v>38</v>
      </c>
      <c r="D2888">
        <v>8526</v>
      </c>
      <c r="E2888">
        <v>73</v>
      </c>
      <c r="F2888" s="1">
        <v>44732</v>
      </c>
      <c r="G2888" t="str">
        <f>IF(COUNTIFS(Table1_3[Country],Table1_3[[#This Row],[Country]],Table1_3[Product],Table1_3[[#This Row],[Product]],Table1_3[Sales Person],Table1_3[[#This Row],[Sales Person]],Table1_3[Amount],"&lt;=100")&gt;=2,"Contract","Deal")</f>
        <v>Deal</v>
      </c>
    </row>
    <row r="2889" spans="1:7" x14ac:dyDescent="0.3">
      <c r="A2889" t="s">
        <v>29</v>
      </c>
      <c r="B2889" t="s">
        <v>32</v>
      </c>
      <c r="C2889" t="s">
        <v>38</v>
      </c>
      <c r="D2889">
        <v>9170.09</v>
      </c>
      <c r="E2889">
        <v>79</v>
      </c>
      <c r="F2889" s="1">
        <v>45097</v>
      </c>
      <c r="G2889" t="str">
        <f>IF(COUNTIFS(Table1_3[Country],Table1_3[[#This Row],[Country]],Table1_3[Product],Table1_3[[#This Row],[Product]],Table1_3[Sales Person],Table1_3[[#This Row],[Sales Person]],Table1_3[Amount],"&lt;=100")&gt;=2,"Contract","Deal")</f>
        <v>Deal</v>
      </c>
    </row>
    <row r="2890" spans="1:7" x14ac:dyDescent="0.3">
      <c r="A2890" t="s">
        <v>29</v>
      </c>
      <c r="B2890" t="s">
        <v>32</v>
      </c>
      <c r="C2890" t="s">
        <v>38</v>
      </c>
      <c r="D2890">
        <v>9333.4500000000007</v>
      </c>
      <c r="E2890">
        <v>78</v>
      </c>
      <c r="F2890" s="1">
        <v>45463</v>
      </c>
      <c r="G2890" t="str">
        <f>IF(COUNTIFS(Table1_3[Country],Table1_3[[#This Row],[Country]],Table1_3[Product],Table1_3[[#This Row],[Product]],Table1_3[Sales Person],Table1_3[[#This Row],[Sales Person]],Table1_3[Amount],"&lt;=100")&gt;=2,"Contract","Deal")</f>
        <v>Deal</v>
      </c>
    </row>
    <row r="2891" spans="1:7" x14ac:dyDescent="0.3">
      <c r="A2891" t="s">
        <v>29</v>
      </c>
      <c r="B2891" t="s">
        <v>32</v>
      </c>
      <c r="C2891" t="s">
        <v>57</v>
      </c>
      <c r="D2891">
        <v>2604</v>
      </c>
      <c r="E2891">
        <v>65</v>
      </c>
      <c r="F2891" s="1">
        <v>44579</v>
      </c>
      <c r="G2891" t="str">
        <f>IF(COUNTIFS(Table1_3[Country],Table1_3[[#This Row],[Country]],Table1_3[Product],Table1_3[[#This Row],[Product]],Table1_3[Sales Person],Table1_3[[#This Row],[Sales Person]],Table1_3[Amount],"&lt;=100")&gt;=2,"Contract","Deal")</f>
        <v>Deal</v>
      </c>
    </row>
    <row r="2892" spans="1:7" x14ac:dyDescent="0.3">
      <c r="A2892" t="s">
        <v>29</v>
      </c>
      <c r="B2892" t="s">
        <v>32</v>
      </c>
      <c r="C2892" t="s">
        <v>57</v>
      </c>
      <c r="D2892">
        <v>2737.03</v>
      </c>
      <c r="E2892">
        <v>63</v>
      </c>
      <c r="F2892" s="1">
        <v>44944</v>
      </c>
      <c r="G2892" t="str">
        <f>IF(COUNTIFS(Table1_3[Country],Table1_3[[#This Row],[Country]],Table1_3[Product],Table1_3[[#This Row],[Product]],Table1_3[Sales Person],Table1_3[[#This Row],[Sales Person]],Table1_3[Amount],"&lt;=100")&gt;=2,"Contract","Deal")</f>
        <v>Deal</v>
      </c>
    </row>
    <row r="2893" spans="1:7" x14ac:dyDescent="0.3">
      <c r="A2893" t="s">
        <v>29</v>
      </c>
      <c r="B2893" t="s">
        <v>32</v>
      </c>
      <c r="C2893" t="s">
        <v>57</v>
      </c>
      <c r="D2893">
        <v>2756.63</v>
      </c>
      <c r="E2893">
        <v>66</v>
      </c>
      <c r="F2893" s="1">
        <v>45309</v>
      </c>
      <c r="G2893" t="str">
        <f>IF(COUNTIFS(Table1_3[Country],Table1_3[[#This Row],[Country]],Table1_3[Product],Table1_3[[#This Row],[Product]],Table1_3[Sales Person],Table1_3[[#This Row],[Sales Person]],Table1_3[Amount],"&lt;=100")&gt;=2,"Contract","Deal")</f>
        <v>Deal</v>
      </c>
    </row>
    <row r="2894" spans="1:7" x14ac:dyDescent="0.3">
      <c r="A2894" t="s">
        <v>29</v>
      </c>
      <c r="B2894" t="s">
        <v>32</v>
      </c>
      <c r="C2894" t="s">
        <v>18</v>
      </c>
      <c r="D2894">
        <v>15057</v>
      </c>
      <c r="E2894">
        <v>212</v>
      </c>
      <c r="F2894" s="1">
        <v>44769</v>
      </c>
      <c r="G2894" t="str">
        <f>IF(COUNTIFS(Table1_3[Country],Table1_3[[#This Row],[Country]],Table1_3[Product],Table1_3[[#This Row],[Product]],Table1_3[Sales Person],Table1_3[[#This Row],[Sales Person]],Table1_3[Amount],"&lt;=100")&gt;=2,"Contract","Deal")</f>
        <v>Deal</v>
      </c>
    </row>
    <row r="2895" spans="1:7" x14ac:dyDescent="0.3">
      <c r="A2895" t="s">
        <v>29</v>
      </c>
      <c r="B2895" t="s">
        <v>32</v>
      </c>
      <c r="C2895" t="s">
        <v>18</v>
      </c>
      <c r="D2895">
        <v>15844.58</v>
      </c>
      <c r="E2895">
        <v>232</v>
      </c>
      <c r="F2895" s="1">
        <v>45134</v>
      </c>
      <c r="G2895" t="str">
        <f>IF(COUNTIFS(Table1_3[Country],Table1_3[[#This Row],[Country]],Table1_3[Product],Table1_3[[#This Row],[Product]],Table1_3[Sales Person],Table1_3[[#This Row],[Sales Person]],Table1_3[Amount],"&lt;=100")&gt;=2,"Contract","Deal")</f>
        <v>Deal</v>
      </c>
    </row>
    <row r="2896" spans="1:7" x14ac:dyDescent="0.3">
      <c r="A2896" t="s">
        <v>29</v>
      </c>
      <c r="B2896" t="s">
        <v>32</v>
      </c>
      <c r="C2896" t="s">
        <v>18</v>
      </c>
      <c r="D2896">
        <v>17662.05</v>
      </c>
      <c r="E2896">
        <v>230</v>
      </c>
      <c r="F2896" s="1">
        <v>45500</v>
      </c>
      <c r="G2896" t="str">
        <f>IF(COUNTIFS(Table1_3[Country],Table1_3[[#This Row],[Country]],Table1_3[Product],Table1_3[[#This Row],[Product]],Table1_3[Sales Person],Table1_3[[#This Row],[Sales Person]],Table1_3[Amount],"&lt;=100")&gt;=2,"Contract","Deal")</f>
        <v>Deal</v>
      </c>
    </row>
    <row r="2897" spans="1:7" x14ac:dyDescent="0.3">
      <c r="A2897" t="s">
        <v>29</v>
      </c>
      <c r="B2897" t="s">
        <v>32</v>
      </c>
      <c r="C2897" t="s">
        <v>59</v>
      </c>
      <c r="D2897">
        <v>4704</v>
      </c>
      <c r="E2897">
        <v>126</v>
      </c>
      <c r="F2897" s="1">
        <v>44789</v>
      </c>
      <c r="G2897" t="str">
        <f>IF(COUNTIFS(Table1_3[Country],Table1_3[[#This Row],[Country]],Table1_3[Product],Table1_3[[#This Row],[Product]],Table1_3[Sales Person],Table1_3[[#This Row],[Sales Person]],Table1_3[Amount],"&lt;=100")&gt;=2,"Contract","Deal")</f>
        <v>Deal</v>
      </c>
    </row>
    <row r="2898" spans="1:7" x14ac:dyDescent="0.3">
      <c r="A2898" t="s">
        <v>29</v>
      </c>
      <c r="B2898" t="s">
        <v>32</v>
      </c>
      <c r="C2898" t="s">
        <v>59</v>
      </c>
      <c r="D2898">
        <v>5025.84</v>
      </c>
      <c r="E2898">
        <v>133</v>
      </c>
      <c r="F2898" s="1">
        <v>45154</v>
      </c>
      <c r="G2898" t="str">
        <f>IF(COUNTIFS(Table1_3[Country],Table1_3[[#This Row],[Country]],Table1_3[Product],Table1_3[[#This Row],[Product]],Table1_3[Sales Person],Table1_3[[#This Row],[Sales Person]],Table1_3[Amount],"&lt;=100")&gt;=2,"Contract","Deal")</f>
        <v>Deal</v>
      </c>
    </row>
    <row r="2899" spans="1:7" x14ac:dyDescent="0.3">
      <c r="A2899" t="s">
        <v>29</v>
      </c>
      <c r="B2899" t="s">
        <v>32</v>
      </c>
      <c r="C2899" t="s">
        <v>59</v>
      </c>
      <c r="D2899">
        <v>5520</v>
      </c>
      <c r="E2899">
        <v>120</v>
      </c>
      <c r="F2899" s="1">
        <v>45520</v>
      </c>
      <c r="G2899" t="str">
        <f>IF(COUNTIFS(Table1_3[Country],Table1_3[[#This Row],[Country]],Table1_3[Product],Table1_3[[#This Row],[Product]],Table1_3[Sales Person],Table1_3[[#This Row],[Sales Person]],Table1_3[Amount],"&lt;=100")&gt;=2,"Contract","Deal")</f>
        <v>Deal</v>
      </c>
    </row>
    <row r="2900" spans="1:7" x14ac:dyDescent="0.3">
      <c r="A2900" t="s">
        <v>45</v>
      </c>
      <c r="B2900" t="s">
        <v>15</v>
      </c>
      <c r="C2900" t="s">
        <v>11</v>
      </c>
      <c r="D2900">
        <v>4200</v>
      </c>
      <c r="E2900">
        <v>80</v>
      </c>
      <c r="F2900" s="1">
        <v>44750</v>
      </c>
      <c r="G2900" t="str">
        <f>IF(COUNTIFS(Table1_3[Country],Table1_3[[#This Row],[Country]],Table1_3[Product],Table1_3[[#This Row],[Product]],Table1_3[Sales Person],Table1_3[[#This Row],[Sales Person]],Table1_3[Amount],"&lt;=100")&gt;=2,"Contract","Deal")</f>
        <v>Deal</v>
      </c>
    </row>
    <row r="2901" spans="1:7" x14ac:dyDescent="0.3">
      <c r="A2901" t="s">
        <v>45</v>
      </c>
      <c r="B2901" t="s">
        <v>15</v>
      </c>
      <c r="C2901" t="s">
        <v>11</v>
      </c>
      <c r="D2901">
        <v>4444.72</v>
      </c>
      <c r="E2901">
        <v>77</v>
      </c>
      <c r="F2901" s="1">
        <v>45115</v>
      </c>
      <c r="G2901" t="str">
        <f>IF(COUNTIFS(Table1_3[Country],Table1_3[[#This Row],[Country]],Table1_3[Product],Table1_3[[#This Row],[Product]],Table1_3[Sales Person],Table1_3[[#This Row],[Sales Person]],Table1_3[Amount],"&lt;=100")&gt;=2,"Contract","Deal")</f>
        <v>Deal</v>
      </c>
    </row>
    <row r="2902" spans="1:7" x14ac:dyDescent="0.3">
      <c r="A2902" t="s">
        <v>45</v>
      </c>
      <c r="B2902" t="s">
        <v>15</v>
      </c>
      <c r="C2902" t="s">
        <v>11</v>
      </c>
      <c r="D2902">
        <v>4590</v>
      </c>
      <c r="E2902">
        <v>78</v>
      </c>
      <c r="F2902" s="1">
        <v>45481</v>
      </c>
      <c r="G2902" t="str">
        <f>IF(COUNTIFS(Table1_3[Country],Table1_3[[#This Row],[Country]],Table1_3[Product],Table1_3[[#This Row],[Product]],Table1_3[Sales Person],Table1_3[[#This Row],[Sales Person]],Table1_3[Amount],"&lt;=100")&gt;=2,"Contract","Deal")</f>
        <v>Deal</v>
      </c>
    </row>
    <row r="2903" spans="1:7" x14ac:dyDescent="0.3">
      <c r="A2903" t="s">
        <v>45</v>
      </c>
      <c r="B2903" t="s">
        <v>15</v>
      </c>
      <c r="C2903" t="s">
        <v>65</v>
      </c>
      <c r="D2903">
        <v>4466</v>
      </c>
      <c r="E2903">
        <v>74</v>
      </c>
      <c r="F2903" s="1">
        <v>44736</v>
      </c>
      <c r="G2903" t="str">
        <f>IF(COUNTIFS(Table1_3[Country],Table1_3[[#This Row],[Country]],Table1_3[Product],Table1_3[[#This Row],[Product]],Table1_3[Sales Person],Table1_3[[#This Row],[Sales Person]],Table1_3[Amount],"&lt;=100")&gt;=2,"Contract","Deal")</f>
        <v>Deal</v>
      </c>
    </row>
    <row r="2904" spans="1:7" x14ac:dyDescent="0.3">
      <c r="A2904" t="s">
        <v>45</v>
      </c>
      <c r="B2904" t="s">
        <v>15</v>
      </c>
      <c r="C2904" t="s">
        <v>65</v>
      </c>
      <c r="D2904">
        <v>5032.45</v>
      </c>
      <c r="E2904">
        <v>79</v>
      </c>
      <c r="F2904" s="1">
        <v>45101</v>
      </c>
      <c r="G2904" t="str">
        <f>IF(COUNTIFS(Table1_3[Country],Table1_3[[#This Row],[Country]],Table1_3[Product],Table1_3[[#This Row],[Product]],Table1_3[Sales Person],Table1_3[[#This Row],[Sales Person]],Table1_3[Amount],"&lt;=100")&gt;=2,"Contract","Deal")</f>
        <v>Deal</v>
      </c>
    </row>
    <row r="2905" spans="1:7" x14ac:dyDescent="0.3">
      <c r="A2905" t="s">
        <v>45</v>
      </c>
      <c r="B2905" t="s">
        <v>15</v>
      </c>
      <c r="C2905" t="s">
        <v>65</v>
      </c>
      <c r="D2905">
        <v>4928.3</v>
      </c>
      <c r="E2905">
        <v>71</v>
      </c>
      <c r="F2905" s="1">
        <v>45467</v>
      </c>
      <c r="G2905" t="str">
        <f>IF(COUNTIFS(Table1_3[Country],Table1_3[[#This Row],[Country]],Table1_3[Product],Table1_3[[#This Row],[Product]],Table1_3[Sales Person],Table1_3[[#This Row],[Sales Person]],Table1_3[Amount],"&lt;=100")&gt;=2,"Contract","Deal")</f>
        <v>Deal</v>
      </c>
    </row>
    <row r="2906" spans="1:7" x14ac:dyDescent="0.3">
      <c r="A2906" t="s">
        <v>45</v>
      </c>
      <c r="B2906" t="s">
        <v>15</v>
      </c>
      <c r="C2906" t="s">
        <v>38</v>
      </c>
      <c r="D2906">
        <v>12565</v>
      </c>
      <c r="E2906">
        <v>102</v>
      </c>
      <c r="F2906" s="1">
        <v>44693</v>
      </c>
      <c r="G2906" t="str">
        <f>IF(COUNTIFS(Table1_3[Country],Table1_3[[#This Row],[Country]],Table1_3[Product],Table1_3[[#This Row],[Product]],Table1_3[Sales Person],Table1_3[[#This Row],[Sales Person]],Table1_3[Amount],"&lt;=100")&gt;=2,"Contract","Deal")</f>
        <v>Deal</v>
      </c>
    </row>
    <row r="2907" spans="1:7" x14ac:dyDescent="0.3">
      <c r="A2907" t="s">
        <v>45</v>
      </c>
      <c r="B2907" t="s">
        <v>15</v>
      </c>
      <c r="C2907" t="s">
        <v>38</v>
      </c>
      <c r="D2907">
        <v>13288.65</v>
      </c>
      <c r="E2907">
        <v>112</v>
      </c>
      <c r="F2907" s="1">
        <v>45058</v>
      </c>
      <c r="G2907" t="str">
        <f>IF(COUNTIFS(Table1_3[Country],Table1_3[[#This Row],[Country]],Table1_3[Product],Table1_3[[#This Row],[Product]],Table1_3[Sales Person],Table1_3[[#This Row],[Sales Person]],Table1_3[Amount],"&lt;=100")&gt;=2,"Contract","Deal")</f>
        <v>Deal</v>
      </c>
    </row>
    <row r="2908" spans="1:7" x14ac:dyDescent="0.3">
      <c r="A2908" t="s">
        <v>45</v>
      </c>
      <c r="B2908" t="s">
        <v>15</v>
      </c>
      <c r="C2908" t="s">
        <v>38</v>
      </c>
      <c r="D2908">
        <v>14609.99</v>
      </c>
      <c r="E2908">
        <v>111</v>
      </c>
      <c r="F2908" s="1">
        <v>45424</v>
      </c>
      <c r="G2908" t="str">
        <f>IF(COUNTIFS(Table1_3[Country],Table1_3[[#This Row],[Country]],Table1_3[Product],Table1_3[[#This Row],[Product]],Table1_3[Sales Person],Table1_3[[#This Row],[Sales Person]],Table1_3[Amount],"&lt;=100")&gt;=2,"Contract","Deal")</f>
        <v>Deal</v>
      </c>
    </row>
    <row r="2909" spans="1:7" x14ac:dyDescent="0.3">
      <c r="A2909" t="s">
        <v>45</v>
      </c>
      <c r="B2909" t="s">
        <v>15</v>
      </c>
      <c r="C2909" t="s">
        <v>8</v>
      </c>
      <c r="D2909">
        <v>6797</v>
      </c>
      <c r="E2909">
        <v>252</v>
      </c>
      <c r="F2909" s="1">
        <v>44686</v>
      </c>
      <c r="G2909" t="str">
        <f>IF(COUNTIFS(Table1_3[Country],Table1_3[[#This Row],[Country]],Table1_3[Product],Table1_3[[#This Row],[Product]],Table1_3[Sales Person],Table1_3[[#This Row],[Sales Person]],Table1_3[Amount],"&lt;=100")&gt;=2,"Contract","Deal")</f>
        <v>Deal</v>
      </c>
    </row>
    <row r="2910" spans="1:7" x14ac:dyDescent="0.3">
      <c r="A2910" t="s">
        <v>45</v>
      </c>
      <c r="B2910" t="s">
        <v>15</v>
      </c>
      <c r="C2910" t="s">
        <v>8</v>
      </c>
      <c r="D2910">
        <v>7213.16</v>
      </c>
      <c r="E2910">
        <v>277</v>
      </c>
      <c r="F2910" s="1">
        <v>45051</v>
      </c>
      <c r="G2910" t="str">
        <f>IF(COUNTIFS(Table1_3[Country],Table1_3[[#This Row],[Country]],Table1_3[Product],Table1_3[[#This Row],[Product]],Table1_3[Sales Person],Table1_3[[#This Row],[Sales Person]],Table1_3[Amount],"&lt;=100")&gt;=2,"Contract","Deal")</f>
        <v>Deal</v>
      </c>
    </row>
    <row r="2911" spans="1:7" x14ac:dyDescent="0.3">
      <c r="A2911" t="s">
        <v>45</v>
      </c>
      <c r="B2911" t="s">
        <v>15</v>
      </c>
      <c r="C2911" t="s">
        <v>8</v>
      </c>
      <c r="D2911">
        <v>7189.76</v>
      </c>
      <c r="E2911">
        <v>262</v>
      </c>
      <c r="F2911" s="1">
        <v>45417</v>
      </c>
      <c r="G2911" t="str">
        <f>IF(COUNTIFS(Table1_3[Country],Table1_3[[#This Row],[Country]],Table1_3[Product],Table1_3[[#This Row],[Product]],Table1_3[Sales Person],Table1_3[[#This Row],[Sales Person]],Table1_3[Amount],"&lt;=100")&gt;=2,"Contract","Deal")</f>
        <v>Deal</v>
      </c>
    </row>
    <row r="2912" spans="1:7" x14ac:dyDescent="0.3">
      <c r="A2912" t="s">
        <v>45</v>
      </c>
      <c r="B2912" t="s">
        <v>15</v>
      </c>
      <c r="C2912" t="s">
        <v>42</v>
      </c>
      <c r="D2912">
        <v>3647</v>
      </c>
      <c r="E2912">
        <v>76</v>
      </c>
      <c r="F2912" s="1">
        <v>44746</v>
      </c>
      <c r="G2912" t="str">
        <f>IF(COUNTIFS(Table1_3[Country],Table1_3[[#This Row],[Country]],Table1_3[Product],Table1_3[[#This Row],[Product]],Table1_3[Sales Person],Table1_3[[#This Row],[Sales Person]],Table1_3[Amount],"&lt;=100")&gt;=2,"Contract","Deal")</f>
        <v>Deal</v>
      </c>
    </row>
    <row r="2913" spans="1:7" x14ac:dyDescent="0.3">
      <c r="A2913" t="s">
        <v>45</v>
      </c>
      <c r="B2913" t="s">
        <v>15</v>
      </c>
      <c r="C2913" t="s">
        <v>42</v>
      </c>
      <c r="D2913">
        <v>4111.42</v>
      </c>
      <c r="E2913">
        <v>81</v>
      </c>
      <c r="F2913" s="1">
        <v>45111</v>
      </c>
      <c r="G2913" t="str">
        <f>IF(COUNTIFS(Table1_3[Country],Table1_3[[#This Row],[Country]],Table1_3[Product],Table1_3[[#This Row],[Product]],Table1_3[Sales Person],Table1_3[[#This Row],[Sales Person]],Table1_3[Amount],"&lt;=100")&gt;=2,"Contract","Deal")</f>
        <v>Deal</v>
      </c>
    </row>
    <row r="2914" spans="1:7" x14ac:dyDescent="0.3">
      <c r="A2914" t="s">
        <v>45</v>
      </c>
      <c r="B2914" t="s">
        <v>15</v>
      </c>
      <c r="C2914" t="s">
        <v>42</v>
      </c>
      <c r="D2914">
        <v>4375.45</v>
      </c>
      <c r="E2914">
        <v>79</v>
      </c>
      <c r="F2914" s="1">
        <v>45477</v>
      </c>
      <c r="G2914" t="str">
        <f>IF(COUNTIFS(Table1_3[Country],Table1_3[[#This Row],[Country]],Table1_3[Product],Table1_3[[#This Row],[Product]],Table1_3[Sales Person],Table1_3[[#This Row],[Sales Person]],Table1_3[Amount],"&lt;=100")&gt;=2,"Contract","Deal")</f>
        <v>Deal</v>
      </c>
    </row>
    <row r="2915" spans="1:7" x14ac:dyDescent="0.3">
      <c r="A2915" t="s">
        <v>45</v>
      </c>
      <c r="B2915" t="s">
        <v>35</v>
      </c>
      <c r="C2915" t="s">
        <v>75</v>
      </c>
      <c r="D2915">
        <v>5873</v>
      </c>
      <c r="E2915">
        <v>249</v>
      </c>
      <c r="F2915" s="1">
        <v>44692</v>
      </c>
      <c r="G2915" t="str">
        <f>IF(COUNTIFS(Table1_3[Country],Table1_3[[#This Row],[Country]],Table1_3[Product],Table1_3[[#This Row],[Product]],Table1_3[Sales Person],Table1_3[[#This Row],[Sales Person]],Table1_3[Amount],"&lt;=100")&gt;=2,"Contract","Deal")</f>
        <v>Deal</v>
      </c>
    </row>
    <row r="2916" spans="1:7" x14ac:dyDescent="0.3">
      <c r="A2916" t="s">
        <v>45</v>
      </c>
      <c r="B2916" t="s">
        <v>35</v>
      </c>
      <c r="C2916" t="s">
        <v>75</v>
      </c>
      <c r="D2916">
        <v>5967.18</v>
      </c>
      <c r="E2916">
        <v>247</v>
      </c>
      <c r="F2916" s="1">
        <v>45057</v>
      </c>
      <c r="G2916" t="str">
        <f>IF(COUNTIFS(Table1_3[Country],Table1_3[[#This Row],[Country]],Table1_3[Product],Table1_3[[#This Row],[Product]],Table1_3[Sales Person],Table1_3[[#This Row],[Sales Person]],Table1_3[Amount],"&lt;=100")&gt;=2,"Contract","Deal")</f>
        <v>Deal</v>
      </c>
    </row>
    <row r="2917" spans="1:7" x14ac:dyDescent="0.3">
      <c r="A2917" t="s">
        <v>45</v>
      </c>
      <c r="B2917" t="s">
        <v>35</v>
      </c>
      <c r="C2917" t="s">
        <v>75</v>
      </c>
      <c r="D2917">
        <v>6841.28</v>
      </c>
      <c r="E2917">
        <v>237</v>
      </c>
      <c r="F2917" s="1">
        <v>45423</v>
      </c>
      <c r="G2917" t="str">
        <f>IF(COUNTIFS(Table1_3[Country],Table1_3[[#This Row],[Country]],Table1_3[Product],Table1_3[[#This Row],[Product]],Table1_3[Sales Person],Table1_3[[#This Row],[Sales Person]],Table1_3[Amount],"&lt;=100")&gt;=2,"Contract","Deal")</f>
        <v>Deal</v>
      </c>
    </row>
    <row r="2918" spans="1:7" x14ac:dyDescent="0.3">
      <c r="A2918" t="s">
        <v>45</v>
      </c>
      <c r="B2918" t="s">
        <v>35</v>
      </c>
      <c r="C2918" t="s">
        <v>38</v>
      </c>
      <c r="D2918">
        <v>6776</v>
      </c>
      <c r="E2918">
        <v>312</v>
      </c>
      <c r="F2918" s="1">
        <v>44698</v>
      </c>
      <c r="G2918" t="str">
        <f>IF(COUNTIFS(Table1_3[Country],Table1_3[[#This Row],[Country]],Table1_3[Product],Table1_3[[#This Row],[Product]],Table1_3[Sales Person],Table1_3[[#This Row],[Sales Person]],Table1_3[Amount],"&lt;=100")&gt;=2,"Contract","Deal")</f>
        <v>Deal</v>
      </c>
    </row>
    <row r="2919" spans="1:7" x14ac:dyDescent="0.3">
      <c r="A2919" t="s">
        <v>45</v>
      </c>
      <c r="B2919" t="s">
        <v>35</v>
      </c>
      <c r="C2919" t="s">
        <v>38</v>
      </c>
      <c r="D2919">
        <v>7588.41</v>
      </c>
      <c r="E2919">
        <v>342</v>
      </c>
      <c r="F2919" s="1">
        <v>45063</v>
      </c>
      <c r="G2919" t="str">
        <f>IF(COUNTIFS(Table1_3[Country],Table1_3[[#This Row],[Country]],Table1_3[Product],Table1_3[[#This Row],[Product]],Table1_3[Sales Person],Table1_3[[#This Row],[Sales Person]],Table1_3[Amount],"&lt;=100")&gt;=2,"Contract","Deal")</f>
        <v>Deal</v>
      </c>
    </row>
    <row r="2920" spans="1:7" x14ac:dyDescent="0.3">
      <c r="A2920" t="s">
        <v>45</v>
      </c>
      <c r="B2920" t="s">
        <v>35</v>
      </c>
      <c r="C2920" t="s">
        <v>38</v>
      </c>
      <c r="D2920">
        <v>8196.93</v>
      </c>
      <c r="E2920">
        <v>340</v>
      </c>
      <c r="F2920" s="1">
        <v>45429</v>
      </c>
      <c r="G2920" t="str">
        <f>IF(COUNTIFS(Table1_3[Country],Table1_3[[#This Row],[Country]],Table1_3[Product],Table1_3[[#This Row],[Product]],Table1_3[Sales Person],Table1_3[[#This Row],[Sales Person]],Table1_3[Amount],"&lt;=100")&gt;=2,"Contract","Deal")</f>
        <v>Deal</v>
      </c>
    </row>
    <row r="2921" spans="1:7" x14ac:dyDescent="0.3">
      <c r="A2921" t="s">
        <v>45</v>
      </c>
      <c r="B2921" t="s">
        <v>35</v>
      </c>
      <c r="C2921" t="s">
        <v>36</v>
      </c>
      <c r="D2921">
        <v>6237</v>
      </c>
      <c r="E2921">
        <v>88</v>
      </c>
      <c r="F2921" s="1">
        <v>44628</v>
      </c>
      <c r="G2921" t="str">
        <f>IF(COUNTIFS(Table1_3[Country],Table1_3[[#This Row],[Country]],Table1_3[Product],Table1_3[[#This Row],[Product]],Table1_3[Sales Person],Table1_3[[#This Row],[Sales Person]],Table1_3[Amount],"&lt;=100")&gt;=2,"Contract","Deal")</f>
        <v>Deal</v>
      </c>
    </row>
    <row r="2922" spans="1:7" x14ac:dyDescent="0.3">
      <c r="A2922" t="s">
        <v>45</v>
      </c>
      <c r="B2922" t="s">
        <v>35</v>
      </c>
      <c r="C2922" t="s">
        <v>36</v>
      </c>
      <c r="D2922">
        <v>7082.03</v>
      </c>
      <c r="E2922">
        <v>95</v>
      </c>
      <c r="F2922" s="1">
        <v>44993</v>
      </c>
      <c r="G2922" t="str">
        <f>IF(COUNTIFS(Table1_3[Country],Table1_3[[#This Row],[Country]],Table1_3[Product],Table1_3[[#This Row],[Product]],Table1_3[Sales Person],Table1_3[[#This Row],[Sales Person]],Table1_3[Amount],"&lt;=100")&gt;=2,"Contract","Deal")</f>
        <v>Deal</v>
      </c>
    </row>
    <row r="2923" spans="1:7" x14ac:dyDescent="0.3">
      <c r="A2923" t="s">
        <v>45</v>
      </c>
      <c r="B2923" t="s">
        <v>35</v>
      </c>
      <c r="C2923" t="s">
        <v>36</v>
      </c>
      <c r="D2923">
        <v>7026.54</v>
      </c>
      <c r="E2923">
        <v>95</v>
      </c>
      <c r="F2923" s="1">
        <v>45359</v>
      </c>
      <c r="G2923" t="str">
        <f>IF(COUNTIFS(Table1_3[Country],Table1_3[[#This Row],[Country]],Table1_3[Product],Table1_3[[#This Row],[Product]],Table1_3[Sales Person],Table1_3[[#This Row],[Sales Person]],Table1_3[Amount],"&lt;=100")&gt;=2,"Contract","Deal")</f>
        <v>Deal</v>
      </c>
    </row>
    <row r="2924" spans="1:7" x14ac:dyDescent="0.3">
      <c r="A2924" t="s">
        <v>45</v>
      </c>
      <c r="B2924" t="s">
        <v>35</v>
      </c>
      <c r="C2924" t="s">
        <v>46</v>
      </c>
      <c r="D2924">
        <v>609</v>
      </c>
      <c r="E2924">
        <v>32</v>
      </c>
      <c r="F2924" s="1">
        <v>44755</v>
      </c>
      <c r="G2924" t="str">
        <f>IF(COUNTIFS(Table1_3[Country],Table1_3[[#This Row],[Country]],Table1_3[Product],Table1_3[[#This Row],[Product]],Table1_3[Sales Person],Table1_3[[#This Row],[Sales Person]],Table1_3[Amount],"&lt;=100")&gt;=2,"Contract","Deal")</f>
        <v>Deal</v>
      </c>
    </row>
    <row r="2925" spans="1:7" x14ac:dyDescent="0.3">
      <c r="A2925" t="s">
        <v>45</v>
      </c>
      <c r="B2925" t="s">
        <v>35</v>
      </c>
      <c r="C2925" t="s">
        <v>46</v>
      </c>
      <c r="D2925">
        <v>679.94</v>
      </c>
      <c r="E2925">
        <v>34</v>
      </c>
      <c r="F2925" s="1">
        <v>45120</v>
      </c>
      <c r="G2925" t="str">
        <f>IF(COUNTIFS(Table1_3[Country],Table1_3[[#This Row],[Country]],Table1_3[Product],Table1_3[[#This Row],[Product]],Table1_3[Sales Person],Table1_3[[#This Row],[Sales Person]],Table1_3[Amount],"&lt;=100")&gt;=2,"Contract","Deal")</f>
        <v>Deal</v>
      </c>
    </row>
    <row r="2926" spans="1:7" x14ac:dyDescent="0.3">
      <c r="A2926" t="s">
        <v>45</v>
      </c>
      <c r="B2926" t="s">
        <v>35</v>
      </c>
      <c r="C2926" t="s">
        <v>46</v>
      </c>
      <c r="D2926">
        <v>723.37</v>
      </c>
      <c r="E2926">
        <v>33</v>
      </c>
      <c r="F2926" s="1">
        <v>45486</v>
      </c>
      <c r="G2926" t="str">
        <f>IF(COUNTIFS(Table1_3[Country],Table1_3[[#This Row],[Country]],Table1_3[Product],Table1_3[[#This Row],[Product]],Table1_3[Sales Person],Table1_3[[#This Row],[Sales Person]],Table1_3[Amount],"&lt;=100")&gt;=2,"Contract","Deal")</f>
        <v>Deal</v>
      </c>
    </row>
    <row r="2927" spans="1:7" x14ac:dyDescent="0.3">
      <c r="A2927" t="s">
        <v>45</v>
      </c>
      <c r="B2927" t="s">
        <v>35</v>
      </c>
      <c r="C2927" t="s">
        <v>33</v>
      </c>
      <c r="D2927">
        <v>8148</v>
      </c>
      <c r="E2927">
        <v>85</v>
      </c>
      <c r="F2927" s="1">
        <v>44601</v>
      </c>
      <c r="G2927" t="str">
        <f>IF(COUNTIFS(Table1_3[Country],Table1_3[[#This Row],[Country]],Table1_3[Product],Table1_3[[#This Row],[Product]],Table1_3[Sales Person],Table1_3[[#This Row],[Sales Person]],Table1_3[Amount],"&lt;=100")&gt;=2,"Contract","Deal")</f>
        <v>Deal</v>
      </c>
    </row>
    <row r="2928" spans="1:7" x14ac:dyDescent="0.3">
      <c r="A2928" t="s">
        <v>45</v>
      </c>
      <c r="B2928" t="s">
        <v>35</v>
      </c>
      <c r="C2928" t="s">
        <v>33</v>
      </c>
      <c r="D2928">
        <v>9315.64</v>
      </c>
      <c r="E2928">
        <v>88</v>
      </c>
      <c r="F2928" s="1">
        <v>44966</v>
      </c>
      <c r="G2928" t="str">
        <f>IF(COUNTIFS(Table1_3[Country],Table1_3[[#This Row],[Country]],Table1_3[Product],Table1_3[[#This Row],[Product]],Table1_3[Sales Person],Table1_3[[#This Row],[Sales Person]],Table1_3[Amount],"&lt;=100")&gt;=2,"Contract","Deal")</f>
        <v>Deal</v>
      </c>
    </row>
    <row r="2929" spans="1:7" x14ac:dyDescent="0.3">
      <c r="A2929" t="s">
        <v>45</v>
      </c>
      <c r="B2929" t="s">
        <v>35</v>
      </c>
      <c r="C2929" t="s">
        <v>33</v>
      </c>
      <c r="D2929">
        <v>9460.5</v>
      </c>
      <c r="E2929">
        <v>84</v>
      </c>
      <c r="F2929" s="1">
        <v>45331</v>
      </c>
      <c r="G2929" t="str">
        <f>IF(COUNTIFS(Table1_3[Country],Table1_3[[#This Row],[Country]],Table1_3[Product],Table1_3[[#This Row],[Product]],Table1_3[Sales Person],Table1_3[[#This Row],[Sales Person]],Table1_3[Amount],"&lt;=100")&gt;=2,"Contract","Deal")</f>
        <v>Deal</v>
      </c>
    </row>
    <row r="2930" spans="1:7" x14ac:dyDescent="0.3">
      <c r="A2930" t="s">
        <v>45</v>
      </c>
      <c r="B2930" t="s">
        <v>35</v>
      </c>
      <c r="C2930" t="s">
        <v>42</v>
      </c>
      <c r="D2930">
        <v>4032</v>
      </c>
      <c r="E2930">
        <v>82</v>
      </c>
      <c r="F2930" s="1">
        <v>44571</v>
      </c>
      <c r="G2930" t="str">
        <f>IF(COUNTIFS(Table1_3[Country],Table1_3[[#This Row],[Country]],Table1_3[Product],Table1_3[[#This Row],[Product]],Table1_3[Sales Person],Table1_3[[#This Row],[Sales Person]],Table1_3[Amount],"&lt;=100")&gt;=2,"Contract","Deal")</f>
        <v>Deal</v>
      </c>
    </row>
    <row r="2931" spans="1:7" x14ac:dyDescent="0.3">
      <c r="A2931" t="s">
        <v>45</v>
      </c>
      <c r="B2931" t="s">
        <v>35</v>
      </c>
      <c r="C2931" t="s">
        <v>42</v>
      </c>
      <c r="D2931">
        <v>4265.4799999999996</v>
      </c>
      <c r="E2931">
        <v>85</v>
      </c>
      <c r="F2931" s="1">
        <v>44936</v>
      </c>
      <c r="G2931" t="str">
        <f>IF(COUNTIFS(Table1_3[Country],Table1_3[[#This Row],[Country]],Table1_3[Product],Table1_3[[#This Row],[Product]],Table1_3[Sales Person],Table1_3[[#This Row],[Sales Person]],Table1_3[Amount],"&lt;=100")&gt;=2,"Contract","Deal")</f>
        <v>Deal</v>
      </c>
    </row>
    <row r="2932" spans="1:7" x14ac:dyDescent="0.3">
      <c r="A2932" t="s">
        <v>45</v>
      </c>
      <c r="B2932" t="s">
        <v>35</v>
      </c>
      <c r="C2932" t="s">
        <v>42</v>
      </c>
      <c r="D2932">
        <v>4790.71</v>
      </c>
      <c r="E2932">
        <v>86</v>
      </c>
      <c r="F2932" s="1">
        <v>45301</v>
      </c>
      <c r="G2932" t="str">
        <f>IF(COUNTIFS(Table1_3[Country],Table1_3[[#This Row],[Country]],Table1_3[Product],Table1_3[[#This Row],[Product]],Table1_3[Sales Person],Table1_3[[#This Row],[Sales Person]],Table1_3[Amount],"&lt;=100")&gt;=2,"Contract","Deal")</f>
        <v>Deal</v>
      </c>
    </row>
    <row r="2933" spans="1:7" x14ac:dyDescent="0.3">
      <c r="A2933" t="s">
        <v>45</v>
      </c>
      <c r="B2933" t="s">
        <v>35</v>
      </c>
      <c r="C2933" t="s">
        <v>18</v>
      </c>
      <c r="D2933">
        <v>9338</v>
      </c>
      <c r="E2933">
        <v>11</v>
      </c>
      <c r="F2933" s="1">
        <v>44627</v>
      </c>
      <c r="G2933" t="str">
        <f>IF(COUNTIFS(Table1_3[Country],Table1_3[[#This Row],[Country]],Table1_3[Product],Table1_3[[#This Row],[Product]],Table1_3[Sales Person],Table1_3[[#This Row],[Sales Person]],Table1_3[Amount],"&lt;=100")&gt;=2,"Contract","Deal")</f>
        <v>Deal</v>
      </c>
    </row>
    <row r="2934" spans="1:7" x14ac:dyDescent="0.3">
      <c r="A2934" t="s">
        <v>45</v>
      </c>
      <c r="B2934" t="s">
        <v>35</v>
      </c>
      <c r="C2934" t="s">
        <v>18</v>
      </c>
      <c r="D2934">
        <v>9902.0300000000007</v>
      </c>
      <c r="E2934">
        <v>12</v>
      </c>
      <c r="F2934" s="1">
        <v>44992</v>
      </c>
      <c r="G2934" t="str">
        <f>IF(COUNTIFS(Table1_3[Country],Table1_3[[#This Row],[Country]],Table1_3[Product],Table1_3[[#This Row],[Product]],Table1_3[Sales Person],Table1_3[[#This Row],[Sales Person]],Table1_3[Amount],"&lt;=100")&gt;=2,"Contract","Deal")</f>
        <v>Deal</v>
      </c>
    </row>
    <row r="2935" spans="1:7" x14ac:dyDescent="0.3">
      <c r="A2935" t="s">
        <v>45</v>
      </c>
      <c r="B2935" t="s">
        <v>35</v>
      </c>
      <c r="C2935" t="s">
        <v>18</v>
      </c>
      <c r="D2935">
        <v>10712.76</v>
      </c>
      <c r="E2935">
        <v>11</v>
      </c>
      <c r="F2935" s="1">
        <v>45358</v>
      </c>
      <c r="G2935" t="str">
        <f>IF(COUNTIFS(Table1_3[Country],Table1_3[[#This Row],[Country]],Table1_3[Product],Table1_3[[#This Row],[Product]],Table1_3[Sales Person],Table1_3[[#This Row],[Sales Person]],Table1_3[Amount],"&lt;=100")&gt;=2,"Contract","Deal")</f>
        <v>Deal</v>
      </c>
    </row>
    <row r="2936" spans="1:7" x14ac:dyDescent="0.3">
      <c r="A2936" t="s">
        <v>45</v>
      </c>
      <c r="B2936" t="s">
        <v>35</v>
      </c>
      <c r="C2936" t="s">
        <v>50</v>
      </c>
      <c r="D2936">
        <v>1652</v>
      </c>
      <c r="E2936">
        <v>186</v>
      </c>
      <c r="F2936" s="1">
        <v>44601</v>
      </c>
      <c r="G2936" t="str">
        <f>IF(COUNTIFS(Table1_3[Country],Table1_3[[#This Row],[Country]],Table1_3[Product],Table1_3[[#This Row],[Product]],Table1_3[Sales Person],Table1_3[[#This Row],[Sales Person]],Table1_3[Amount],"&lt;=100")&gt;=2,"Contract","Deal")</f>
        <v>Deal</v>
      </c>
    </row>
    <row r="2937" spans="1:7" x14ac:dyDescent="0.3">
      <c r="A2937" t="s">
        <v>45</v>
      </c>
      <c r="B2937" t="s">
        <v>35</v>
      </c>
      <c r="C2937" t="s">
        <v>50</v>
      </c>
      <c r="D2937">
        <v>1658.79</v>
      </c>
      <c r="E2937">
        <v>193</v>
      </c>
      <c r="F2937" s="1">
        <v>44966</v>
      </c>
      <c r="G2937" t="str">
        <f>IF(COUNTIFS(Table1_3[Country],Table1_3[[#This Row],[Country]],Table1_3[Product],Table1_3[[#This Row],[Product]],Table1_3[Sales Person],Table1_3[[#This Row],[Sales Person]],Table1_3[Amount],"&lt;=100")&gt;=2,"Contract","Deal")</f>
        <v>Deal</v>
      </c>
    </row>
    <row r="2938" spans="1:7" x14ac:dyDescent="0.3">
      <c r="A2938" t="s">
        <v>45</v>
      </c>
      <c r="B2938" t="s">
        <v>35</v>
      </c>
      <c r="C2938" t="s">
        <v>50</v>
      </c>
      <c r="D2938">
        <v>1800.27</v>
      </c>
      <c r="E2938">
        <v>191</v>
      </c>
      <c r="F2938" s="1">
        <v>45331</v>
      </c>
      <c r="G2938" t="str">
        <f>IF(COUNTIFS(Table1_3[Country],Table1_3[[#This Row],[Country]],Table1_3[Product],Table1_3[[#This Row],[Product]],Table1_3[Sales Person],Table1_3[[#This Row],[Sales Person]],Table1_3[Amount],"&lt;=100")&gt;=2,"Contract","Deal")</f>
        <v>Deal</v>
      </c>
    </row>
    <row r="2939" spans="1:7" x14ac:dyDescent="0.3">
      <c r="A2939" t="s">
        <v>45</v>
      </c>
      <c r="B2939" t="s">
        <v>35</v>
      </c>
      <c r="C2939" t="s">
        <v>59</v>
      </c>
      <c r="D2939">
        <v>5887</v>
      </c>
      <c r="E2939">
        <v>268</v>
      </c>
      <c r="F2939" s="1">
        <v>44656</v>
      </c>
      <c r="G2939" t="str">
        <f>IF(COUNTIFS(Table1_3[Country],Table1_3[[#This Row],[Country]],Table1_3[Product],Table1_3[[#This Row],[Product]],Table1_3[Sales Person],Table1_3[[#This Row],[Sales Person]],Table1_3[Amount],"&lt;=100")&gt;=2,"Contract","Deal")</f>
        <v>Deal</v>
      </c>
    </row>
    <row r="2940" spans="1:7" x14ac:dyDescent="0.3">
      <c r="A2940" t="s">
        <v>45</v>
      </c>
      <c r="B2940" t="s">
        <v>35</v>
      </c>
      <c r="C2940" t="s">
        <v>59</v>
      </c>
      <c r="D2940">
        <v>6594.09</v>
      </c>
      <c r="E2940">
        <v>270</v>
      </c>
      <c r="F2940" s="1">
        <v>45021</v>
      </c>
      <c r="G2940" t="str">
        <f>IF(COUNTIFS(Table1_3[Country],Table1_3[[#This Row],[Country]],Table1_3[Product],Table1_3[[#This Row],[Product]],Table1_3[Sales Person],Table1_3[[#This Row],[Sales Person]],Table1_3[Amount],"&lt;=100")&gt;=2,"Contract","Deal")</f>
        <v>Deal</v>
      </c>
    </row>
    <row r="2941" spans="1:7" x14ac:dyDescent="0.3">
      <c r="A2941" t="s">
        <v>45</v>
      </c>
      <c r="B2941" t="s">
        <v>35</v>
      </c>
      <c r="C2941" t="s">
        <v>59</v>
      </c>
      <c r="D2941">
        <v>6948.79</v>
      </c>
      <c r="E2941">
        <v>292</v>
      </c>
      <c r="F2941" s="1">
        <v>45387</v>
      </c>
      <c r="G2941" t="str">
        <f>IF(COUNTIFS(Table1_3[Country],Table1_3[[#This Row],[Country]],Table1_3[Product],Table1_3[[#This Row],[Product]],Table1_3[Sales Person],Table1_3[[#This Row],[Sales Person]],Table1_3[Amount],"&lt;=100")&gt;=2,"Contract","Deal")</f>
        <v>Deal</v>
      </c>
    </row>
    <row r="2942" spans="1:7" x14ac:dyDescent="0.3">
      <c r="A2942" t="s">
        <v>45</v>
      </c>
      <c r="B2942" t="s">
        <v>10</v>
      </c>
      <c r="C2942" t="s">
        <v>26</v>
      </c>
      <c r="D2942">
        <v>8337</v>
      </c>
      <c r="E2942">
        <v>12</v>
      </c>
      <c r="F2942" s="1">
        <v>44634</v>
      </c>
      <c r="G2942" t="str">
        <f>IF(COUNTIFS(Table1_3[Country],Table1_3[[#This Row],[Country]],Table1_3[Product],Table1_3[[#This Row],[Product]],Table1_3[Sales Person],Table1_3[[#This Row],[Sales Person]],Table1_3[Amount],"&lt;=100")&gt;=2,"Contract","Deal")</f>
        <v>Deal</v>
      </c>
    </row>
    <row r="2943" spans="1:7" x14ac:dyDescent="0.3">
      <c r="A2943" t="s">
        <v>45</v>
      </c>
      <c r="B2943" t="s">
        <v>10</v>
      </c>
      <c r="C2943" t="s">
        <v>26</v>
      </c>
      <c r="D2943">
        <v>8744.9500000000007</v>
      </c>
      <c r="E2943">
        <v>12</v>
      </c>
      <c r="F2943" s="1">
        <v>44999</v>
      </c>
      <c r="G2943" t="str">
        <f>IF(COUNTIFS(Table1_3[Country],Table1_3[[#This Row],[Country]],Table1_3[Product],Table1_3[[#This Row],[Product]],Table1_3[Sales Person],Table1_3[[#This Row],[Sales Person]],Table1_3[Amount],"&lt;=100")&gt;=2,"Contract","Deal")</f>
        <v>Deal</v>
      </c>
    </row>
    <row r="2944" spans="1:7" x14ac:dyDescent="0.3">
      <c r="A2944" t="s">
        <v>45</v>
      </c>
      <c r="B2944" t="s">
        <v>10</v>
      </c>
      <c r="C2944" t="s">
        <v>26</v>
      </c>
      <c r="D2944">
        <v>9976.2199999999993</v>
      </c>
      <c r="E2944">
        <v>12</v>
      </c>
      <c r="F2944" s="1">
        <v>45365</v>
      </c>
      <c r="G2944" t="str">
        <f>IF(COUNTIFS(Table1_3[Country],Table1_3[[#This Row],[Country]],Table1_3[Product],Table1_3[[#This Row],[Product]],Table1_3[Sales Person],Table1_3[[#This Row],[Sales Person]],Table1_3[Amount],"&lt;=100")&gt;=2,"Contract","Deal")</f>
        <v>Deal</v>
      </c>
    </row>
    <row r="2945" spans="1:7" x14ac:dyDescent="0.3">
      <c r="A2945" t="s">
        <v>45</v>
      </c>
      <c r="B2945" t="s">
        <v>10</v>
      </c>
      <c r="C2945" t="s">
        <v>23</v>
      </c>
      <c r="D2945">
        <v>2576</v>
      </c>
      <c r="E2945">
        <v>112</v>
      </c>
      <c r="F2945" s="1">
        <v>44734</v>
      </c>
      <c r="G2945" t="str">
        <f>IF(COUNTIFS(Table1_3[Country],Table1_3[[#This Row],[Country]],Table1_3[Product],Table1_3[[#This Row],[Product]],Table1_3[Sales Person],Table1_3[[#This Row],[Sales Person]],Table1_3[Amount],"&lt;=100")&gt;=2,"Contract","Deal")</f>
        <v>Deal</v>
      </c>
    </row>
    <row r="2946" spans="1:7" x14ac:dyDescent="0.3">
      <c r="A2946" t="s">
        <v>45</v>
      </c>
      <c r="B2946" t="s">
        <v>10</v>
      </c>
      <c r="C2946" t="s">
        <v>23</v>
      </c>
      <c r="D2946">
        <v>2690.14</v>
      </c>
      <c r="E2946">
        <v>117</v>
      </c>
      <c r="F2946" s="1">
        <v>45099</v>
      </c>
      <c r="G2946" t="str">
        <f>IF(COUNTIFS(Table1_3[Country],Table1_3[[#This Row],[Country]],Table1_3[Product],Table1_3[[#This Row],[Product]],Table1_3[Sales Person],Table1_3[[#This Row],[Sales Person]],Table1_3[Amount],"&lt;=100")&gt;=2,"Contract","Deal")</f>
        <v>Deal</v>
      </c>
    </row>
    <row r="2947" spans="1:7" x14ac:dyDescent="0.3">
      <c r="A2947" t="s">
        <v>45</v>
      </c>
      <c r="B2947" t="s">
        <v>10</v>
      </c>
      <c r="C2947" t="s">
        <v>23</v>
      </c>
      <c r="D2947">
        <v>3015.47</v>
      </c>
      <c r="E2947">
        <v>115</v>
      </c>
      <c r="F2947" s="1">
        <v>45465</v>
      </c>
      <c r="G2947" t="str">
        <f>IF(COUNTIFS(Table1_3[Country],Table1_3[[#This Row],[Country]],Table1_3[Product],Table1_3[[#This Row],[Product]],Table1_3[Sales Person],Table1_3[[#This Row],[Sales Person]],Table1_3[Amount],"&lt;=100")&gt;=2,"Contract","Deal")</f>
        <v>Deal</v>
      </c>
    </row>
    <row r="2948" spans="1:7" x14ac:dyDescent="0.3">
      <c r="A2948" t="s">
        <v>45</v>
      </c>
      <c r="B2948" t="s">
        <v>10</v>
      </c>
      <c r="C2948" t="s">
        <v>90</v>
      </c>
      <c r="D2948">
        <v>8911</v>
      </c>
      <c r="E2948">
        <v>543</v>
      </c>
      <c r="F2948" s="1">
        <v>44711</v>
      </c>
      <c r="G2948" t="str">
        <f>IF(COUNTIFS(Table1_3[Country],Table1_3[[#This Row],[Country]],Table1_3[Product],Table1_3[[#This Row],[Product]],Table1_3[Sales Person],Table1_3[[#This Row],[Sales Person]],Table1_3[Amount],"&lt;=100")&gt;=2,"Contract","Deal")</f>
        <v>Deal</v>
      </c>
    </row>
    <row r="2949" spans="1:7" x14ac:dyDescent="0.3">
      <c r="A2949" t="s">
        <v>45</v>
      </c>
      <c r="B2949" t="s">
        <v>10</v>
      </c>
      <c r="C2949" t="s">
        <v>90</v>
      </c>
      <c r="D2949">
        <v>9588.0300000000007</v>
      </c>
      <c r="E2949">
        <v>562</v>
      </c>
      <c r="F2949" s="1">
        <v>45076</v>
      </c>
      <c r="G2949" t="str">
        <f>IF(COUNTIFS(Table1_3[Country],Table1_3[[#This Row],[Country]],Table1_3[Product],Table1_3[[#This Row],[Product]],Table1_3[Sales Person],Table1_3[[#This Row],[Sales Person]],Table1_3[Amount],"&lt;=100")&gt;=2,"Contract","Deal")</f>
        <v>Deal</v>
      </c>
    </row>
    <row r="2950" spans="1:7" x14ac:dyDescent="0.3">
      <c r="A2950" t="s">
        <v>45</v>
      </c>
      <c r="B2950" t="s">
        <v>10</v>
      </c>
      <c r="C2950" t="s">
        <v>90</v>
      </c>
      <c r="D2950">
        <v>10139.68</v>
      </c>
      <c r="E2950">
        <v>552</v>
      </c>
      <c r="F2950" s="1">
        <v>45442</v>
      </c>
      <c r="G2950" t="str">
        <f>IF(COUNTIFS(Table1_3[Country],Table1_3[[#This Row],[Country]],Table1_3[Product],Table1_3[[#This Row],[Product]],Table1_3[Sales Person],Table1_3[[#This Row],[Sales Person]],Table1_3[Amount],"&lt;=100")&gt;=2,"Contract","Deal")</f>
        <v>Deal</v>
      </c>
    </row>
    <row r="2951" spans="1:7" x14ac:dyDescent="0.3">
      <c r="A2951" t="s">
        <v>45</v>
      </c>
      <c r="B2951" t="s">
        <v>10</v>
      </c>
      <c r="C2951" t="s">
        <v>38</v>
      </c>
      <c r="D2951">
        <v>4494</v>
      </c>
      <c r="E2951">
        <v>11</v>
      </c>
      <c r="F2951" s="1">
        <v>44712</v>
      </c>
      <c r="G2951" t="str">
        <f>IF(COUNTIFS(Table1_3[Country],Table1_3[[#This Row],[Country]],Table1_3[Product],Table1_3[[#This Row],[Product]],Table1_3[Sales Person],Table1_3[[#This Row],[Sales Person]],Table1_3[Amount],"&lt;=100")&gt;=2,"Contract","Deal")</f>
        <v>Deal</v>
      </c>
    </row>
    <row r="2952" spans="1:7" x14ac:dyDescent="0.3">
      <c r="A2952" t="s">
        <v>45</v>
      </c>
      <c r="B2952" t="s">
        <v>10</v>
      </c>
      <c r="C2952" t="s">
        <v>38</v>
      </c>
      <c r="D2952">
        <v>4591.1099999999997</v>
      </c>
      <c r="E2952">
        <v>11</v>
      </c>
      <c r="F2952" s="1">
        <v>45077</v>
      </c>
      <c r="G2952" t="str">
        <f>IF(COUNTIFS(Table1_3[Country],Table1_3[[#This Row],[Country]],Table1_3[Product],Table1_3[[#This Row],[Product]],Table1_3[Sales Person],Table1_3[[#This Row],[Sales Person]],Table1_3[Amount],"&lt;=100")&gt;=2,"Contract","Deal")</f>
        <v>Deal</v>
      </c>
    </row>
    <row r="2953" spans="1:7" x14ac:dyDescent="0.3">
      <c r="A2953" t="s">
        <v>45</v>
      </c>
      <c r="B2953" t="s">
        <v>10</v>
      </c>
      <c r="C2953" t="s">
        <v>38</v>
      </c>
      <c r="D2953">
        <v>4899.47</v>
      </c>
      <c r="E2953">
        <v>11</v>
      </c>
      <c r="F2953" s="1">
        <v>45443</v>
      </c>
      <c r="G2953" t="str">
        <f>IF(COUNTIFS(Table1_3[Country],Table1_3[[#This Row],[Country]],Table1_3[Product],Table1_3[[#This Row],[Product]],Table1_3[Sales Person],Table1_3[[#This Row],[Sales Person]],Table1_3[Amount],"&lt;=100")&gt;=2,"Contract","Deal")</f>
        <v>Deal</v>
      </c>
    </row>
    <row r="2954" spans="1:7" x14ac:dyDescent="0.3">
      <c r="A2954" t="s">
        <v>45</v>
      </c>
      <c r="B2954" t="s">
        <v>10</v>
      </c>
      <c r="C2954" t="s">
        <v>36</v>
      </c>
      <c r="D2954">
        <v>4382</v>
      </c>
      <c r="E2954">
        <v>303</v>
      </c>
      <c r="F2954" s="1">
        <v>44722</v>
      </c>
      <c r="G2954" t="str">
        <f>IF(COUNTIFS(Table1_3[Country],Table1_3[[#This Row],[Country]],Table1_3[Product],Table1_3[[#This Row],[Product]],Table1_3[Sales Person],Table1_3[[#This Row],[Sales Person]],Table1_3[Amount],"&lt;=100")&gt;=2,"Contract","Deal")</f>
        <v>Deal</v>
      </c>
    </row>
    <row r="2955" spans="1:7" x14ac:dyDescent="0.3">
      <c r="A2955" t="s">
        <v>45</v>
      </c>
      <c r="B2955" t="s">
        <v>10</v>
      </c>
      <c r="C2955" t="s">
        <v>36</v>
      </c>
      <c r="D2955">
        <v>4489.8100000000004</v>
      </c>
      <c r="E2955">
        <v>310</v>
      </c>
      <c r="F2955" s="1">
        <v>45087</v>
      </c>
      <c r="G2955" t="str">
        <f>IF(COUNTIFS(Table1_3[Country],Table1_3[[#This Row],[Country]],Table1_3[Product],Table1_3[[#This Row],[Product]],Table1_3[Sales Person],Table1_3[[#This Row],[Sales Person]],Table1_3[Amount],"&lt;=100")&gt;=2,"Contract","Deal")</f>
        <v>Deal</v>
      </c>
    </row>
    <row r="2956" spans="1:7" x14ac:dyDescent="0.3">
      <c r="A2956" t="s">
        <v>45</v>
      </c>
      <c r="B2956" t="s">
        <v>10</v>
      </c>
      <c r="C2956" t="s">
        <v>36</v>
      </c>
      <c r="D2956">
        <v>4985.8999999999996</v>
      </c>
      <c r="E2956">
        <v>311</v>
      </c>
      <c r="F2956" s="1">
        <v>45453</v>
      </c>
      <c r="G2956" t="str">
        <f>IF(COUNTIFS(Table1_3[Country],Table1_3[[#This Row],[Country]],Table1_3[Product],Table1_3[[#This Row],[Product]],Table1_3[Sales Person],Table1_3[[#This Row],[Sales Person]],Table1_3[Amount],"&lt;=100")&gt;=2,"Contract","Deal")</f>
        <v>Deal</v>
      </c>
    </row>
    <row r="2957" spans="1:7" x14ac:dyDescent="0.3">
      <c r="A2957" t="s">
        <v>45</v>
      </c>
      <c r="B2957" t="s">
        <v>10</v>
      </c>
      <c r="C2957" t="s">
        <v>33</v>
      </c>
      <c r="D2957">
        <v>4053</v>
      </c>
      <c r="E2957">
        <v>19</v>
      </c>
      <c r="F2957" s="1">
        <v>44739</v>
      </c>
      <c r="G2957" t="str">
        <f>IF(COUNTIFS(Table1_3[Country],Table1_3[[#This Row],[Country]],Table1_3[Product],Table1_3[[#This Row],[Product]],Table1_3[Sales Person],Table1_3[[#This Row],[Sales Person]],Table1_3[Amount],"&lt;=100")&gt;=2,"Contract","Deal")</f>
        <v>Deal</v>
      </c>
    </row>
    <row r="2958" spans="1:7" x14ac:dyDescent="0.3">
      <c r="A2958" t="s">
        <v>45</v>
      </c>
      <c r="B2958" t="s">
        <v>10</v>
      </c>
      <c r="C2958" t="s">
        <v>33</v>
      </c>
      <c r="D2958">
        <v>4154.4399999999996</v>
      </c>
      <c r="E2958">
        <v>18</v>
      </c>
      <c r="F2958" s="1">
        <v>45104</v>
      </c>
      <c r="G2958" t="str">
        <f>IF(COUNTIFS(Table1_3[Country],Table1_3[[#This Row],[Country]],Table1_3[Product],Table1_3[[#This Row],[Product]],Table1_3[Sales Person],Table1_3[[#This Row],[Sales Person]],Table1_3[Amount],"&lt;=100")&gt;=2,"Contract","Deal")</f>
        <v>Deal</v>
      </c>
    </row>
    <row r="2959" spans="1:7" x14ac:dyDescent="0.3">
      <c r="A2959" t="s">
        <v>45</v>
      </c>
      <c r="B2959" t="s">
        <v>10</v>
      </c>
      <c r="C2959" t="s">
        <v>33</v>
      </c>
      <c r="D2959">
        <v>4813.53</v>
      </c>
      <c r="E2959">
        <v>19</v>
      </c>
      <c r="F2959" s="1">
        <v>45470</v>
      </c>
      <c r="G2959" t="str">
        <f>IF(COUNTIFS(Table1_3[Country],Table1_3[[#This Row],[Country]],Table1_3[Product],Table1_3[[#This Row],[Product]],Table1_3[Sales Person],Table1_3[[#This Row],[Sales Person]],Table1_3[Amount],"&lt;=100")&gt;=2,"Contract","Deal")</f>
        <v>Deal</v>
      </c>
    </row>
    <row r="2960" spans="1:7" x14ac:dyDescent="0.3">
      <c r="A2960" t="s">
        <v>45</v>
      </c>
      <c r="B2960" t="s">
        <v>10</v>
      </c>
      <c r="C2960" t="s">
        <v>13</v>
      </c>
      <c r="D2960">
        <v>10283</v>
      </c>
      <c r="E2960">
        <v>21</v>
      </c>
      <c r="F2960" s="1">
        <v>44603</v>
      </c>
      <c r="G2960" t="str">
        <f>IF(COUNTIFS(Table1_3[Country],Table1_3[[#This Row],[Country]],Table1_3[Product],Table1_3[[#This Row],[Product]],Table1_3[Sales Person],Table1_3[[#This Row],[Sales Person]],Table1_3[Amount],"&lt;=100")&gt;=2,"Contract","Deal")</f>
        <v>Deal</v>
      </c>
    </row>
    <row r="2961" spans="1:7" x14ac:dyDescent="0.3">
      <c r="A2961" t="s">
        <v>45</v>
      </c>
      <c r="B2961" t="s">
        <v>10</v>
      </c>
      <c r="C2961" t="s">
        <v>13</v>
      </c>
      <c r="D2961">
        <v>11596.89</v>
      </c>
      <c r="E2961">
        <v>22</v>
      </c>
      <c r="F2961" s="1">
        <v>44968</v>
      </c>
      <c r="G2961" t="str">
        <f>IF(COUNTIFS(Table1_3[Country],Table1_3[[#This Row],[Country]],Table1_3[Product],Table1_3[[#This Row],[Product]],Table1_3[Sales Person],Table1_3[[#This Row],[Sales Person]],Table1_3[Amount],"&lt;=100")&gt;=2,"Contract","Deal")</f>
        <v>Deal</v>
      </c>
    </row>
    <row r="2962" spans="1:7" x14ac:dyDescent="0.3">
      <c r="A2962" t="s">
        <v>45</v>
      </c>
      <c r="B2962" t="s">
        <v>10</v>
      </c>
      <c r="C2962" t="s">
        <v>13</v>
      </c>
      <c r="D2962">
        <v>10759.18</v>
      </c>
      <c r="E2962">
        <v>20</v>
      </c>
      <c r="F2962" s="1">
        <v>45333</v>
      </c>
      <c r="G2962" t="str">
        <f>IF(COUNTIFS(Table1_3[Country],Table1_3[[#This Row],[Country]],Table1_3[Product],Table1_3[[#This Row],[Product]],Table1_3[Sales Person],Table1_3[[#This Row],[Sales Person]],Table1_3[Amount],"&lt;=100")&gt;=2,"Contract","Deal")</f>
        <v>Deal</v>
      </c>
    </row>
    <row r="2963" spans="1:7" x14ac:dyDescent="0.3">
      <c r="A2963" t="s">
        <v>45</v>
      </c>
      <c r="B2963" t="s">
        <v>10</v>
      </c>
      <c r="C2963" t="s">
        <v>18</v>
      </c>
      <c r="D2963">
        <v>5103</v>
      </c>
      <c r="E2963">
        <v>140</v>
      </c>
      <c r="F2963" s="1">
        <v>44783</v>
      </c>
      <c r="G2963" t="str">
        <f>IF(COUNTIFS(Table1_3[Country],Table1_3[[#This Row],[Country]],Table1_3[Product],Table1_3[[#This Row],[Product]],Table1_3[Sales Person],Table1_3[[#This Row],[Sales Person]],Table1_3[Amount],"&lt;=100")&gt;=2,"Contract","Deal")</f>
        <v>Deal</v>
      </c>
    </row>
    <row r="2964" spans="1:7" x14ac:dyDescent="0.3">
      <c r="A2964" t="s">
        <v>45</v>
      </c>
      <c r="B2964" t="s">
        <v>10</v>
      </c>
      <c r="C2964" t="s">
        <v>18</v>
      </c>
      <c r="D2964">
        <v>5118.1099999999997</v>
      </c>
      <c r="E2964">
        <v>137</v>
      </c>
      <c r="F2964" s="1">
        <v>45148</v>
      </c>
      <c r="G2964" t="str">
        <f>IF(COUNTIFS(Table1_3[Country],Table1_3[[#This Row],[Country]],Table1_3[Product],Table1_3[[#This Row],[Product]],Table1_3[Sales Person],Table1_3[[#This Row],[Sales Person]],Table1_3[Amount],"&lt;=100")&gt;=2,"Contract","Deal")</f>
        <v>Deal</v>
      </c>
    </row>
    <row r="2965" spans="1:7" x14ac:dyDescent="0.3">
      <c r="A2965" t="s">
        <v>45</v>
      </c>
      <c r="B2965" t="s">
        <v>10</v>
      </c>
      <c r="C2965" t="s">
        <v>18</v>
      </c>
      <c r="D2965">
        <v>6014.3</v>
      </c>
      <c r="E2965">
        <v>141</v>
      </c>
      <c r="F2965" s="1">
        <v>45514</v>
      </c>
      <c r="G2965" t="str">
        <f>IF(COUNTIFS(Table1_3[Country],Table1_3[[#This Row],[Country]],Table1_3[Product],Table1_3[[#This Row],[Product]],Table1_3[Sales Person],Table1_3[[#This Row],[Sales Person]],Table1_3[Amount],"&lt;=100")&gt;=2,"Contract","Deal")</f>
        <v>Deal</v>
      </c>
    </row>
    <row r="2966" spans="1:7" x14ac:dyDescent="0.3">
      <c r="A2966" t="s">
        <v>45</v>
      </c>
      <c r="B2966" t="s">
        <v>10</v>
      </c>
      <c r="C2966" t="s">
        <v>50</v>
      </c>
      <c r="D2966">
        <v>10647</v>
      </c>
      <c r="E2966">
        <v>173</v>
      </c>
      <c r="F2966" s="1">
        <v>44642</v>
      </c>
      <c r="G2966" t="str">
        <f>IF(COUNTIFS(Table1_3[Country],Table1_3[[#This Row],[Country]],Table1_3[Product],Table1_3[[#This Row],[Product]],Table1_3[Sales Person],Table1_3[[#This Row],[Sales Person]],Table1_3[Amount],"&lt;=100")&gt;=2,"Contract","Deal")</f>
        <v>Deal</v>
      </c>
    </row>
    <row r="2967" spans="1:7" x14ac:dyDescent="0.3">
      <c r="A2967" t="s">
        <v>45</v>
      </c>
      <c r="B2967" t="s">
        <v>10</v>
      </c>
      <c r="C2967" t="s">
        <v>50</v>
      </c>
      <c r="D2967">
        <v>11370.32</v>
      </c>
      <c r="E2967">
        <v>170</v>
      </c>
      <c r="F2967" s="1">
        <v>45007</v>
      </c>
      <c r="G2967" t="str">
        <f>IF(COUNTIFS(Table1_3[Country],Table1_3[[#This Row],[Country]],Table1_3[Product],Table1_3[[#This Row],[Product]],Table1_3[Sales Person],Table1_3[[#This Row],[Sales Person]],Table1_3[Amount],"&lt;=100")&gt;=2,"Contract","Deal")</f>
        <v>Deal</v>
      </c>
    </row>
    <row r="2968" spans="1:7" x14ac:dyDescent="0.3">
      <c r="A2968" t="s">
        <v>45</v>
      </c>
      <c r="B2968" t="s">
        <v>10</v>
      </c>
      <c r="C2968" t="s">
        <v>50</v>
      </c>
      <c r="D2968">
        <v>12049.05</v>
      </c>
      <c r="E2968">
        <v>180</v>
      </c>
      <c r="F2968" s="1">
        <v>45373</v>
      </c>
      <c r="G2968" t="str">
        <f>IF(COUNTIFS(Table1_3[Country],Table1_3[[#This Row],[Country]],Table1_3[Product],Table1_3[[#This Row],[Product]],Table1_3[Sales Person],Table1_3[[#This Row],[Sales Person]],Table1_3[Amount],"&lt;=100")&gt;=2,"Contract","Deal")</f>
        <v>Deal</v>
      </c>
    </row>
    <row r="2969" spans="1:7" x14ac:dyDescent="0.3">
      <c r="A2969" t="s">
        <v>45</v>
      </c>
      <c r="B2969" t="s">
        <v>25</v>
      </c>
      <c r="C2969" t="s">
        <v>26</v>
      </c>
      <c r="D2969">
        <v>4312</v>
      </c>
      <c r="E2969">
        <v>211</v>
      </c>
      <c r="F2969" s="1">
        <v>44690</v>
      </c>
      <c r="G2969" t="str">
        <f>IF(COUNTIFS(Table1_3[Country],Table1_3[[#This Row],[Country]],Table1_3[Product],Table1_3[[#This Row],[Product]],Table1_3[Sales Person],Table1_3[[#This Row],[Sales Person]],Table1_3[Amount],"&lt;=100")&gt;=2,"Contract","Deal")</f>
        <v>Deal</v>
      </c>
    </row>
    <row r="2970" spans="1:7" x14ac:dyDescent="0.3">
      <c r="A2970" t="s">
        <v>45</v>
      </c>
      <c r="B2970" t="s">
        <v>25</v>
      </c>
      <c r="C2970" t="s">
        <v>26</v>
      </c>
      <c r="D2970">
        <v>4641.29</v>
      </c>
      <c r="E2970">
        <v>220</v>
      </c>
      <c r="F2970" s="1">
        <v>45055</v>
      </c>
      <c r="G2970" t="str">
        <f>IF(COUNTIFS(Table1_3[Country],Table1_3[[#This Row],[Country]],Table1_3[Product],Table1_3[[#This Row],[Product]],Table1_3[Sales Person],Table1_3[[#This Row],[Sales Person]],Table1_3[Amount],"&lt;=100")&gt;=2,"Contract","Deal")</f>
        <v>Deal</v>
      </c>
    </row>
    <row r="2971" spans="1:7" x14ac:dyDescent="0.3">
      <c r="A2971" t="s">
        <v>45</v>
      </c>
      <c r="B2971" t="s">
        <v>25</v>
      </c>
      <c r="C2971" t="s">
        <v>26</v>
      </c>
      <c r="D2971">
        <v>4624.45</v>
      </c>
      <c r="E2971">
        <v>212</v>
      </c>
      <c r="F2971" s="1">
        <v>45421</v>
      </c>
      <c r="G2971" t="str">
        <f>IF(COUNTIFS(Table1_3[Country],Table1_3[[#This Row],[Country]],Table1_3[Product],Table1_3[[#This Row],[Product]],Table1_3[Sales Person],Table1_3[[#This Row],[Sales Person]],Table1_3[Amount],"&lt;=100")&gt;=2,"Contract","Deal")</f>
        <v>Deal</v>
      </c>
    </row>
    <row r="2972" spans="1:7" x14ac:dyDescent="0.3">
      <c r="A2972" t="s">
        <v>45</v>
      </c>
      <c r="B2972" t="s">
        <v>25</v>
      </c>
      <c r="C2972" t="s">
        <v>11</v>
      </c>
      <c r="D2972">
        <v>4844</v>
      </c>
      <c r="E2972">
        <v>275</v>
      </c>
      <c r="F2972" s="1">
        <v>44665</v>
      </c>
      <c r="G2972" t="str">
        <f>IF(COUNTIFS(Table1_3[Country],Table1_3[[#This Row],[Country]],Table1_3[Product],Table1_3[[#This Row],[Product]],Table1_3[Sales Person],Table1_3[[#This Row],[Sales Person]],Table1_3[Amount],"&lt;=100")&gt;=2,"Contract","Deal")</f>
        <v>Deal</v>
      </c>
    </row>
    <row r="2973" spans="1:7" x14ac:dyDescent="0.3">
      <c r="A2973" t="s">
        <v>45</v>
      </c>
      <c r="B2973" t="s">
        <v>25</v>
      </c>
      <c r="C2973" t="s">
        <v>11</v>
      </c>
      <c r="D2973">
        <v>5096.21</v>
      </c>
      <c r="E2973">
        <v>284</v>
      </c>
      <c r="F2973" s="1">
        <v>45030</v>
      </c>
      <c r="G2973" t="str">
        <f>IF(COUNTIFS(Table1_3[Country],Table1_3[[#This Row],[Country]],Table1_3[Product],Table1_3[[#This Row],[Product]],Table1_3[Sales Person],Table1_3[[#This Row],[Sales Person]],Table1_3[Amount],"&lt;=100")&gt;=2,"Contract","Deal")</f>
        <v>Deal</v>
      </c>
    </row>
    <row r="2974" spans="1:7" x14ac:dyDescent="0.3">
      <c r="A2974" t="s">
        <v>45</v>
      </c>
      <c r="B2974" t="s">
        <v>25</v>
      </c>
      <c r="C2974" t="s">
        <v>11</v>
      </c>
      <c r="D2974">
        <v>5220.8</v>
      </c>
      <c r="E2974">
        <v>267</v>
      </c>
      <c r="F2974" s="1">
        <v>45396</v>
      </c>
      <c r="G2974" t="str">
        <f>IF(COUNTIFS(Table1_3[Country],Table1_3[[#This Row],[Country]],Table1_3[Product],Table1_3[[#This Row],[Product]],Table1_3[Sales Person],Table1_3[[#This Row],[Sales Person]],Table1_3[Amount],"&lt;=100")&gt;=2,"Contract","Deal")</f>
        <v>Deal</v>
      </c>
    </row>
    <row r="2975" spans="1:7" x14ac:dyDescent="0.3">
      <c r="A2975" t="s">
        <v>45</v>
      </c>
      <c r="B2975" t="s">
        <v>25</v>
      </c>
      <c r="C2975" t="s">
        <v>20</v>
      </c>
      <c r="D2975">
        <v>7483</v>
      </c>
      <c r="E2975">
        <v>183</v>
      </c>
      <c r="F2975" s="1">
        <v>44669</v>
      </c>
      <c r="G2975" t="str">
        <f>IF(COUNTIFS(Table1_3[Country],Table1_3[[#This Row],[Country]],Table1_3[Product],Table1_3[[#This Row],[Product]],Table1_3[Sales Person],Table1_3[[#This Row],[Sales Person]],Table1_3[Amount],"&lt;=100")&gt;=2,"Contract","Deal")</f>
        <v>Deal</v>
      </c>
    </row>
    <row r="2976" spans="1:7" x14ac:dyDescent="0.3">
      <c r="A2976" t="s">
        <v>45</v>
      </c>
      <c r="B2976" t="s">
        <v>25</v>
      </c>
      <c r="C2976" t="s">
        <v>20</v>
      </c>
      <c r="D2976">
        <v>8610.3799999999992</v>
      </c>
      <c r="E2976">
        <v>188</v>
      </c>
      <c r="F2976" s="1">
        <v>45034</v>
      </c>
      <c r="G2976" t="str">
        <f>IF(COUNTIFS(Table1_3[Country],Table1_3[[#This Row],[Country]],Table1_3[Product],Table1_3[[#This Row],[Product]],Table1_3[Sales Person],Table1_3[[#This Row],[Sales Person]],Table1_3[Amount],"&lt;=100")&gt;=2,"Contract","Deal")</f>
        <v>Deal</v>
      </c>
    </row>
    <row r="2977" spans="1:7" x14ac:dyDescent="0.3">
      <c r="A2977" t="s">
        <v>45</v>
      </c>
      <c r="B2977" t="s">
        <v>25</v>
      </c>
      <c r="C2977" t="s">
        <v>20</v>
      </c>
      <c r="D2977">
        <v>8905.5300000000007</v>
      </c>
      <c r="E2977">
        <v>201</v>
      </c>
      <c r="F2977" s="1">
        <v>45400</v>
      </c>
      <c r="G2977" t="str">
        <f>IF(COUNTIFS(Table1_3[Country],Table1_3[[#This Row],[Country]],Table1_3[Product],Table1_3[[#This Row],[Product]],Table1_3[Sales Person],Table1_3[[#This Row],[Sales Person]],Table1_3[Amount],"&lt;=100")&gt;=2,"Contract","Deal")</f>
        <v>Deal</v>
      </c>
    </row>
    <row r="2978" spans="1:7" x14ac:dyDescent="0.3">
      <c r="A2978" t="s">
        <v>45</v>
      </c>
      <c r="B2978" t="s">
        <v>25</v>
      </c>
      <c r="C2978" t="s">
        <v>23</v>
      </c>
      <c r="D2978">
        <v>8001</v>
      </c>
      <c r="E2978">
        <v>10</v>
      </c>
      <c r="F2978" s="1">
        <v>44706</v>
      </c>
      <c r="G2978" t="str">
        <f>IF(COUNTIFS(Table1_3[Country],Table1_3[[#This Row],[Country]],Table1_3[Product],Table1_3[[#This Row],[Product]],Table1_3[Sales Person],Table1_3[[#This Row],[Sales Person]],Table1_3[Amount],"&lt;=100")&gt;=2,"Contract","Deal")</f>
        <v>Deal</v>
      </c>
    </row>
    <row r="2979" spans="1:7" x14ac:dyDescent="0.3">
      <c r="A2979" t="s">
        <v>45</v>
      </c>
      <c r="B2979" t="s">
        <v>25</v>
      </c>
      <c r="C2979" t="s">
        <v>23</v>
      </c>
      <c r="D2979">
        <v>8766.4500000000007</v>
      </c>
      <c r="E2979">
        <v>10</v>
      </c>
      <c r="F2979" s="1">
        <v>45071</v>
      </c>
      <c r="G2979" t="str">
        <f>IF(COUNTIFS(Table1_3[Country],Table1_3[[#This Row],[Country]],Table1_3[Product],Table1_3[[#This Row],[Product]],Table1_3[Sales Person],Table1_3[[#This Row],[Sales Person]],Table1_3[Amount],"&lt;=100")&gt;=2,"Contract","Deal")</f>
        <v>Deal</v>
      </c>
    </row>
    <row r="2980" spans="1:7" x14ac:dyDescent="0.3">
      <c r="A2980" t="s">
        <v>45</v>
      </c>
      <c r="B2980" t="s">
        <v>25</v>
      </c>
      <c r="C2980" t="s">
        <v>23</v>
      </c>
      <c r="D2980">
        <v>9317.33</v>
      </c>
      <c r="E2980">
        <v>11</v>
      </c>
      <c r="F2980" s="1">
        <v>45437</v>
      </c>
      <c r="G2980" t="str">
        <f>IF(COUNTIFS(Table1_3[Country],Table1_3[[#This Row],[Country]],Table1_3[Product],Table1_3[[#This Row],[Product]],Table1_3[Sales Person],Table1_3[[#This Row],[Sales Person]],Table1_3[Amount],"&lt;=100")&gt;=2,"Contract","Deal")</f>
        <v>Deal</v>
      </c>
    </row>
    <row r="2981" spans="1:7" x14ac:dyDescent="0.3">
      <c r="A2981" t="s">
        <v>45</v>
      </c>
      <c r="B2981" t="s">
        <v>25</v>
      </c>
      <c r="C2981" t="s">
        <v>65</v>
      </c>
      <c r="D2981">
        <v>2723</v>
      </c>
      <c r="E2981">
        <v>67</v>
      </c>
      <c r="F2981" s="1">
        <v>44648</v>
      </c>
      <c r="G2981" t="str">
        <f>IF(COUNTIFS(Table1_3[Country],Table1_3[[#This Row],[Country]],Table1_3[Product],Table1_3[[#This Row],[Product]],Table1_3[Sales Person],Table1_3[[#This Row],[Sales Person]],Table1_3[Amount],"&lt;=100")&gt;=2,"Contract","Deal")</f>
        <v>Deal</v>
      </c>
    </row>
    <row r="2982" spans="1:7" x14ac:dyDescent="0.3">
      <c r="A2982" t="s">
        <v>45</v>
      </c>
      <c r="B2982" t="s">
        <v>25</v>
      </c>
      <c r="C2982" t="s">
        <v>65</v>
      </c>
      <c r="D2982">
        <v>2721.46</v>
      </c>
      <c r="E2982">
        <v>72</v>
      </c>
      <c r="F2982" s="1">
        <v>45013</v>
      </c>
      <c r="G2982" t="str">
        <f>IF(COUNTIFS(Table1_3[Country],Table1_3[[#This Row],[Country]],Table1_3[Product],Table1_3[[#This Row],[Product]],Table1_3[Sales Person],Table1_3[[#This Row],[Sales Person]],Table1_3[Amount],"&lt;=100")&gt;=2,"Contract","Deal")</f>
        <v>Deal</v>
      </c>
    </row>
    <row r="2983" spans="1:7" x14ac:dyDescent="0.3">
      <c r="A2983" t="s">
        <v>45</v>
      </c>
      <c r="B2983" t="s">
        <v>25</v>
      </c>
      <c r="C2983" t="s">
        <v>65</v>
      </c>
      <c r="D2983">
        <v>2930.46</v>
      </c>
      <c r="E2983">
        <v>70</v>
      </c>
      <c r="F2983" s="1">
        <v>45379</v>
      </c>
      <c r="G2983" t="str">
        <f>IF(COUNTIFS(Table1_3[Country],Table1_3[[#This Row],[Country]],Table1_3[Product],Table1_3[[#This Row],[Product]],Table1_3[Sales Person],Table1_3[[#This Row],[Sales Person]],Table1_3[Amount],"&lt;=100")&gt;=2,"Contract","Deal")</f>
        <v>Deal</v>
      </c>
    </row>
    <row r="2984" spans="1:7" x14ac:dyDescent="0.3">
      <c r="A2984" t="s">
        <v>45</v>
      </c>
      <c r="B2984" t="s">
        <v>25</v>
      </c>
      <c r="C2984" t="s">
        <v>87</v>
      </c>
      <c r="D2984">
        <v>5313</v>
      </c>
      <c r="E2984">
        <v>215</v>
      </c>
      <c r="F2984" s="1">
        <v>44614</v>
      </c>
      <c r="G2984" t="str">
        <f>IF(COUNTIFS(Table1_3[Country],Table1_3[[#This Row],[Country]],Table1_3[Product],Table1_3[[#This Row],[Product]],Table1_3[Sales Person],Table1_3[[#This Row],[Sales Person]],Table1_3[Amount],"&lt;=100")&gt;=2,"Contract","Deal")</f>
        <v>Deal</v>
      </c>
    </row>
    <row r="2985" spans="1:7" x14ac:dyDescent="0.3">
      <c r="A2985" t="s">
        <v>45</v>
      </c>
      <c r="B2985" t="s">
        <v>25</v>
      </c>
      <c r="C2985" t="s">
        <v>87</v>
      </c>
      <c r="D2985">
        <v>5912.59</v>
      </c>
      <c r="E2985">
        <v>232</v>
      </c>
      <c r="F2985" s="1">
        <v>44979</v>
      </c>
      <c r="G2985" t="str">
        <f>IF(COUNTIFS(Table1_3[Country],Table1_3[[#This Row],[Country]],Table1_3[Product],Table1_3[[#This Row],[Product]],Table1_3[Sales Person],Table1_3[[#This Row],[Sales Person]],Table1_3[Amount],"&lt;=100")&gt;=2,"Contract","Deal")</f>
        <v>Deal</v>
      </c>
    </row>
    <row r="2986" spans="1:7" x14ac:dyDescent="0.3">
      <c r="A2986" t="s">
        <v>45</v>
      </c>
      <c r="B2986" t="s">
        <v>25</v>
      </c>
      <c r="C2986" t="s">
        <v>87</v>
      </c>
      <c r="D2986">
        <v>5954.47</v>
      </c>
      <c r="E2986">
        <v>236</v>
      </c>
      <c r="F2986" s="1">
        <v>45344</v>
      </c>
      <c r="G2986" t="str">
        <f>IF(COUNTIFS(Table1_3[Country],Table1_3[[#This Row],[Country]],Table1_3[Product],Table1_3[[#This Row],[Product]],Table1_3[Sales Person],Table1_3[[#This Row],[Sales Person]],Table1_3[Amount],"&lt;=100")&gt;=2,"Contract","Deal")</f>
        <v>Deal</v>
      </c>
    </row>
    <row r="2987" spans="1:7" x14ac:dyDescent="0.3">
      <c r="A2987" t="s">
        <v>45</v>
      </c>
      <c r="B2987" t="s">
        <v>25</v>
      </c>
      <c r="C2987" t="s">
        <v>46</v>
      </c>
      <c r="D2987">
        <v>5446</v>
      </c>
      <c r="E2987">
        <v>116</v>
      </c>
      <c r="F2987" s="1">
        <v>44622</v>
      </c>
      <c r="G2987" t="str">
        <f>IF(COUNTIFS(Table1_3[Country],Table1_3[[#This Row],[Country]],Table1_3[Product],Table1_3[[#This Row],[Product]],Table1_3[Sales Person],Table1_3[[#This Row],[Sales Person]],Table1_3[Amount],"&lt;=100")&gt;=2,"Contract","Deal")</f>
        <v>Deal</v>
      </c>
    </row>
    <row r="2988" spans="1:7" x14ac:dyDescent="0.3">
      <c r="A2988" t="s">
        <v>45</v>
      </c>
      <c r="B2988" t="s">
        <v>25</v>
      </c>
      <c r="C2988" t="s">
        <v>46</v>
      </c>
      <c r="D2988">
        <v>5857.9</v>
      </c>
      <c r="E2988">
        <v>111</v>
      </c>
      <c r="F2988" s="1">
        <v>44987</v>
      </c>
      <c r="G2988" t="str">
        <f>IF(COUNTIFS(Table1_3[Country],Table1_3[[#This Row],[Country]],Table1_3[Product],Table1_3[[#This Row],[Product]],Table1_3[Sales Person],Table1_3[[#This Row],[Sales Person]],Table1_3[Amount],"&lt;=100")&gt;=2,"Contract","Deal")</f>
        <v>Deal</v>
      </c>
    </row>
    <row r="2989" spans="1:7" x14ac:dyDescent="0.3">
      <c r="A2989" t="s">
        <v>45</v>
      </c>
      <c r="B2989" t="s">
        <v>25</v>
      </c>
      <c r="C2989" t="s">
        <v>46</v>
      </c>
      <c r="D2989">
        <v>6250.42</v>
      </c>
      <c r="E2989">
        <v>111</v>
      </c>
      <c r="F2989" s="1">
        <v>45353</v>
      </c>
      <c r="G2989" t="str">
        <f>IF(COUNTIFS(Table1_3[Country],Table1_3[[#This Row],[Country]],Table1_3[Product],Table1_3[[#This Row],[Product]],Table1_3[Sales Person],Table1_3[[#This Row],[Sales Person]],Table1_3[Amount],"&lt;=100")&gt;=2,"Contract","Deal")</f>
        <v>Deal</v>
      </c>
    </row>
    <row r="2990" spans="1:7" x14ac:dyDescent="0.3">
      <c r="A2990" t="s">
        <v>45</v>
      </c>
      <c r="B2990" t="s">
        <v>25</v>
      </c>
      <c r="C2990" t="s">
        <v>33</v>
      </c>
      <c r="D2990">
        <v>49</v>
      </c>
      <c r="E2990">
        <v>97</v>
      </c>
      <c r="F2990" s="1">
        <v>44652</v>
      </c>
      <c r="G2990" t="str">
        <f>IF(COUNTIFS(Table1_3[Country],Table1_3[[#This Row],[Country]],Table1_3[Product],Table1_3[[#This Row],[Product]],Table1_3[Sales Person],Table1_3[[#This Row],[Sales Person]],Table1_3[Amount],"&lt;=100")&gt;=2,"Contract","Deal")</f>
        <v>Contract</v>
      </c>
    </row>
    <row r="2991" spans="1:7" x14ac:dyDescent="0.3">
      <c r="A2991" t="s">
        <v>45</v>
      </c>
      <c r="B2991" t="s">
        <v>25</v>
      </c>
      <c r="C2991" t="s">
        <v>33</v>
      </c>
      <c r="D2991">
        <v>51.29</v>
      </c>
      <c r="E2991">
        <v>100</v>
      </c>
      <c r="F2991" s="1">
        <v>45017</v>
      </c>
      <c r="G2991" t="str">
        <f>IF(COUNTIFS(Table1_3[Country],Table1_3[[#This Row],[Country]],Table1_3[Product],Table1_3[[#This Row],[Product]],Table1_3[Sales Person],Table1_3[[#This Row],[Sales Person]],Table1_3[Amount],"&lt;=100")&gt;=2,"Contract","Deal")</f>
        <v>Contract</v>
      </c>
    </row>
    <row r="2992" spans="1:7" x14ac:dyDescent="0.3">
      <c r="A2992" t="s">
        <v>45</v>
      </c>
      <c r="B2992" t="s">
        <v>25</v>
      </c>
      <c r="C2992" t="s">
        <v>33</v>
      </c>
      <c r="D2992">
        <v>51.98</v>
      </c>
      <c r="E2992">
        <v>95</v>
      </c>
      <c r="F2992" s="1">
        <v>45383</v>
      </c>
      <c r="G2992" t="str">
        <f>IF(COUNTIFS(Table1_3[Country],Table1_3[[#This Row],[Country]],Table1_3[Product],Table1_3[[#This Row],[Product]],Table1_3[Sales Person],Table1_3[[#This Row],[Sales Person]],Table1_3[Amount],"&lt;=100")&gt;=2,"Contract","Deal")</f>
        <v>Contract</v>
      </c>
    </row>
    <row r="2993" spans="1:7" x14ac:dyDescent="0.3">
      <c r="A2993" t="s">
        <v>45</v>
      </c>
      <c r="B2993" t="s">
        <v>7</v>
      </c>
      <c r="C2993" t="s">
        <v>100</v>
      </c>
      <c r="D2993">
        <v>1421</v>
      </c>
      <c r="E2993">
        <v>284</v>
      </c>
      <c r="F2993" s="1">
        <v>44644</v>
      </c>
      <c r="G2993" t="str">
        <f>IF(COUNTIFS(Table1_3[Country],Table1_3[[#This Row],[Country]],Table1_3[Product],Table1_3[[#This Row],[Product]],Table1_3[Sales Person],Table1_3[[#This Row],[Sales Person]],Table1_3[Amount],"&lt;=100")&gt;=2,"Contract","Deal")</f>
        <v>Deal</v>
      </c>
    </row>
    <row r="2994" spans="1:7" x14ac:dyDescent="0.3">
      <c r="A2994" t="s">
        <v>45</v>
      </c>
      <c r="B2994" t="s">
        <v>7</v>
      </c>
      <c r="C2994" t="s">
        <v>100</v>
      </c>
      <c r="D2994">
        <v>1606.49</v>
      </c>
      <c r="E2994">
        <v>305</v>
      </c>
      <c r="F2994" s="1">
        <v>45009</v>
      </c>
      <c r="G2994" t="str">
        <f>IF(COUNTIFS(Table1_3[Country],Table1_3[[#This Row],[Country]],Table1_3[Product],Table1_3[[#This Row],[Product]],Table1_3[Sales Person],Table1_3[[#This Row],[Sales Person]],Table1_3[Amount],"&lt;=100")&gt;=2,"Contract","Deal")</f>
        <v>Deal</v>
      </c>
    </row>
    <row r="2995" spans="1:7" x14ac:dyDescent="0.3">
      <c r="A2995" t="s">
        <v>45</v>
      </c>
      <c r="B2995" t="s">
        <v>7</v>
      </c>
      <c r="C2995" t="s">
        <v>100</v>
      </c>
      <c r="D2995">
        <v>1649.57</v>
      </c>
      <c r="E2995">
        <v>293</v>
      </c>
      <c r="F2995" s="1">
        <v>45375</v>
      </c>
      <c r="G2995" t="str">
        <f>IF(COUNTIFS(Table1_3[Country],Table1_3[[#This Row],[Country]],Table1_3[Product],Table1_3[[#This Row],[Product]],Table1_3[Sales Person],Table1_3[[#This Row],[Sales Person]],Table1_3[Amount],"&lt;=100")&gt;=2,"Contract","Deal")</f>
        <v>Deal</v>
      </c>
    </row>
    <row r="2996" spans="1:7" x14ac:dyDescent="0.3">
      <c r="A2996" t="s">
        <v>45</v>
      </c>
      <c r="B2996" t="s">
        <v>7</v>
      </c>
      <c r="C2996" t="s">
        <v>87</v>
      </c>
      <c r="D2996">
        <v>14028</v>
      </c>
      <c r="E2996">
        <v>351</v>
      </c>
      <c r="F2996" s="1">
        <v>44655</v>
      </c>
      <c r="G2996" t="str">
        <f>IF(COUNTIFS(Table1_3[Country],Table1_3[[#This Row],[Country]],Table1_3[Product],Table1_3[[#This Row],[Product]],Table1_3[Sales Person],Table1_3[[#This Row],[Sales Person]],Table1_3[Amount],"&lt;=100")&gt;=2,"Contract","Deal")</f>
        <v>Deal</v>
      </c>
    </row>
    <row r="2997" spans="1:7" x14ac:dyDescent="0.3">
      <c r="A2997" t="s">
        <v>45</v>
      </c>
      <c r="B2997" t="s">
        <v>7</v>
      </c>
      <c r="C2997" t="s">
        <v>87</v>
      </c>
      <c r="D2997">
        <v>15925.17</v>
      </c>
      <c r="E2997">
        <v>378</v>
      </c>
      <c r="F2997" s="1">
        <v>45020</v>
      </c>
      <c r="G2997" t="str">
        <f>IF(COUNTIFS(Table1_3[Country],Table1_3[[#This Row],[Country]],Table1_3[Product],Table1_3[[#This Row],[Product]],Table1_3[Sales Person],Table1_3[[#This Row],[Sales Person]],Table1_3[Amount],"&lt;=100")&gt;=2,"Contract","Deal")</f>
        <v>Deal</v>
      </c>
    </row>
    <row r="2998" spans="1:7" x14ac:dyDescent="0.3">
      <c r="A2998" t="s">
        <v>45</v>
      </c>
      <c r="B2998" t="s">
        <v>7</v>
      </c>
      <c r="C2998" t="s">
        <v>87</v>
      </c>
      <c r="D2998">
        <v>16517.2</v>
      </c>
      <c r="E2998">
        <v>349</v>
      </c>
      <c r="F2998" s="1">
        <v>45386</v>
      </c>
      <c r="G2998" t="str">
        <f>IF(COUNTIFS(Table1_3[Country],Table1_3[[#This Row],[Country]],Table1_3[Product],Table1_3[[#This Row],[Product]],Table1_3[Sales Person],Table1_3[[#This Row],[Sales Person]],Table1_3[Amount],"&lt;=100")&gt;=2,"Contract","Deal")</f>
        <v>Deal</v>
      </c>
    </row>
    <row r="2999" spans="1:7" x14ac:dyDescent="0.3">
      <c r="A2999" t="s">
        <v>45</v>
      </c>
      <c r="B2999" t="s">
        <v>7</v>
      </c>
      <c r="C2999" t="s">
        <v>13</v>
      </c>
      <c r="D2999">
        <v>5691</v>
      </c>
      <c r="E2999">
        <v>171</v>
      </c>
      <c r="F2999" s="1">
        <v>44790</v>
      </c>
      <c r="G2999" t="str">
        <f>IF(COUNTIFS(Table1_3[Country],Table1_3[[#This Row],[Country]],Table1_3[Product],Table1_3[[#This Row],[Product]],Table1_3[Sales Person],Table1_3[[#This Row],[Sales Person]],Table1_3[Amount],"&lt;=100")&gt;=2,"Contract","Deal")</f>
        <v>Deal</v>
      </c>
    </row>
    <row r="3000" spans="1:7" x14ac:dyDescent="0.3">
      <c r="A3000" t="s">
        <v>45</v>
      </c>
      <c r="B3000" t="s">
        <v>7</v>
      </c>
      <c r="C3000" t="s">
        <v>13</v>
      </c>
      <c r="D3000">
        <v>6052.07</v>
      </c>
      <c r="E3000">
        <v>173</v>
      </c>
      <c r="F3000" s="1">
        <v>45155</v>
      </c>
      <c r="G3000" t="str">
        <f>IF(COUNTIFS(Table1_3[Country],Table1_3[[#This Row],[Country]],Table1_3[Product],Table1_3[[#This Row],[Product]],Table1_3[Sales Person],Table1_3[[#This Row],[Sales Person]],Table1_3[Amount],"&lt;=100")&gt;=2,"Contract","Deal")</f>
        <v>Deal</v>
      </c>
    </row>
    <row r="3001" spans="1:7" x14ac:dyDescent="0.3">
      <c r="A3001" t="s">
        <v>45</v>
      </c>
      <c r="B3001" t="s">
        <v>7</v>
      </c>
      <c r="C3001" t="s">
        <v>13</v>
      </c>
      <c r="D3001">
        <v>6770.35</v>
      </c>
      <c r="E3001">
        <v>173</v>
      </c>
      <c r="F3001" s="1">
        <v>45521</v>
      </c>
      <c r="G3001" t="str">
        <f>IF(COUNTIFS(Table1_3[Country],Table1_3[[#This Row],[Country]],Table1_3[Product],Table1_3[[#This Row],[Product]],Table1_3[Sales Person],Table1_3[[#This Row],[Sales Person]],Table1_3[Amount],"&lt;=100")&gt;=2,"Contract","Deal")</f>
        <v>Deal</v>
      </c>
    </row>
    <row r="3002" spans="1:7" x14ac:dyDescent="0.3">
      <c r="A3002" t="s">
        <v>45</v>
      </c>
      <c r="B3002" t="s">
        <v>7</v>
      </c>
      <c r="C3002" t="s">
        <v>73</v>
      </c>
      <c r="D3002">
        <v>12635</v>
      </c>
      <c r="E3002">
        <v>194</v>
      </c>
      <c r="F3002" s="1">
        <v>44589</v>
      </c>
      <c r="G3002" t="str">
        <f>IF(COUNTIFS(Table1_3[Country],Table1_3[[#This Row],[Country]],Table1_3[Product],Table1_3[[#This Row],[Product]],Table1_3[Sales Person],Table1_3[[#This Row],[Sales Person]],Table1_3[Amount],"&lt;=100")&gt;=2,"Contract","Deal")</f>
        <v>Deal</v>
      </c>
    </row>
    <row r="3003" spans="1:7" x14ac:dyDescent="0.3">
      <c r="A3003" t="s">
        <v>45</v>
      </c>
      <c r="B3003" t="s">
        <v>7</v>
      </c>
      <c r="C3003" t="s">
        <v>73</v>
      </c>
      <c r="D3003">
        <v>13351.42</v>
      </c>
      <c r="E3003">
        <v>198</v>
      </c>
      <c r="F3003" s="1">
        <v>44954</v>
      </c>
      <c r="G3003" t="str">
        <f>IF(COUNTIFS(Table1_3[Country],Table1_3[[#This Row],[Country]],Table1_3[Product],Table1_3[[#This Row],[Product]],Table1_3[Sales Person],Table1_3[[#This Row],[Sales Person]],Table1_3[Amount],"&lt;=100")&gt;=2,"Contract","Deal")</f>
        <v>Deal</v>
      </c>
    </row>
    <row r="3004" spans="1:7" x14ac:dyDescent="0.3">
      <c r="A3004" t="s">
        <v>45</v>
      </c>
      <c r="B3004" t="s">
        <v>7</v>
      </c>
      <c r="C3004" t="s">
        <v>73</v>
      </c>
      <c r="D3004">
        <v>14297.82</v>
      </c>
      <c r="E3004">
        <v>211</v>
      </c>
      <c r="F3004" s="1">
        <v>45319</v>
      </c>
      <c r="G3004" t="str">
        <f>IF(COUNTIFS(Table1_3[Country],Table1_3[[#This Row],[Country]],Table1_3[Product],Table1_3[[#This Row],[Product]],Table1_3[Sales Person],Table1_3[[#This Row],[Sales Person]],Table1_3[Amount],"&lt;=100")&gt;=2,"Contract","Deal")</f>
        <v>Deal</v>
      </c>
    </row>
    <row r="3005" spans="1:7" x14ac:dyDescent="0.3">
      <c r="A3005" t="s">
        <v>45</v>
      </c>
      <c r="B3005" t="s">
        <v>32</v>
      </c>
      <c r="C3005" t="s">
        <v>26</v>
      </c>
      <c r="D3005">
        <v>10458</v>
      </c>
      <c r="E3005">
        <v>316</v>
      </c>
      <c r="F3005" s="1">
        <v>44603</v>
      </c>
      <c r="G3005" t="str">
        <f>IF(COUNTIFS(Table1_3[Country],Table1_3[[#This Row],[Country]],Table1_3[Product],Table1_3[[#This Row],[Product]],Table1_3[Sales Person],Table1_3[[#This Row],[Sales Person]],Table1_3[Amount],"&lt;=100")&gt;=2,"Contract","Deal")</f>
        <v>Deal</v>
      </c>
    </row>
    <row r="3006" spans="1:7" x14ac:dyDescent="0.3">
      <c r="A3006" t="s">
        <v>45</v>
      </c>
      <c r="B3006" t="s">
        <v>32</v>
      </c>
      <c r="C3006" t="s">
        <v>26</v>
      </c>
      <c r="D3006">
        <v>10849.39</v>
      </c>
      <c r="E3006">
        <v>330</v>
      </c>
      <c r="F3006" s="1">
        <v>44968</v>
      </c>
      <c r="G3006" t="str">
        <f>IF(COUNTIFS(Table1_3[Country],Table1_3[[#This Row],[Country]],Table1_3[Product],Table1_3[[#This Row],[Product]],Table1_3[Sales Person],Table1_3[[#This Row],[Sales Person]],Table1_3[Amount],"&lt;=100")&gt;=2,"Contract","Deal")</f>
        <v>Deal</v>
      </c>
    </row>
    <row r="3007" spans="1:7" x14ac:dyDescent="0.3">
      <c r="A3007" t="s">
        <v>45</v>
      </c>
      <c r="B3007" t="s">
        <v>32</v>
      </c>
      <c r="C3007" t="s">
        <v>26</v>
      </c>
      <c r="D3007">
        <v>11667.94</v>
      </c>
      <c r="E3007">
        <v>306</v>
      </c>
      <c r="F3007" s="1">
        <v>45333</v>
      </c>
      <c r="G3007" t="str">
        <f>IF(COUNTIFS(Table1_3[Country],Table1_3[[#This Row],[Country]],Table1_3[Product],Table1_3[[#This Row],[Product]],Table1_3[Sales Person],Table1_3[[#This Row],[Sales Person]],Table1_3[Amount],"&lt;=100")&gt;=2,"Contract","Deal")</f>
        <v>Deal</v>
      </c>
    </row>
    <row r="3008" spans="1:7" x14ac:dyDescent="0.3">
      <c r="A3008" t="s">
        <v>45</v>
      </c>
      <c r="B3008" t="s">
        <v>32</v>
      </c>
      <c r="C3008" t="s">
        <v>38</v>
      </c>
      <c r="D3008">
        <v>3003</v>
      </c>
      <c r="E3008">
        <v>155</v>
      </c>
      <c r="F3008" s="1">
        <v>44613</v>
      </c>
      <c r="G3008" t="str">
        <f>IF(COUNTIFS(Table1_3[Country],Table1_3[[#This Row],[Country]],Table1_3[Product],Table1_3[[#This Row],[Product]],Table1_3[Sales Person],Table1_3[[#This Row],[Sales Person]],Table1_3[Amount],"&lt;=100")&gt;=2,"Contract","Deal")</f>
        <v>Deal</v>
      </c>
    </row>
    <row r="3009" spans="1:7" x14ac:dyDescent="0.3">
      <c r="A3009" t="s">
        <v>45</v>
      </c>
      <c r="B3009" t="s">
        <v>32</v>
      </c>
      <c r="C3009" t="s">
        <v>38</v>
      </c>
      <c r="D3009">
        <v>3288.77</v>
      </c>
      <c r="E3009">
        <v>148</v>
      </c>
      <c r="F3009" s="1">
        <v>44978</v>
      </c>
      <c r="G3009" t="str">
        <f>IF(COUNTIFS(Table1_3[Country],Table1_3[[#This Row],[Country]],Table1_3[Product],Table1_3[[#This Row],[Product]],Table1_3[Sales Person],Table1_3[[#This Row],[Sales Person]],Table1_3[Amount],"&lt;=100")&gt;=2,"Contract","Deal")</f>
        <v>Deal</v>
      </c>
    </row>
    <row r="3010" spans="1:7" x14ac:dyDescent="0.3">
      <c r="A3010" t="s">
        <v>45</v>
      </c>
      <c r="B3010" t="s">
        <v>32</v>
      </c>
      <c r="C3010" t="s">
        <v>38</v>
      </c>
      <c r="D3010">
        <v>3389</v>
      </c>
      <c r="E3010">
        <v>160</v>
      </c>
      <c r="F3010" s="1">
        <v>45343</v>
      </c>
      <c r="G3010" t="str">
        <f>IF(COUNTIFS(Table1_3[Country],Table1_3[[#This Row],[Country]],Table1_3[Product],Table1_3[[#This Row],[Product]],Table1_3[Sales Person],Table1_3[[#This Row],[Sales Person]],Table1_3[Amount],"&lt;=100")&gt;=2,"Contract","Deal")</f>
        <v>Deal</v>
      </c>
    </row>
    <row r="3011" spans="1:7" x14ac:dyDescent="0.3">
      <c r="A3011" t="s">
        <v>45</v>
      </c>
      <c r="B3011" t="s">
        <v>32</v>
      </c>
      <c r="C3011" t="s">
        <v>36</v>
      </c>
      <c r="D3011">
        <v>3990</v>
      </c>
      <c r="E3011">
        <v>155</v>
      </c>
      <c r="F3011" s="1">
        <v>44676</v>
      </c>
      <c r="G3011" t="str">
        <f>IF(COUNTIFS(Table1_3[Country],Table1_3[[#This Row],[Country]],Table1_3[Product],Table1_3[[#This Row],[Product]],Table1_3[Sales Person],Table1_3[[#This Row],[Sales Person]],Table1_3[Amount],"&lt;=100")&gt;=2,"Contract","Deal")</f>
        <v>Deal</v>
      </c>
    </row>
    <row r="3012" spans="1:7" x14ac:dyDescent="0.3">
      <c r="A3012" t="s">
        <v>45</v>
      </c>
      <c r="B3012" t="s">
        <v>32</v>
      </c>
      <c r="C3012" t="s">
        <v>36</v>
      </c>
      <c r="D3012">
        <v>4164.1000000000004</v>
      </c>
      <c r="E3012">
        <v>167</v>
      </c>
      <c r="F3012" s="1">
        <v>45041</v>
      </c>
      <c r="G3012" t="str">
        <f>IF(COUNTIFS(Table1_3[Country],Table1_3[[#This Row],[Country]],Table1_3[Product],Table1_3[[#This Row],[Product]],Table1_3[Sales Person],Table1_3[[#This Row],[Sales Person]],Table1_3[Amount],"&lt;=100")&gt;=2,"Contract","Deal")</f>
        <v>Deal</v>
      </c>
    </row>
    <row r="3013" spans="1:7" x14ac:dyDescent="0.3">
      <c r="A3013" t="s">
        <v>45</v>
      </c>
      <c r="B3013" t="s">
        <v>32</v>
      </c>
      <c r="C3013" t="s">
        <v>36</v>
      </c>
      <c r="D3013">
        <v>4812.71</v>
      </c>
      <c r="E3013">
        <v>169</v>
      </c>
      <c r="F3013" s="1">
        <v>45407</v>
      </c>
      <c r="G3013" t="str">
        <f>IF(COUNTIFS(Table1_3[Country],Table1_3[[#This Row],[Country]],Table1_3[Product],Table1_3[[#This Row],[Product]],Table1_3[Sales Person],Table1_3[[#This Row],[Sales Person]],Table1_3[Amount],"&lt;=100")&gt;=2,"Contract","Deal")</f>
        <v>Deal</v>
      </c>
    </row>
    <row r="3014" spans="1:7" x14ac:dyDescent="0.3">
      <c r="A3014" t="s">
        <v>45</v>
      </c>
      <c r="B3014" t="s">
        <v>32</v>
      </c>
      <c r="C3014" t="s">
        <v>57</v>
      </c>
      <c r="D3014">
        <v>5509</v>
      </c>
      <c r="E3014">
        <v>24</v>
      </c>
      <c r="F3014" s="1">
        <v>44726</v>
      </c>
      <c r="G3014" t="str">
        <f>IF(COUNTIFS(Table1_3[Country],Table1_3[[#This Row],[Country]],Table1_3[Product],Table1_3[[#This Row],[Product]],Table1_3[Sales Person],Table1_3[[#This Row],[Sales Person]],Table1_3[Amount],"&lt;=100")&gt;=2,"Contract","Deal")</f>
        <v>Deal</v>
      </c>
    </row>
    <row r="3015" spans="1:7" x14ac:dyDescent="0.3">
      <c r="A3015" t="s">
        <v>45</v>
      </c>
      <c r="B3015" t="s">
        <v>32</v>
      </c>
      <c r="C3015" t="s">
        <v>57</v>
      </c>
      <c r="D3015">
        <v>6082.19</v>
      </c>
      <c r="E3015">
        <v>23</v>
      </c>
      <c r="F3015" s="1">
        <v>45091</v>
      </c>
      <c r="G3015" t="str">
        <f>IF(COUNTIFS(Table1_3[Country],Table1_3[[#This Row],[Country]],Table1_3[Product],Table1_3[[#This Row],[Product]],Table1_3[Sales Person],Table1_3[[#This Row],[Sales Person]],Table1_3[Amount],"&lt;=100")&gt;=2,"Contract","Deal")</f>
        <v>Deal</v>
      </c>
    </row>
    <row r="3016" spans="1:7" x14ac:dyDescent="0.3">
      <c r="A3016" t="s">
        <v>45</v>
      </c>
      <c r="B3016" t="s">
        <v>32</v>
      </c>
      <c r="C3016" t="s">
        <v>57</v>
      </c>
      <c r="D3016">
        <v>6322.14</v>
      </c>
      <c r="E3016">
        <v>26</v>
      </c>
      <c r="F3016" s="1">
        <v>45457</v>
      </c>
      <c r="G3016" t="str">
        <f>IF(COUNTIFS(Table1_3[Country],Table1_3[[#This Row],[Country]],Table1_3[Product],Table1_3[[#This Row],[Product]],Table1_3[Sales Person],Table1_3[[#This Row],[Sales Person]],Table1_3[Amount],"&lt;=100")&gt;=2,"Contract","Deal")</f>
        <v>Deal</v>
      </c>
    </row>
    <row r="3017" spans="1:7" x14ac:dyDescent="0.3">
      <c r="A3017" t="s">
        <v>45</v>
      </c>
      <c r="B3017" t="s">
        <v>32</v>
      </c>
      <c r="C3017" t="s">
        <v>60</v>
      </c>
      <c r="D3017">
        <v>9583</v>
      </c>
      <c r="E3017">
        <v>315</v>
      </c>
      <c r="F3017" s="1">
        <v>44764</v>
      </c>
      <c r="G3017" t="str">
        <f>IF(COUNTIFS(Table1_3[Country],Table1_3[[#This Row],[Country]],Table1_3[Product],Table1_3[[#This Row],[Product]],Table1_3[Sales Person],Table1_3[[#This Row],[Sales Person]],Table1_3[Amount],"&lt;=100")&gt;=2,"Contract","Deal")</f>
        <v>Deal</v>
      </c>
    </row>
    <row r="3018" spans="1:7" x14ac:dyDescent="0.3">
      <c r="A3018" t="s">
        <v>45</v>
      </c>
      <c r="B3018" t="s">
        <v>32</v>
      </c>
      <c r="C3018" t="s">
        <v>60</v>
      </c>
      <c r="D3018">
        <v>10959.02</v>
      </c>
      <c r="E3018">
        <v>302</v>
      </c>
      <c r="F3018" s="1">
        <v>45129</v>
      </c>
      <c r="G3018" t="str">
        <f>IF(COUNTIFS(Table1_3[Country],Table1_3[[#This Row],[Country]],Table1_3[Product],Table1_3[[#This Row],[Product]],Table1_3[Sales Person],Table1_3[[#This Row],[Sales Person]],Table1_3[Amount],"&lt;=100")&gt;=2,"Contract","Deal")</f>
        <v>Deal</v>
      </c>
    </row>
    <row r="3019" spans="1:7" x14ac:dyDescent="0.3">
      <c r="A3019" t="s">
        <v>45</v>
      </c>
      <c r="B3019" t="s">
        <v>32</v>
      </c>
      <c r="C3019" t="s">
        <v>60</v>
      </c>
      <c r="D3019">
        <v>10245</v>
      </c>
      <c r="E3019">
        <v>329</v>
      </c>
      <c r="F3019" s="1">
        <v>45495</v>
      </c>
      <c r="G3019" t="str">
        <f>IF(COUNTIFS(Table1_3[Country],Table1_3[[#This Row],[Country]],Table1_3[Product],Table1_3[[#This Row],[Product]],Table1_3[Sales Person],Table1_3[[#This Row],[Sales Person]],Table1_3[Amount],"&lt;=100")&gt;=2,"Contract","Deal")</f>
        <v>Deal</v>
      </c>
    </row>
    <row r="3020" spans="1:7" x14ac:dyDescent="0.3">
      <c r="A3020" t="s">
        <v>45</v>
      </c>
      <c r="B3020" t="s">
        <v>32</v>
      </c>
      <c r="C3020" t="s">
        <v>46</v>
      </c>
      <c r="D3020">
        <v>2807</v>
      </c>
      <c r="E3020">
        <v>252</v>
      </c>
      <c r="F3020" s="1">
        <v>44697</v>
      </c>
      <c r="G3020" t="str">
        <f>IF(COUNTIFS(Table1_3[Country],Table1_3[[#This Row],[Country]],Table1_3[Product],Table1_3[[#This Row],[Product]],Table1_3[Sales Person],Table1_3[[#This Row],[Sales Person]],Table1_3[Amount],"&lt;=100")&gt;=2,"Contract","Deal")</f>
        <v>Deal</v>
      </c>
    </row>
    <row r="3021" spans="1:7" x14ac:dyDescent="0.3">
      <c r="A3021" t="s">
        <v>45</v>
      </c>
      <c r="B3021" t="s">
        <v>32</v>
      </c>
      <c r="C3021" t="s">
        <v>46</v>
      </c>
      <c r="D3021">
        <v>3105.38</v>
      </c>
      <c r="E3021">
        <v>268</v>
      </c>
      <c r="F3021" s="1">
        <v>45062</v>
      </c>
      <c r="G3021" t="str">
        <f>IF(COUNTIFS(Table1_3[Country],Table1_3[[#This Row],[Country]],Table1_3[Product],Table1_3[[#This Row],[Product]],Table1_3[Sales Person],Table1_3[[#This Row],[Sales Person]],Table1_3[Amount],"&lt;=100")&gt;=2,"Contract","Deal")</f>
        <v>Deal</v>
      </c>
    </row>
    <row r="3022" spans="1:7" x14ac:dyDescent="0.3">
      <c r="A3022" t="s">
        <v>45</v>
      </c>
      <c r="B3022" t="s">
        <v>32</v>
      </c>
      <c r="C3022" t="s">
        <v>46</v>
      </c>
      <c r="D3022">
        <v>3034.06</v>
      </c>
      <c r="E3022">
        <v>245</v>
      </c>
      <c r="F3022" s="1">
        <v>45428</v>
      </c>
      <c r="G3022" t="str">
        <f>IF(COUNTIFS(Table1_3[Country],Table1_3[[#This Row],[Country]],Table1_3[Product],Table1_3[[#This Row],[Product]],Table1_3[Sales Person],Table1_3[[#This Row],[Sales Person]],Table1_3[Amount],"&lt;=100")&gt;=2,"Contract","Deal")</f>
        <v>Deal</v>
      </c>
    </row>
    <row r="3023" spans="1:7" x14ac:dyDescent="0.3">
      <c r="A3023" t="s">
        <v>45</v>
      </c>
      <c r="B3023" t="s">
        <v>32</v>
      </c>
      <c r="C3023" t="s">
        <v>13</v>
      </c>
      <c r="D3023">
        <v>1736</v>
      </c>
      <c r="E3023">
        <v>137</v>
      </c>
      <c r="F3023" s="1">
        <v>44617</v>
      </c>
      <c r="G3023" t="str">
        <f>IF(COUNTIFS(Table1_3[Country],Table1_3[[#This Row],[Country]],Table1_3[Product],Table1_3[[#This Row],[Product]],Table1_3[Sales Person],Table1_3[[#This Row],[Sales Person]],Table1_3[Amount],"&lt;=100")&gt;=2,"Contract","Deal")</f>
        <v>Deal</v>
      </c>
    </row>
    <row r="3024" spans="1:7" x14ac:dyDescent="0.3">
      <c r="A3024" t="s">
        <v>45</v>
      </c>
      <c r="B3024" t="s">
        <v>32</v>
      </c>
      <c r="C3024" t="s">
        <v>13</v>
      </c>
      <c r="D3024">
        <v>1733.09</v>
      </c>
      <c r="E3024">
        <v>135</v>
      </c>
      <c r="F3024" s="1">
        <v>44982</v>
      </c>
      <c r="G3024" t="str">
        <f>IF(COUNTIFS(Table1_3[Country],Table1_3[[#This Row],[Country]],Table1_3[Product],Table1_3[[#This Row],[Product]],Table1_3[Sales Person],Table1_3[[#This Row],[Sales Person]],Table1_3[Amount],"&lt;=100")&gt;=2,"Contract","Deal")</f>
        <v>Deal</v>
      </c>
    </row>
    <row r="3025" spans="1:7" x14ac:dyDescent="0.3">
      <c r="A3025" t="s">
        <v>45</v>
      </c>
      <c r="B3025" t="s">
        <v>32</v>
      </c>
      <c r="C3025" t="s">
        <v>13</v>
      </c>
      <c r="D3025">
        <v>2010.22</v>
      </c>
      <c r="E3025">
        <v>144</v>
      </c>
      <c r="F3025" s="1">
        <v>45347</v>
      </c>
      <c r="G3025" t="str">
        <f>IF(COUNTIFS(Table1_3[Country],Table1_3[[#This Row],[Country]],Table1_3[Product],Table1_3[[#This Row],[Product]],Table1_3[Sales Person],Table1_3[[#This Row],[Sales Person]],Table1_3[Amount],"&lt;=100")&gt;=2,"Contract","Deal")</f>
        <v>Deal</v>
      </c>
    </row>
    <row r="3026" spans="1:7" x14ac:dyDescent="0.3">
      <c r="A3026" t="s">
        <v>45</v>
      </c>
      <c r="B3026" t="s">
        <v>32</v>
      </c>
      <c r="C3026" t="s">
        <v>18</v>
      </c>
      <c r="D3026">
        <v>3017</v>
      </c>
      <c r="E3026">
        <v>140</v>
      </c>
      <c r="F3026" s="1">
        <v>44656</v>
      </c>
      <c r="G3026" t="str">
        <f>IF(COUNTIFS(Table1_3[Country],Table1_3[[#This Row],[Country]],Table1_3[Product],Table1_3[[#This Row],[Product]],Table1_3[Sales Person],Table1_3[[#This Row],[Sales Person]],Table1_3[Amount],"&lt;=100")&gt;=2,"Contract","Deal")</f>
        <v>Deal</v>
      </c>
    </row>
    <row r="3027" spans="1:7" x14ac:dyDescent="0.3">
      <c r="A3027" t="s">
        <v>45</v>
      </c>
      <c r="B3027" t="s">
        <v>32</v>
      </c>
      <c r="C3027" t="s">
        <v>18</v>
      </c>
      <c r="D3027">
        <v>3041.12</v>
      </c>
      <c r="E3027">
        <v>148</v>
      </c>
      <c r="F3027" s="1">
        <v>45021</v>
      </c>
      <c r="G3027" t="str">
        <f>IF(COUNTIFS(Table1_3[Country],Table1_3[[#This Row],[Country]],Table1_3[Product],Table1_3[[#This Row],[Product]],Table1_3[Sales Person],Table1_3[[#This Row],[Sales Person]],Table1_3[Amount],"&lt;=100")&gt;=2,"Contract","Deal")</f>
        <v>Deal</v>
      </c>
    </row>
    <row r="3028" spans="1:7" x14ac:dyDescent="0.3">
      <c r="A3028" t="s">
        <v>45</v>
      </c>
      <c r="B3028" t="s">
        <v>32</v>
      </c>
      <c r="C3028" t="s">
        <v>18</v>
      </c>
      <c r="D3028">
        <v>3175.11</v>
      </c>
      <c r="E3028">
        <v>149</v>
      </c>
      <c r="F3028" s="1">
        <v>45387</v>
      </c>
      <c r="G3028" t="str">
        <f>IF(COUNTIFS(Table1_3[Country],Table1_3[[#This Row],[Country]],Table1_3[Product],Table1_3[[#This Row],[Product]],Table1_3[Sales Person],Table1_3[[#This Row],[Sales Person]],Table1_3[Amount],"&lt;=100")&gt;=2,"Contract","Deal")</f>
        <v>Deal</v>
      </c>
    </row>
    <row r="3029" spans="1:7" x14ac:dyDescent="0.3">
      <c r="A3029" t="s">
        <v>9</v>
      </c>
      <c r="B3029" t="s">
        <v>15</v>
      </c>
      <c r="C3029" t="s">
        <v>26</v>
      </c>
      <c r="D3029">
        <v>644</v>
      </c>
      <c r="E3029">
        <v>137</v>
      </c>
      <c r="F3029" s="1">
        <v>44755</v>
      </c>
      <c r="G3029" t="str">
        <f>IF(COUNTIFS(Table1_3[Country],Table1_3[[#This Row],[Country]],Table1_3[Product],Table1_3[[#This Row],[Product]],Table1_3[Sales Person],Table1_3[[#This Row],[Sales Person]],Table1_3[Amount],"&lt;=100")&gt;=2,"Contract","Deal")</f>
        <v>Deal</v>
      </c>
    </row>
    <row r="3030" spans="1:7" x14ac:dyDescent="0.3">
      <c r="A3030" t="s">
        <v>9</v>
      </c>
      <c r="B3030" t="s">
        <v>15</v>
      </c>
      <c r="C3030" t="s">
        <v>26</v>
      </c>
      <c r="D3030">
        <v>726.04</v>
      </c>
      <c r="E3030">
        <v>131</v>
      </c>
      <c r="F3030" s="1">
        <v>45120</v>
      </c>
      <c r="G3030" t="str">
        <f>IF(COUNTIFS(Table1_3[Country],Table1_3[[#This Row],[Country]],Table1_3[Product],Table1_3[[#This Row],[Product]],Table1_3[Sales Person],Table1_3[[#This Row],[Sales Person]],Table1_3[Amount],"&lt;=100")&gt;=2,"Contract","Deal")</f>
        <v>Deal</v>
      </c>
    </row>
    <row r="3031" spans="1:7" x14ac:dyDescent="0.3">
      <c r="A3031" t="s">
        <v>9</v>
      </c>
      <c r="B3031" t="s">
        <v>15</v>
      </c>
      <c r="C3031" t="s">
        <v>26</v>
      </c>
      <c r="D3031">
        <v>779.04</v>
      </c>
      <c r="E3031">
        <v>134</v>
      </c>
      <c r="F3031" s="1">
        <v>45486</v>
      </c>
      <c r="G3031" t="str">
        <f>IF(COUNTIFS(Table1_3[Country],Table1_3[[#This Row],[Country]],Table1_3[Product],Table1_3[[#This Row],[Product]],Table1_3[Sales Person],Table1_3[[#This Row],[Sales Person]],Table1_3[Amount],"&lt;=100")&gt;=2,"Contract","Deal")</f>
        <v>Deal</v>
      </c>
    </row>
    <row r="3032" spans="1:7" x14ac:dyDescent="0.3">
      <c r="A3032" t="s">
        <v>9</v>
      </c>
      <c r="B3032" t="s">
        <v>15</v>
      </c>
      <c r="C3032" t="s">
        <v>100</v>
      </c>
      <c r="D3032">
        <v>7063</v>
      </c>
      <c r="E3032">
        <v>104</v>
      </c>
      <c r="F3032" s="1">
        <v>44571</v>
      </c>
      <c r="G3032" t="str">
        <f>IF(COUNTIFS(Table1_3[Country],Table1_3[[#This Row],[Country]],Table1_3[Product],Table1_3[[#This Row],[Product]],Table1_3[Sales Person],Table1_3[[#This Row],[Sales Person]],Table1_3[Amount],"&lt;=100")&gt;=2,"Contract","Deal")</f>
        <v>Deal</v>
      </c>
    </row>
    <row r="3033" spans="1:7" x14ac:dyDescent="0.3">
      <c r="A3033" t="s">
        <v>9</v>
      </c>
      <c r="B3033" t="s">
        <v>15</v>
      </c>
      <c r="C3033" t="s">
        <v>100</v>
      </c>
      <c r="D3033">
        <v>8111.43</v>
      </c>
      <c r="E3033">
        <v>111</v>
      </c>
      <c r="F3033" s="1">
        <v>44936</v>
      </c>
      <c r="G3033" t="str">
        <f>IF(COUNTIFS(Table1_3[Country],Table1_3[[#This Row],[Country]],Table1_3[Product],Table1_3[[#This Row],[Product]],Table1_3[Sales Person],Table1_3[[#This Row],[Sales Person]],Table1_3[Amount],"&lt;=100")&gt;=2,"Contract","Deal")</f>
        <v>Deal</v>
      </c>
    </row>
    <row r="3034" spans="1:7" x14ac:dyDescent="0.3">
      <c r="A3034" t="s">
        <v>9</v>
      </c>
      <c r="B3034" t="s">
        <v>15</v>
      </c>
      <c r="C3034" t="s">
        <v>100</v>
      </c>
      <c r="D3034">
        <v>8260.58</v>
      </c>
      <c r="E3034">
        <v>108</v>
      </c>
      <c r="F3034" s="1">
        <v>45301</v>
      </c>
      <c r="G3034" t="str">
        <f>IF(COUNTIFS(Table1_3[Country],Table1_3[[#This Row],[Country]],Table1_3[Product],Table1_3[[#This Row],[Product]],Table1_3[Sales Person],Table1_3[[#This Row],[Sales Person]],Table1_3[Amount],"&lt;=100")&gt;=2,"Contract","Deal")</f>
        <v>Deal</v>
      </c>
    </row>
    <row r="3035" spans="1:7" x14ac:dyDescent="0.3">
      <c r="A3035" t="s">
        <v>9</v>
      </c>
      <c r="B3035" t="s">
        <v>15</v>
      </c>
      <c r="C3035" t="s">
        <v>20</v>
      </c>
      <c r="D3035">
        <v>112</v>
      </c>
      <c r="E3035">
        <v>128</v>
      </c>
      <c r="F3035" s="1">
        <v>44578</v>
      </c>
      <c r="G3035" t="str">
        <f>IF(COUNTIFS(Table1_3[Country],Table1_3[[#This Row],[Country]],Table1_3[Product],Table1_3[[#This Row],[Product]],Table1_3[Sales Person],Table1_3[[#This Row],[Sales Person]],Table1_3[Amount],"&lt;=100")&gt;=2,"Contract","Deal")</f>
        <v>Deal</v>
      </c>
    </row>
    <row r="3036" spans="1:7" x14ac:dyDescent="0.3">
      <c r="A3036" t="s">
        <v>9</v>
      </c>
      <c r="B3036" t="s">
        <v>15</v>
      </c>
      <c r="C3036" t="s">
        <v>20</v>
      </c>
      <c r="D3036">
        <v>114.96</v>
      </c>
      <c r="E3036">
        <v>132</v>
      </c>
      <c r="F3036" s="1">
        <v>44943</v>
      </c>
      <c r="G3036" t="str">
        <f>IF(COUNTIFS(Table1_3[Country],Table1_3[[#This Row],[Country]],Table1_3[Product],Table1_3[[#This Row],[Product]],Table1_3[Sales Person],Table1_3[[#This Row],[Sales Person]],Table1_3[Amount],"&lt;=100")&gt;=2,"Contract","Deal")</f>
        <v>Deal</v>
      </c>
    </row>
    <row r="3037" spans="1:7" x14ac:dyDescent="0.3">
      <c r="A3037" t="s">
        <v>9</v>
      </c>
      <c r="B3037" t="s">
        <v>15</v>
      </c>
      <c r="C3037" t="s">
        <v>20</v>
      </c>
      <c r="D3037">
        <v>125.37</v>
      </c>
      <c r="E3037">
        <v>138</v>
      </c>
      <c r="F3037" s="1">
        <v>45308</v>
      </c>
      <c r="G3037" t="str">
        <f>IF(COUNTIFS(Table1_3[Country],Table1_3[[#This Row],[Country]],Table1_3[Product],Table1_3[[#This Row],[Product]],Table1_3[Sales Person],Table1_3[[#This Row],[Sales Person]],Table1_3[Amount],"&lt;=100")&gt;=2,"Contract","Deal")</f>
        <v>Deal</v>
      </c>
    </row>
    <row r="3038" spans="1:7" x14ac:dyDescent="0.3">
      <c r="A3038" t="s">
        <v>9</v>
      </c>
      <c r="B3038" t="s">
        <v>15</v>
      </c>
      <c r="C3038" t="s">
        <v>87</v>
      </c>
      <c r="D3038">
        <v>13258</v>
      </c>
      <c r="E3038">
        <v>32</v>
      </c>
      <c r="F3038" s="1">
        <v>44692</v>
      </c>
      <c r="G3038" t="str">
        <f>IF(COUNTIFS(Table1_3[Country],Table1_3[[#This Row],[Country]],Table1_3[Product],Table1_3[[#This Row],[Product]],Table1_3[Sales Person],Table1_3[[#This Row],[Sales Person]],Table1_3[Amount],"&lt;=100")&gt;=2,"Contract","Deal")</f>
        <v>Deal</v>
      </c>
    </row>
    <row r="3039" spans="1:7" x14ac:dyDescent="0.3">
      <c r="A3039" t="s">
        <v>9</v>
      </c>
      <c r="B3039" t="s">
        <v>15</v>
      </c>
      <c r="C3039" t="s">
        <v>87</v>
      </c>
      <c r="D3039">
        <v>13624.31</v>
      </c>
      <c r="E3039">
        <v>33</v>
      </c>
      <c r="F3039" s="1">
        <v>45057</v>
      </c>
      <c r="G3039" t="str">
        <f>IF(COUNTIFS(Table1_3[Country],Table1_3[[#This Row],[Country]],Table1_3[Product],Table1_3[[#This Row],[Product]],Table1_3[Sales Person],Table1_3[[#This Row],[Sales Person]],Table1_3[Amount],"&lt;=100")&gt;=2,"Contract","Deal")</f>
        <v>Deal</v>
      </c>
    </row>
    <row r="3040" spans="1:7" x14ac:dyDescent="0.3">
      <c r="A3040" t="s">
        <v>9</v>
      </c>
      <c r="B3040" t="s">
        <v>15</v>
      </c>
      <c r="C3040" t="s">
        <v>87</v>
      </c>
      <c r="D3040">
        <v>14122.44</v>
      </c>
      <c r="E3040">
        <v>32</v>
      </c>
      <c r="F3040" s="1">
        <v>45423</v>
      </c>
      <c r="G3040" t="str">
        <f>IF(COUNTIFS(Table1_3[Country],Table1_3[[#This Row],[Country]],Table1_3[Product],Table1_3[[#This Row],[Product]],Table1_3[Sales Person],Table1_3[[#This Row],[Sales Person]],Table1_3[Amount],"&lt;=100")&gt;=2,"Contract","Deal")</f>
        <v>Deal</v>
      </c>
    </row>
    <row r="3041" spans="1:7" x14ac:dyDescent="0.3">
      <c r="A3041" t="s">
        <v>9</v>
      </c>
      <c r="B3041" t="s">
        <v>15</v>
      </c>
      <c r="C3041" t="s">
        <v>90</v>
      </c>
      <c r="D3041">
        <v>5936</v>
      </c>
      <c r="E3041">
        <v>59</v>
      </c>
      <c r="F3041" s="1">
        <v>44698</v>
      </c>
      <c r="G3041" t="str">
        <f>IF(COUNTIFS(Table1_3[Country],Table1_3[[#This Row],[Country]],Table1_3[Product],Table1_3[[#This Row],[Product]],Table1_3[Sales Person],Table1_3[[#This Row],[Sales Person]],Table1_3[Amount],"&lt;=100")&gt;=2,"Contract","Deal")</f>
        <v>Deal</v>
      </c>
    </row>
    <row r="3042" spans="1:7" x14ac:dyDescent="0.3">
      <c r="A3042" t="s">
        <v>9</v>
      </c>
      <c r="B3042" t="s">
        <v>15</v>
      </c>
      <c r="C3042" t="s">
        <v>90</v>
      </c>
      <c r="D3042">
        <v>6584.26</v>
      </c>
      <c r="E3042">
        <v>62</v>
      </c>
      <c r="F3042" s="1">
        <v>45063</v>
      </c>
      <c r="G3042" t="str">
        <f>IF(COUNTIFS(Table1_3[Country],Table1_3[[#This Row],[Country]],Table1_3[Product],Table1_3[[#This Row],[Product]],Table1_3[Sales Person],Table1_3[[#This Row],[Sales Person]],Table1_3[Amount],"&lt;=100")&gt;=2,"Contract","Deal")</f>
        <v>Deal</v>
      </c>
    </row>
    <row r="3043" spans="1:7" x14ac:dyDescent="0.3">
      <c r="A3043" t="s">
        <v>9</v>
      </c>
      <c r="B3043" t="s">
        <v>15</v>
      </c>
      <c r="C3043" t="s">
        <v>90</v>
      </c>
      <c r="D3043">
        <v>6898.94</v>
      </c>
      <c r="E3043">
        <v>58</v>
      </c>
      <c r="F3043" s="1">
        <v>45429</v>
      </c>
      <c r="G3043" t="str">
        <f>IF(COUNTIFS(Table1_3[Country],Table1_3[[#This Row],[Country]],Table1_3[Product],Table1_3[[#This Row],[Product]],Table1_3[Sales Person],Table1_3[[#This Row],[Sales Person]],Table1_3[Amount],"&lt;=100")&gt;=2,"Contract","Deal")</f>
        <v>Deal</v>
      </c>
    </row>
    <row r="3044" spans="1:7" x14ac:dyDescent="0.3">
      <c r="A3044" t="s">
        <v>9</v>
      </c>
      <c r="B3044" t="s">
        <v>15</v>
      </c>
      <c r="C3044" t="s">
        <v>46</v>
      </c>
      <c r="D3044">
        <v>7910</v>
      </c>
      <c r="E3044">
        <v>87</v>
      </c>
      <c r="F3044" s="1">
        <v>44732</v>
      </c>
      <c r="G3044" t="str">
        <f>IF(COUNTIFS(Table1_3[Country],Table1_3[[#This Row],[Country]],Table1_3[Product],Table1_3[[#This Row],[Product]],Table1_3[Sales Person],Table1_3[[#This Row],[Sales Person]],Table1_3[Amount],"&lt;=100")&gt;=2,"Contract","Deal")</f>
        <v>Deal</v>
      </c>
    </row>
    <row r="3045" spans="1:7" x14ac:dyDescent="0.3">
      <c r="A3045" t="s">
        <v>9</v>
      </c>
      <c r="B3045" t="s">
        <v>15</v>
      </c>
      <c r="C3045" t="s">
        <v>46</v>
      </c>
      <c r="D3045">
        <v>8895.7000000000007</v>
      </c>
      <c r="E3045">
        <v>91</v>
      </c>
      <c r="F3045" s="1">
        <v>45097</v>
      </c>
      <c r="G3045" t="str">
        <f>IF(COUNTIFS(Table1_3[Country],Table1_3[[#This Row],[Country]],Table1_3[Product],Table1_3[[#This Row],[Product]],Table1_3[Sales Person],Table1_3[[#This Row],[Sales Person]],Table1_3[Amount],"&lt;=100")&gt;=2,"Contract","Deal")</f>
        <v>Deal</v>
      </c>
    </row>
    <row r="3046" spans="1:7" x14ac:dyDescent="0.3">
      <c r="A3046" t="s">
        <v>9</v>
      </c>
      <c r="B3046" t="s">
        <v>15</v>
      </c>
      <c r="C3046" t="s">
        <v>46</v>
      </c>
      <c r="D3046">
        <v>9471.51</v>
      </c>
      <c r="E3046">
        <v>95</v>
      </c>
      <c r="F3046" s="1">
        <v>45463</v>
      </c>
      <c r="G3046" t="str">
        <f>IF(COUNTIFS(Table1_3[Country],Table1_3[[#This Row],[Country]],Table1_3[Product],Table1_3[[#This Row],[Product]],Table1_3[Sales Person],Table1_3[[#This Row],[Sales Person]],Table1_3[Amount],"&lt;=100")&gt;=2,"Contract","Deal")</f>
        <v>Deal</v>
      </c>
    </row>
    <row r="3047" spans="1:7" x14ac:dyDescent="0.3">
      <c r="A3047" t="s">
        <v>9</v>
      </c>
      <c r="B3047" t="s">
        <v>15</v>
      </c>
      <c r="C3047" t="s">
        <v>8</v>
      </c>
      <c r="D3047">
        <v>2674</v>
      </c>
      <c r="E3047">
        <v>295</v>
      </c>
      <c r="F3047" s="1">
        <v>44574</v>
      </c>
      <c r="G3047" t="str">
        <f>IF(COUNTIFS(Table1_3[Country],Table1_3[[#This Row],[Country]],Table1_3[Product],Table1_3[[#This Row],[Product]],Table1_3[Sales Person],Table1_3[[#This Row],[Sales Person]],Table1_3[Amount],"&lt;=100")&gt;=2,"Contract","Deal")</f>
        <v>Deal</v>
      </c>
    </row>
    <row r="3048" spans="1:7" x14ac:dyDescent="0.3">
      <c r="A3048" t="s">
        <v>9</v>
      </c>
      <c r="B3048" t="s">
        <v>15</v>
      </c>
      <c r="C3048" t="s">
        <v>8</v>
      </c>
      <c r="D3048">
        <v>2686.51</v>
      </c>
      <c r="E3048">
        <v>324</v>
      </c>
      <c r="F3048" s="1">
        <v>44939</v>
      </c>
      <c r="G3048" t="str">
        <f>IF(COUNTIFS(Table1_3[Country],Table1_3[[#This Row],[Country]],Table1_3[Product],Table1_3[[#This Row],[Product]],Table1_3[Sales Person],Table1_3[[#This Row],[Sales Person]],Table1_3[Amount],"&lt;=100")&gt;=2,"Contract","Deal")</f>
        <v>Deal</v>
      </c>
    </row>
    <row r="3049" spans="1:7" x14ac:dyDescent="0.3">
      <c r="A3049" t="s">
        <v>9</v>
      </c>
      <c r="B3049" t="s">
        <v>15</v>
      </c>
      <c r="C3049" t="s">
        <v>8</v>
      </c>
      <c r="D3049">
        <v>2924.06</v>
      </c>
      <c r="E3049">
        <v>295</v>
      </c>
      <c r="F3049" s="1">
        <v>45304</v>
      </c>
      <c r="G3049" t="str">
        <f>IF(COUNTIFS(Table1_3[Country],Table1_3[[#This Row],[Country]],Table1_3[Product],Table1_3[[#This Row],[Product]],Table1_3[Sales Person],Table1_3[[#This Row],[Sales Person]],Table1_3[Amount],"&lt;=100")&gt;=2,"Contract","Deal")</f>
        <v>Deal</v>
      </c>
    </row>
    <row r="3050" spans="1:7" x14ac:dyDescent="0.3">
      <c r="A3050" t="s">
        <v>9</v>
      </c>
      <c r="B3050" t="s">
        <v>15</v>
      </c>
      <c r="C3050" t="s">
        <v>42</v>
      </c>
      <c r="D3050">
        <v>19453</v>
      </c>
      <c r="E3050">
        <v>14</v>
      </c>
      <c r="F3050" s="1">
        <v>44783</v>
      </c>
      <c r="G3050" t="str">
        <f>IF(COUNTIFS(Table1_3[Country],Table1_3[[#This Row],[Country]],Table1_3[Product],Table1_3[[#This Row],[Product]],Table1_3[Sales Person],Table1_3[[#This Row],[Sales Person]],Table1_3[Amount],"&lt;=100")&gt;=2,"Contract","Deal")</f>
        <v>Deal</v>
      </c>
    </row>
    <row r="3051" spans="1:7" x14ac:dyDescent="0.3">
      <c r="A3051" t="s">
        <v>9</v>
      </c>
      <c r="B3051" t="s">
        <v>15</v>
      </c>
      <c r="C3051" t="s">
        <v>42</v>
      </c>
      <c r="D3051">
        <v>21762.799999999999</v>
      </c>
      <c r="E3051">
        <v>15</v>
      </c>
      <c r="F3051" s="1">
        <v>45148</v>
      </c>
      <c r="G3051" t="str">
        <f>IF(COUNTIFS(Table1_3[Country],Table1_3[[#This Row],[Country]],Table1_3[Product],Table1_3[[#This Row],[Product]],Table1_3[Sales Person],Table1_3[[#This Row],[Sales Person]],Table1_3[Amount],"&lt;=100")&gt;=2,"Contract","Deal")</f>
        <v>Deal</v>
      </c>
    </row>
    <row r="3052" spans="1:7" x14ac:dyDescent="0.3">
      <c r="A3052" t="s">
        <v>9</v>
      </c>
      <c r="B3052" t="s">
        <v>15</v>
      </c>
      <c r="C3052" t="s">
        <v>42</v>
      </c>
      <c r="D3052">
        <v>22943.37</v>
      </c>
      <c r="E3052">
        <v>14</v>
      </c>
      <c r="F3052" s="1">
        <v>45514</v>
      </c>
      <c r="G3052" t="str">
        <f>IF(COUNTIFS(Table1_3[Country],Table1_3[[#This Row],[Country]],Table1_3[Product],Table1_3[[#This Row],[Product]],Table1_3[Sales Person],Table1_3[[#This Row],[Sales Person]],Table1_3[Amount],"&lt;=100")&gt;=2,"Contract","Deal")</f>
        <v>Deal</v>
      </c>
    </row>
    <row r="3053" spans="1:7" x14ac:dyDescent="0.3">
      <c r="A3053" t="s">
        <v>9</v>
      </c>
      <c r="B3053" t="s">
        <v>35</v>
      </c>
      <c r="C3053" t="s">
        <v>26</v>
      </c>
      <c r="D3053">
        <v>13685</v>
      </c>
      <c r="E3053">
        <v>58</v>
      </c>
      <c r="F3053" s="1">
        <v>44693</v>
      </c>
      <c r="G3053" t="str">
        <f>IF(COUNTIFS(Table1_3[Country],Table1_3[[#This Row],[Country]],Table1_3[Product],Table1_3[[#This Row],[Product]],Table1_3[Sales Person],Table1_3[[#This Row],[Sales Person]],Table1_3[Amount],"&lt;=100")&gt;=2,"Contract","Deal")</f>
        <v>Deal</v>
      </c>
    </row>
    <row r="3054" spans="1:7" x14ac:dyDescent="0.3">
      <c r="A3054" t="s">
        <v>9</v>
      </c>
      <c r="B3054" t="s">
        <v>35</v>
      </c>
      <c r="C3054" t="s">
        <v>26</v>
      </c>
      <c r="D3054">
        <v>15567.58</v>
      </c>
      <c r="E3054">
        <v>57</v>
      </c>
      <c r="F3054" s="1">
        <v>45058</v>
      </c>
      <c r="G3054" t="str">
        <f>IF(COUNTIFS(Table1_3[Country],Table1_3[[#This Row],[Country]],Table1_3[Product],Table1_3[[#This Row],[Product]],Table1_3[Sales Person],Table1_3[[#This Row],[Sales Person]],Table1_3[Amount],"&lt;=100")&gt;=2,"Contract","Deal")</f>
        <v>Deal</v>
      </c>
    </row>
    <row r="3055" spans="1:7" x14ac:dyDescent="0.3">
      <c r="A3055" t="s">
        <v>9</v>
      </c>
      <c r="B3055" t="s">
        <v>35</v>
      </c>
      <c r="C3055" t="s">
        <v>26</v>
      </c>
      <c r="D3055">
        <v>14581.33</v>
      </c>
      <c r="E3055">
        <v>58</v>
      </c>
      <c r="F3055" s="1">
        <v>45424</v>
      </c>
      <c r="G3055" t="str">
        <f>IF(COUNTIFS(Table1_3[Country],Table1_3[[#This Row],[Country]],Table1_3[Product],Table1_3[[#This Row],[Product]],Table1_3[Sales Person],Table1_3[[#This Row],[Sales Person]],Table1_3[Amount],"&lt;=100")&gt;=2,"Contract","Deal")</f>
        <v>Deal</v>
      </c>
    </row>
    <row r="3056" spans="1:7" x14ac:dyDescent="0.3">
      <c r="A3056" t="s">
        <v>9</v>
      </c>
      <c r="B3056" t="s">
        <v>35</v>
      </c>
      <c r="C3056" t="s">
        <v>100</v>
      </c>
      <c r="D3056">
        <v>7077</v>
      </c>
      <c r="E3056">
        <v>77</v>
      </c>
      <c r="F3056" s="1">
        <v>44714</v>
      </c>
      <c r="G3056" t="str">
        <f>IF(COUNTIFS(Table1_3[Country],Table1_3[[#This Row],[Country]],Table1_3[Product],Table1_3[[#This Row],[Product]],Table1_3[Sales Person],Table1_3[[#This Row],[Sales Person]],Table1_3[Amount],"&lt;=100")&gt;=2,"Contract","Deal")</f>
        <v>Deal</v>
      </c>
    </row>
    <row r="3057" spans="1:7" x14ac:dyDescent="0.3">
      <c r="A3057" t="s">
        <v>9</v>
      </c>
      <c r="B3057" t="s">
        <v>35</v>
      </c>
      <c r="C3057" t="s">
        <v>100</v>
      </c>
      <c r="D3057">
        <v>7911.23</v>
      </c>
      <c r="E3057">
        <v>74</v>
      </c>
      <c r="F3057" s="1">
        <v>45079</v>
      </c>
      <c r="G3057" t="str">
        <f>IF(COUNTIFS(Table1_3[Country],Table1_3[[#This Row],[Country]],Table1_3[Product],Table1_3[[#This Row],[Product]],Table1_3[Sales Person],Table1_3[[#This Row],[Sales Person]],Table1_3[Amount],"&lt;=100")&gt;=2,"Contract","Deal")</f>
        <v>Deal</v>
      </c>
    </row>
    <row r="3058" spans="1:7" x14ac:dyDescent="0.3">
      <c r="A3058" t="s">
        <v>9</v>
      </c>
      <c r="B3058" t="s">
        <v>35</v>
      </c>
      <c r="C3058" t="s">
        <v>100</v>
      </c>
      <c r="D3058">
        <v>7731.47</v>
      </c>
      <c r="E3058">
        <v>77</v>
      </c>
      <c r="F3058" s="1">
        <v>45445</v>
      </c>
      <c r="G3058" t="str">
        <f>IF(COUNTIFS(Table1_3[Country],Table1_3[[#This Row],[Country]],Table1_3[Product],Table1_3[[#This Row],[Product]],Table1_3[Sales Person],Table1_3[[#This Row],[Sales Person]],Table1_3[Amount],"&lt;=100")&gt;=2,"Contract","Deal")</f>
        <v>Deal</v>
      </c>
    </row>
    <row r="3059" spans="1:7" x14ac:dyDescent="0.3">
      <c r="A3059" t="s">
        <v>9</v>
      </c>
      <c r="B3059" t="s">
        <v>35</v>
      </c>
      <c r="C3059" t="s">
        <v>65</v>
      </c>
      <c r="D3059">
        <v>3213</v>
      </c>
      <c r="E3059">
        <v>72</v>
      </c>
      <c r="F3059" s="1">
        <v>44739</v>
      </c>
      <c r="G3059" t="str">
        <f>IF(COUNTIFS(Table1_3[Country],Table1_3[[#This Row],[Country]],Table1_3[Product],Table1_3[[#This Row],[Product]],Table1_3[Sales Person],Table1_3[[#This Row],[Sales Person]],Table1_3[Amount],"&lt;=100")&gt;=2,"Contract","Deal")</f>
        <v>Deal</v>
      </c>
    </row>
    <row r="3060" spans="1:7" x14ac:dyDescent="0.3">
      <c r="A3060" t="s">
        <v>9</v>
      </c>
      <c r="B3060" t="s">
        <v>35</v>
      </c>
      <c r="C3060" t="s">
        <v>65</v>
      </c>
      <c r="D3060">
        <v>3424.66</v>
      </c>
      <c r="E3060">
        <v>70</v>
      </c>
      <c r="F3060" s="1">
        <v>45104</v>
      </c>
      <c r="G3060" t="str">
        <f>IF(COUNTIFS(Table1_3[Country],Table1_3[[#This Row],[Country]],Table1_3[Product],Table1_3[[#This Row],[Product]],Table1_3[Sales Person],Table1_3[[#This Row],[Sales Person]],Table1_3[Amount],"&lt;=100")&gt;=2,"Contract","Deal")</f>
        <v>Deal</v>
      </c>
    </row>
    <row r="3061" spans="1:7" x14ac:dyDescent="0.3">
      <c r="A3061" t="s">
        <v>9</v>
      </c>
      <c r="B3061" t="s">
        <v>35</v>
      </c>
      <c r="C3061" t="s">
        <v>65</v>
      </c>
      <c r="D3061">
        <v>3631.78</v>
      </c>
      <c r="E3061">
        <v>71</v>
      </c>
      <c r="F3061" s="1">
        <v>45470</v>
      </c>
      <c r="G3061" t="str">
        <f>IF(COUNTIFS(Table1_3[Country],Table1_3[[#This Row],[Country]],Table1_3[Product],Table1_3[[#This Row],[Product]],Table1_3[Sales Person],Table1_3[[#This Row],[Sales Person]],Table1_3[Amount],"&lt;=100")&gt;=2,"Contract","Deal")</f>
        <v>Deal</v>
      </c>
    </row>
    <row r="3062" spans="1:7" x14ac:dyDescent="0.3">
      <c r="A3062" t="s">
        <v>9</v>
      </c>
      <c r="B3062" t="s">
        <v>35</v>
      </c>
      <c r="C3062" t="s">
        <v>75</v>
      </c>
      <c r="D3062">
        <v>2282</v>
      </c>
      <c r="E3062">
        <v>296</v>
      </c>
      <c r="F3062" s="1">
        <v>44792</v>
      </c>
      <c r="G3062" t="str">
        <f>IF(COUNTIFS(Table1_3[Country],Table1_3[[#This Row],[Country]],Table1_3[Product],Table1_3[[#This Row],[Product]],Table1_3[Sales Person],Table1_3[[#This Row],[Sales Person]],Table1_3[Amount],"&lt;=100")&gt;=2,"Contract","Deal")</f>
        <v>Deal</v>
      </c>
    </row>
    <row r="3063" spans="1:7" x14ac:dyDescent="0.3">
      <c r="A3063" t="s">
        <v>9</v>
      </c>
      <c r="B3063" t="s">
        <v>35</v>
      </c>
      <c r="C3063" t="s">
        <v>75</v>
      </c>
      <c r="D3063">
        <v>2556.96</v>
      </c>
      <c r="E3063">
        <v>312</v>
      </c>
      <c r="F3063" s="1">
        <v>45157</v>
      </c>
      <c r="G3063" t="str">
        <f>IF(COUNTIFS(Table1_3[Country],Table1_3[[#This Row],[Country]],Table1_3[Product],Table1_3[[#This Row],[Product]],Table1_3[Sales Person],Table1_3[[#This Row],[Sales Person]],Table1_3[Amount],"&lt;=100")&gt;=2,"Contract","Deal")</f>
        <v>Deal</v>
      </c>
    </row>
    <row r="3064" spans="1:7" x14ac:dyDescent="0.3">
      <c r="A3064" t="s">
        <v>9</v>
      </c>
      <c r="B3064" t="s">
        <v>35</v>
      </c>
      <c r="C3064" t="s">
        <v>75</v>
      </c>
      <c r="D3064">
        <v>2727.35</v>
      </c>
      <c r="E3064">
        <v>293</v>
      </c>
      <c r="F3064" s="1">
        <v>45523</v>
      </c>
      <c r="G3064" t="str">
        <f>IF(COUNTIFS(Table1_3[Country],Table1_3[[#This Row],[Country]],Table1_3[Product],Table1_3[[#This Row],[Product]],Table1_3[Sales Person],Table1_3[[#This Row],[Sales Person]],Table1_3[Amount],"&lt;=100")&gt;=2,"Contract","Deal")</f>
        <v>Deal</v>
      </c>
    </row>
    <row r="3065" spans="1:7" x14ac:dyDescent="0.3">
      <c r="A3065" t="s">
        <v>9</v>
      </c>
      <c r="B3065" t="s">
        <v>35</v>
      </c>
      <c r="C3065" t="s">
        <v>38</v>
      </c>
      <c r="D3065">
        <v>4900</v>
      </c>
      <c r="E3065">
        <v>709</v>
      </c>
      <c r="F3065" s="1">
        <v>44727</v>
      </c>
      <c r="G3065" t="str">
        <f>IF(COUNTIFS(Table1_3[Country],Table1_3[[#This Row],[Country]],Table1_3[Product],Table1_3[[#This Row],[Product]],Table1_3[Sales Person],Table1_3[[#This Row],[Sales Person]],Table1_3[Amount],"&lt;=100")&gt;=2,"Contract","Deal")</f>
        <v>Deal</v>
      </c>
    </row>
    <row r="3066" spans="1:7" x14ac:dyDescent="0.3">
      <c r="A3066" t="s">
        <v>9</v>
      </c>
      <c r="B3066" t="s">
        <v>35</v>
      </c>
      <c r="C3066" t="s">
        <v>38</v>
      </c>
      <c r="D3066">
        <v>4919.25</v>
      </c>
      <c r="E3066">
        <v>746</v>
      </c>
      <c r="F3066" s="1">
        <v>45092</v>
      </c>
      <c r="G3066" t="str">
        <f>IF(COUNTIFS(Table1_3[Country],Table1_3[[#This Row],[Country]],Table1_3[Product],Table1_3[[#This Row],[Product]],Table1_3[Sales Person],Table1_3[[#This Row],[Sales Person]],Table1_3[Amount],"&lt;=100")&gt;=2,"Contract","Deal")</f>
        <v>Deal</v>
      </c>
    </row>
    <row r="3067" spans="1:7" x14ac:dyDescent="0.3">
      <c r="A3067" t="s">
        <v>9</v>
      </c>
      <c r="B3067" t="s">
        <v>35</v>
      </c>
      <c r="C3067" t="s">
        <v>38</v>
      </c>
      <c r="D3067">
        <v>5294.88</v>
      </c>
      <c r="E3067">
        <v>679</v>
      </c>
      <c r="F3067" s="1">
        <v>45458</v>
      </c>
      <c r="G3067" t="str">
        <f>IF(COUNTIFS(Table1_3[Country],Table1_3[[#This Row],[Country]],Table1_3[Product],Table1_3[[#This Row],[Product]],Table1_3[Sales Person],Table1_3[[#This Row],[Sales Person]],Table1_3[Amount],"&lt;=100")&gt;=2,"Contract","Deal")</f>
        <v>Deal</v>
      </c>
    </row>
    <row r="3068" spans="1:7" x14ac:dyDescent="0.3">
      <c r="A3068" t="s">
        <v>9</v>
      </c>
      <c r="B3068" t="s">
        <v>35</v>
      </c>
      <c r="C3068" t="s">
        <v>60</v>
      </c>
      <c r="D3068">
        <v>8617</v>
      </c>
      <c r="E3068">
        <v>46</v>
      </c>
      <c r="F3068" s="1">
        <v>44616</v>
      </c>
      <c r="G3068" t="str">
        <f>IF(COUNTIFS(Table1_3[Country],Table1_3[[#This Row],[Country]],Table1_3[Product],Table1_3[[#This Row],[Product]],Table1_3[Sales Person],Table1_3[[#This Row],[Sales Person]],Table1_3[Amount],"&lt;=100")&gt;=2,"Contract","Deal")</f>
        <v>Deal</v>
      </c>
    </row>
    <row r="3069" spans="1:7" x14ac:dyDescent="0.3">
      <c r="A3069" t="s">
        <v>9</v>
      </c>
      <c r="B3069" t="s">
        <v>35</v>
      </c>
      <c r="C3069" t="s">
        <v>60</v>
      </c>
      <c r="D3069">
        <v>8962.9599999999991</v>
      </c>
      <c r="E3069">
        <v>48</v>
      </c>
      <c r="F3069" s="1">
        <v>44981</v>
      </c>
      <c r="G3069" t="str">
        <f>IF(COUNTIFS(Table1_3[Country],Table1_3[[#This Row],[Country]],Table1_3[Product],Table1_3[[#This Row],[Product]],Table1_3[Sales Person],Table1_3[[#This Row],[Sales Person]],Table1_3[Amount],"&lt;=100")&gt;=2,"Contract","Deal")</f>
        <v>Deal</v>
      </c>
    </row>
    <row r="3070" spans="1:7" x14ac:dyDescent="0.3">
      <c r="A3070" t="s">
        <v>9</v>
      </c>
      <c r="B3070" t="s">
        <v>35</v>
      </c>
      <c r="C3070" t="s">
        <v>60</v>
      </c>
      <c r="D3070">
        <v>9426.56</v>
      </c>
      <c r="E3070">
        <v>49</v>
      </c>
      <c r="F3070" s="1">
        <v>45346</v>
      </c>
      <c r="G3070" t="str">
        <f>IF(COUNTIFS(Table1_3[Country],Table1_3[[#This Row],[Country]],Table1_3[Product],Table1_3[[#This Row],[Product]],Table1_3[Sales Person],Table1_3[[#This Row],[Sales Person]],Table1_3[Amount],"&lt;=100")&gt;=2,"Contract","Deal")</f>
        <v>Deal</v>
      </c>
    </row>
    <row r="3071" spans="1:7" x14ac:dyDescent="0.3">
      <c r="A3071" t="s">
        <v>9</v>
      </c>
      <c r="B3071" t="s">
        <v>35</v>
      </c>
      <c r="C3071" t="s">
        <v>42</v>
      </c>
      <c r="D3071">
        <v>4067</v>
      </c>
      <c r="E3071">
        <v>42</v>
      </c>
      <c r="F3071" s="1">
        <v>44606</v>
      </c>
      <c r="G3071" t="str">
        <f>IF(COUNTIFS(Table1_3[Country],Table1_3[[#This Row],[Country]],Table1_3[Product],Table1_3[[#This Row],[Product]],Table1_3[Sales Person],Table1_3[[#This Row],[Sales Person]],Table1_3[Amount],"&lt;=100")&gt;=2,"Contract","Deal")</f>
        <v>Deal</v>
      </c>
    </row>
    <row r="3072" spans="1:7" x14ac:dyDescent="0.3">
      <c r="A3072" t="s">
        <v>9</v>
      </c>
      <c r="B3072" t="s">
        <v>35</v>
      </c>
      <c r="C3072" t="s">
        <v>42</v>
      </c>
      <c r="D3072">
        <v>4561.43</v>
      </c>
      <c r="E3072">
        <v>44</v>
      </c>
      <c r="F3072" s="1">
        <v>44971</v>
      </c>
      <c r="G3072" t="str">
        <f>IF(COUNTIFS(Table1_3[Country],Table1_3[[#This Row],[Country]],Table1_3[Product],Table1_3[[#This Row],[Product]],Table1_3[Sales Person],Table1_3[[#This Row],[Sales Person]],Table1_3[Amount],"&lt;=100")&gt;=2,"Contract","Deal")</f>
        <v>Deal</v>
      </c>
    </row>
    <row r="3073" spans="1:7" x14ac:dyDescent="0.3">
      <c r="A3073" t="s">
        <v>9</v>
      </c>
      <c r="B3073" t="s">
        <v>35</v>
      </c>
      <c r="C3073" t="s">
        <v>42</v>
      </c>
      <c r="D3073">
        <v>4864.83</v>
      </c>
      <c r="E3073">
        <v>42</v>
      </c>
      <c r="F3073" s="1">
        <v>45336</v>
      </c>
      <c r="G3073" t="str">
        <f>IF(COUNTIFS(Table1_3[Country],Table1_3[[#This Row],[Country]],Table1_3[Product],Table1_3[[#This Row],[Product]],Table1_3[Sales Person],Table1_3[[#This Row],[Sales Person]],Table1_3[Amount],"&lt;=100")&gt;=2,"Contract","Deal")</f>
        <v>Deal</v>
      </c>
    </row>
    <row r="3074" spans="1:7" x14ac:dyDescent="0.3">
      <c r="A3074" t="s">
        <v>9</v>
      </c>
      <c r="B3074" t="s">
        <v>35</v>
      </c>
      <c r="C3074" t="s">
        <v>13</v>
      </c>
      <c r="D3074">
        <v>6342</v>
      </c>
      <c r="E3074">
        <v>282</v>
      </c>
      <c r="F3074" s="1">
        <v>44736</v>
      </c>
      <c r="G3074" t="str">
        <f>IF(COUNTIFS(Table1_3[Country],Table1_3[[#This Row],[Country]],Table1_3[Product],Table1_3[[#This Row],[Product]],Table1_3[Sales Person],Table1_3[[#This Row],[Sales Person]],Table1_3[Amount],"&lt;=100")&gt;=2,"Contract","Deal")</f>
        <v>Deal</v>
      </c>
    </row>
    <row r="3075" spans="1:7" x14ac:dyDescent="0.3">
      <c r="A3075" t="s">
        <v>9</v>
      </c>
      <c r="B3075" t="s">
        <v>35</v>
      </c>
      <c r="C3075" t="s">
        <v>13</v>
      </c>
      <c r="D3075">
        <v>7147.04</v>
      </c>
      <c r="E3075">
        <v>300</v>
      </c>
      <c r="F3075" s="1">
        <v>45101</v>
      </c>
      <c r="G3075" t="str">
        <f>IF(COUNTIFS(Table1_3[Country],Table1_3[[#This Row],[Country]],Table1_3[Product],Table1_3[[#This Row],[Product]],Table1_3[Sales Person],Table1_3[[#This Row],[Sales Person]],Table1_3[Amount],"&lt;=100")&gt;=2,"Contract","Deal")</f>
        <v>Deal</v>
      </c>
    </row>
    <row r="3076" spans="1:7" x14ac:dyDescent="0.3">
      <c r="A3076" t="s">
        <v>9</v>
      </c>
      <c r="B3076" t="s">
        <v>35</v>
      </c>
      <c r="C3076" t="s">
        <v>13</v>
      </c>
      <c r="D3076">
        <v>7527.84</v>
      </c>
      <c r="E3076">
        <v>306</v>
      </c>
      <c r="F3076" s="1">
        <v>45467</v>
      </c>
      <c r="G3076" t="str">
        <f>IF(COUNTIFS(Table1_3[Country],Table1_3[[#This Row],[Country]],Table1_3[Product],Table1_3[[#This Row],[Product]],Table1_3[Sales Person],Table1_3[[#This Row],[Sales Person]],Table1_3[Amount],"&lt;=100")&gt;=2,"Contract","Deal")</f>
        <v>Deal</v>
      </c>
    </row>
    <row r="3077" spans="1:7" x14ac:dyDescent="0.3">
      <c r="A3077" t="s">
        <v>9</v>
      </c>
      <c r="B3077" t="s">
        <v>35</v>
      </c>
      <c r="C3077" t="s">
        <v>73</v>
      </c>
      <c r="D3077">
        <v>1267</v>
      </c>
      <c r="E3077">
        <v>130</v>
      </c>
      <c r="F3077" s="1">
        <v>44637</v>
      </c>
      <c r="G3077" t="str">
        <f>IF(COUNTIFS(Table1_3[Country],Table1_3[[#This Row],[Country]],Table1_3[Product],Table1_3[[#This Row],[Product]],Table1_3[Sales Person],Table1_3[[#This Row],[Sales Person]],Table1_3[Amount],"&lt;=100")&gt;=2,"Contract","Deal")</f>
        <v>Deal</v>
      </c>
    </row>
    <row r="3078" spans="1:7" x14ac:dyDescent="0.3">
      <c r="A3078" t="s">
        <v>9</v>
      </c>
      <c r="B3078" t="s">
        <v>35</v>
      </c>
      <c r="C3078" t="s">
        <v>73</v>
      </c>
      <c r="D3078">
        <v>1264.25</v>
      </c>
      <c r="E3078">
        <v>137</v>
      </c>
      <c r="F3078" s="1">
        <v>45002</v>
      </c>
      <c r="G3078" t="str">
        <f>IF(COUNTIFS(Table1_3[Country],Table1_3[[#This Row],[Country]],Table1_3[Product],Table1_3[[#This Row],[Product]],Table1_3[Sales Person],Table1_3[[#This Row],[Sales Person]],Table1_3[Amount],"&lt;=100")&gt;=2,"Contract","Deal")</f>
        <v>Deal</v>
      </c>
    </row>
    <row r="3079" spans="1:7" x14ac:dyDescent="0.3">
      <c r="A3079" t="s">
        <v>9</v>
      </c>
      <c r="B3079" t="s">
        <v>35</v>
      </c>
      <c r="C3079" t="s">
        <v>73</v>
      </c>
      <c r="D3079">
        <v>1497.58</v>
      </c>
      <c r="E3079">
        <v>132</v>
      </c>
      <c r="F3079" s="1">
        <v>45368</v>
      </c>
      <c r="G3079" t="str">
        <f>IF(COUNTIFS(Table1_3[Country],Table1_3[[#This Row],[Country]],Table1_3[Product],Table1_3[[#This Row],[Product]],Table1_3[Sales Person],Table1_3[[#This Row],[Sales Person]],Table1_3[Amount],"&lt;=100")&gt;=2,"Contract","Deal")</f>
        <v>Deal</v>
      </c>
    </row>
    <row r="3080" spans="1:7" x14ac:dyDescent="0.3">
      <c r="A3080" t="s">
        <v>9</v>
      </c>
      <c r="B3080" t="s">
        <v>35</v>
      </c>
      <c r="C3080" t="s">
        <v>59</v>
      </c>
      <c r="D3080">
        <v>420</v>
      </c>
      <c r="E3080">
        <v>3</v>
      </c>
      <c r="F3080" s="1">
        <v>44642</v>
      </c>
      <c r="G3080" t="str">
        <f>IF(COUNTIFS(Table1_3[Country],Table1_3[[#This Row],[Country]],Table1_3[Product],Table1_3[[#This Row],[Product]],Table1_3[Sales Person],Table1_3[[#This Row],[Sales Person]],Table1_3[Amount],"&lt;=100")&gt;=2,"Contract","Deal")</f>
        <v>Deal</v>
      </c>
    </row>
    <row r="3081" spans="1:7" x14ac:dyDescent="0.3">
      <c r="A3081" t="s">
        <v>9</v>
      </c>
      <c r="B3081" t="s">
        <v>35</v>
      </c>
      <c r="C3081" t="s">
        <v>59</v>
      </c>
      <c r="D3081">
        <v>481.52</v>
      </c>
      <c r="E3081">
        <v>3</v>
      </c>
      <c r="F3081" s="1">
        <v>45007</v>
      </c>
      <c r="G3081" t="str">
        <f>IF(COUNTIFS(Table1_3[Country],Table1_3[[#This Row],[Country]],Table1_3[Product],Table1_3[[#This Row],[Product]],Table1_3[Sales Person],Table1_3[[#This Row],[Sales Person]],Table1_3[Amount],"&lt;=100")&gt;=2,"Contract","Deal")</f>
        <v>Deal</v>
      </c>
    </row>
    <row r="3082" spans="1:7" x14ac:dyDescent="0.3">
      <c r="A3082" t="s">
        <v>9</v>
      </c>
      <c r="B3082" t="s">
        <v>35</v>
      </c>
      <c r="C3082" t="s">
        <v>59</v>
      </c>
      <c r="D3082">
        <v>468.09</v>
      </c>
      <c r="E3082">
        <v>3</v>
      </c>
      <c r="F3082" s="1">
        <v>45373</v>
      </c>
      <c r="G3082" t="str">
        <f>IF(COUNTIFS(Table1_3[Country],Table1_3[[#This Row],[Country]],Table1_3[Product],Table1_3[[#This Row],[Product]],Table1_3[Sales Person],Table1_3[[#This Row],[Sales Person]],Table1_3[Amount],"&lt;=100")&gt;=2,"Contract","Deal")</f>
        <v>Deal</v>
      </c>
    </row>
    <row r="3083" spans="1:7" x14ac:dyDescent="0.3">
      <c r="A3083" t="s">
        <v>9</v>
      </c>
      <c r="B3083" t="s">
        <v>10</v>
      </c>
      <c r="C3083" t="s">
        <v>26</v>
      </c>
      <c r="D3083">
        <v>5103</v>
      </c>
      <c r="E3083">
        <v>129</v>
      </c>
      <c r="F3083" s="1">
        <v>44694</v>
      </c>
      <c r="G3083" t="str">
        <f>IF(COUNTIFS(Table1_3[Country],Table1_3[[#This Row],[Country]],Table1_3[Product],Table1_3[[#This Row],[Product]],Table1_3[Sales Person],Table1_3[[#This Row],[Sales Person]],Table1_3[Amount],"&lt;=100")&gt;=2,"Contract","Deal")</f>
        <v>Deal</v>
      </c>
    </row>
    <row r="3084" spans="1:7" x14ac:dyDescent="0.3">
      <c r="A3084" t="s">
        <v>9</v>
      </c>
      <c r="B3084" t="s">
        <v>10</v>
      </c>
      <c r="C3084" t="s">
        <v>26</v>
      </c>
      <c r="D3084">
        <v>5825.09</v>
      </c>
      <c r="E3084">
        <v>123</v>
      </c>
      <c r="F3084" s="1">
        <v>45059</v>
      </c>
      <c r="G3084" t="str">
        <f>IF(COUNTIFS(Table1_3[Country],Table1_3[[#This Row],[Country]],Table1_3[Product],Table1_3[[#This Row],[Product]],Table1_3[Sales Person],Table1_3[[#This Row],[Sales Person]],Table1_3[Amount],"&lt;=100")&gt;=2,"Contract","Deal")</f>
        <v>Deal</v>
      </c>
    </row>
    <row r="3085" spans="1:7" x14ac:dyDescent="0.3">
      <c r="A3085" t="s">
        <v>9</v>
      </c>
      <c r="B3085" t="s">
        <v>10</v>
      </c>
      <c r="C3085" t="s">
        <v>26</v>
      </c>
      <c r="D3085">
        <v>5591.29</v>
      </c>
      <c r="E3085">
        <v>132</v>
      </c>
      <c r="F3085" s="1">
        <v>45425</v>
      </c>
      <c r="G3085" t="str">
        <f>IF(COUNTIFS(Table1_3[Country],Table1_3[[#This Row],[Country]],Table1_3[Product],Table1_3[[#This Row],[Product]],Table1_3[Sales Person],Table1_3[[#This Row],[Sales Person]],Table1_3[Amount],"&lt;=100")&gt;=2,"Contract","Deal")</f>
        <v>Deal</v>
      </c>
    </row>
    <row r="3086" spans="1:7" x14ac:dyDescent="0.3">
      <c r="A3086" t="s">
        <v>9</v>
      </c>
      <c r="B3086" t="s">
        <v>10</v>
      </c>
      <c r="C3086" t="s">
        <v>11</v>
      </c>
      <c r="D3086">
        <v>7896</v>
      </c>
      <c r="E3086">
        <v>94</v>
      </c>
      <c r="F3086" s="1">
        <v>44774</v>
      </c>
      <c r="G3086" t="str">
        <f>IF(COUNTIFS(Table1_3[Country],Table1_3[[#This Row],[Country]],Table1_3[Product],Table1_3[[#This Row],[Product]],Table1_3[Sales Person],Table1_3[[#This Row],[Sales Person]],Table1_3[Amount],"&lt;=100")&gt;=2,"Contract","Deal")</f>
        <v>Deal</v>
      </c>
    </row>
    <row r="3087" spans="1:7" x14ac:dyDescent="0.3">
      <c r="A3087" t="s">
        <v>9</v>
      </c>
      <c r="B3087" t="s">
        <v>10</v>
      </c>
      <c r="C3087" t="s">
        <v>11</v>
      </c>
      <c r="D3087">
        <v>8074.39</v>
      </c>
      <c r="E3087">
        <v>100</v>
      </c>
      <c r="F3087" s="1">
        <v>45139</v>
      </c>
      <c r="G3087" t="str">
        <f>IF(COUNTIFS(Table1_3[Country],Table1_3[[#This Row],[Country]],Table1_3[Product],Table1_3[[#This Row],[Product]],Table1_3[Sales Person],Table1_3[[#This Row],[Sales Person]],Table1_3[Amount],"&lt;=100")&gt;=2,"Contract","Deal")</f>
        <v>Deal</v>
      </c>
    </row>
    <row r="3088" spans="1:7" x14ac:dyDescent="0.3">
      <c r="A3088" t="s">
        <v>9</v>
      </c>
      <c r="B3088" t="s">
        <v>10</v>
      </c>
      <c r="C3088" t="s">
        <v>11</v>
      </c>
      <c r="D3088">
        <v>9005.8700000000008</v>
      </c>
      <c r="E3088">
        <v>90</v>
      </c>
      <c r="F3088" s="1">
        <v>45505</v>
      </c>
      <c r="G3088" t="str">
        <f>IF(COUNTIFS(Table1_3[Country],Table1_3[[#This Row],[Country]],Table1_3[Product],Table1_3[[#This Row],[Product]],Table1_3[Sales Person],Table1_3[[#This Row],[Sales Person]],Table1_3[Amount],"&lt;=100")&gt;=2,"Contract","Deal")</f>
        <v>Deal</v>
      </c>
    </row>
    <row r="3089" spans="1:7" x14ac:dyDescent="0.3">
      <c r="A3089" t="s">
        <v>9</v>
      </c>
      <c r="B3089" t="s">
        <v>10</v>
      </c>
      <c r="C3089" t="s">
        <v>23</v>
      </c>
      <c r="D3089">
        <v>13706</v>
      </c>
      <c r="E3089">
        <v>207</v>
      </c>
      <c r="F3089" s="1">
        <v>44739</v>
      </c>
      <c r="G3089" t="str">
        <f>IF(COUNTIFS(Table1_3[Country],Table1_3[[#This Row],[Country]],Table1_3[Product],Table1_3[[#This Row],[Product]],Table1_3[Sales Person],Table1_3[[#This Row],[Sales Person]],Table1_3[Amount],"&lt;=100")&gt;=2,"Contract","Deal")</f>
        <v>Deal</v>
      </c>
    </row>
    <row r="3090" spans="1:7" x14ac:dyDescent="0.3">
      <c r="A3090" t="s">
        <v>9</v>
      </c>
      <c r="B3090" t="s">
        <v>10</v>
      </c>
      <c r="C3090" t="s">
        <v>23</v>
      </c>
      <c r="D3090">
        <v>15021.98</v>
      </c>
      <c r="E3090">
        <v>211</v>
      </c>
      <c r="F3090" s="1">
        <v>45104</v>
      </c>
      <c r="G3090" t="str">
        <f>IF(COUNTIFS(Table1_3[Country],Table1_3[[#This Row],[Country]],Table1_3[Product],Table1_3[[#This Row],[Product]],Table1_3[Sales Person],Table1_3[[#This Row],[Sales Person]],Table1_3[Amount],"&lt;=100")&gt;=2,"Contract","Deal")</f>
        <v>Deal</v>
      </c>
    </row>
    <row r="3091" spans="1:7" x14ac:dyDescent="0.3">
      <c r="A3091" t="s">
        <v>9</v>
      </c>
      <c r="B3091" t="s">
        <v>10</v>
      </c>
      <c r="C3091" t="s">
        <v>23</v>
      </c>
      <c r="D3091">
        <v>15626.93</v>
      </c>
      <c r="E3091">
        <v>225</v>
      </c>
      <c r="F3091" s="1">
        <v>45470</v>
      </c>
      <c r="G3091" t="str">
        <f>IF(COUNTIFS(Table1_3[Country],Table1_3[[#This Row],[Country]],Table1_3[Product],Table1_3[[#This Row],[Product]],Table1_3[Sales Person],Table1_3[[#This Row],[Sales Person]],Table1_3[Amount],"&lt;=100")&gt;=2,"Contract","Deal")</f>
        <v>Deal</v>
      </c>
    </row>
    <row r="3092" spans="1:7" x14ac:dyDescent="0.3">
      <c r="A3092" t="s">
        <v>9</v>
      </c>
      <c r="B3092" t="s">
        <v>10</v>
      </c>
      <c r="C3092" t="s">
        <v>65</v>
      </c>
      <c r="D3092">
        <v>6426</v>
      </c>
      <c r="E3092">
        <v>390</v>
      </c>
      <c r="F3092" s="1">
        <v>44726</v>
      </c>
      <c r="G3092" t="str">
        <f>IF(COUNTIFS(Table1_3[Country],Table1_3[[#This Row],[Country]],Table1_3[Product],Table1_3[[#This Row],[Product]],Table1_3[Sales Person],Table1_3[[#This Row],[Sales Person]],Table1_3[Amount],"&lt;=100")&gt;=2,"Contract","Deal")</f>
        <v>Deal</v>
      </c>
    </row>
    <row r="3093" spans="1:7" x14ac:dyDescent="0.3">
      <c r="A3093" t="s">
        <v>9</v>
      </c>
      <c r="B3093" t="s">
        <v>10</v>
      </c>
      <c r="C3093" t="s">
        <v>65</v>
      </c>
      <c r="D3093">
        <v>7247.29</v>
      </c>
      <c r="E3093">
        <v>402</v>
      </c>
      <c r="F3093" s="1">
        <v>45091</v>
      </c>
      <c r="G3093" t="str">
        <f>IF(COUNTIFS(Table1_3[Country],Table1_3[[#This Row],[Country]],Table1_3[Product],Table1_3[[#This Row],[Product]],Table1_3[Sales Person],Table1_3[[#This Row],[Sales Person]],Table1_3[Amount],"&lt;=100")&gt;=2,"Contract","Deal")</f>
        <v>Deal</v>
      </c>
    </row>
    <row r="3094" spans="1:7" x14ac:dyDescent="0.3">
      <c r="A3094" t="s">
        <v>9</v>
      </c>
      <c r="B3094" t="s">
        <v>10</v>
      </c>
      <c r="C3094" t="s">
        <v>65</v>
      </c>
      <c r="D3094">
        <v>7455.17</v>
      </c>
      <c r="E3094">
        <v>383</v>
      </c>
      <c r="F3094" s="1">
        <v>45457</v>
      </c>
      <c r="G3094" t="str">
        <f>IF(COUNTIFS(Table1_3[Country],Table1_3[[#This Row],[Country]],Table1_3[Product],Table1_3[[#This Row],[Product]],Table1_3[Sales Person],Table1_3[[#This Row],[Sales Person]],Table1_3[Amount],"&lt;=100")&gt;=2,"Contract","Deal")</f>
        <v>Deal</v>
      </c>
    </row>
    <row r="3095" spans="1:7" x14ac:dyDescent="0.3">
      <c r="A3095" t="s">
        <v>9</v>
      </c>
      <c r="B3095" t="s">
        <v>10</v>
      </c>
      <c r="C3095" t="s">
        <v>87</v>
      </c>
      <c r="D3095">
        <v>3052</v>
      </c>
      <c r="E3095">
        <v>447</v>
      </c>
      <c r="F3095" s="1">
        <v>44732</v>
      </c>
      <c r="G3095" t="str">
        <f>IF(COUNTIFS(Table1_3[Country],Table1_3[[#This Row],[Country]],Table1_3[Product],Table1_3[[#This Row],[Product]],Table1_3[Sales Person],Table1_3[[#This Row],[Sales Person]],Table1_3[Amount],"&lt;=100")&gt;=2,"Contract","Deal")</f>
        <v>Deal</v>
      </c>
    </row>
    <row r="3096" spans="1:7" x14ac:dyDescent="0.3">
      <c r="A3096" t="s">
        <v>9</v>
      </c>
      <c r="B3096" t="s">
        <v>10</v>
      </c>
      <c r="C3096" t="s">
        <v>87</v>
      </c>
      <c r="D3096">
        <v>3133.42</v>
      </c>
      <c r="E3096">
        <v>479</v>
      </c>
      <c r="F3096" s="1">
        <v>45097</v>
      </c>
      <c r="G3096" t="str">
        <f>IF(COUNTIFS(Table1_3[Country],Table1_3[[#This Row],[Country]],Table1_3[Product],Table1_3[[#This Row],[Product]],Table1_3[Sales Person],Table1_3[[#This Row],[Sales Person]],Table1_3[Amount],"&lt;=100")&gt;=2,"Contract","Deal")</f>
        <v>Deal</v>
      </c>
    </row>
    <row r="3097" spans="1:7" x14ac:dyDescent="0.3">
      <c r="A3097" t="s">
        <v>9</v>
      </c>
      <c r="B3097" t="s">
        <v>10</v>
      </c>
      <c r="C3097" t="s">
        <v>87</v>
      </c>
      <c r="D3097">
        <v>3566.77</v>
      </c>
      <c r="E3097">
        <v>426</v>
      </c>
      <c r="F3097" s="1">
        <v>45463</v>
      </c>
      <c r="G3097" t="str">
        <f>IF(COUNTIFS(Table1_3[Country],Table1_3[[#This Row],[Country]],Table1_3[Product],Table1_3[[#This Row],[Product]],Table1_3[Sales Person],Table1_3[[#This Row],[Sales Person]],Table1_3[Amount],"&lt;=100")&gt;=2,"Contract","Deal")</f>
        <v>Deal</v>
      </c>
    </row>
    <row r="3098" spans="1:7" x14ac:dyDescent="0.3">
      <c r="A3098" t="s">
        <v>9</v>
      </c>
      <c r="B3098" t="s">
        <v>10</v>
      </c>
      <c r="C3098" t="s">
        <v>75</v>
      </c>
      <c r="D3098">
        <v>5733</v>
      </c>
      <c r="E3098">
        <v>114</v>
      </c>
      <c r="F3098" s="1">
        <v>44664</v>
      </c>
      <c r="G3098" t="str">
        <f>IF(COUNTIFS(Table1_3[Country],Table1_3[[#This Row],[Country]],Table1_3[Product],Table1_3[[#This Row],[Product]],Table1_3[Sales Person],Table1_3[[#This Row],[Sales Person]],Table1_3[Amount],"&lt;=100")&gt;=2,"Contract","Deal")</f>
        <v>Deal</v>
      </c>
    </row>
    <row r="3099" spans="1:7" x14ac:dyDescent="0.3">
      <c r="A3099" t="s">
        <v>9</v>
      </c>
      <c r="B3099" t="s">
        <v>10</v>
      </c>
      <c r="C3099" t="s">
        <v>75</v>
      </c>
      <c r="D3099">
        <v>5799.3</v>
      </c>
      <c r="E3099">
        <v>125</v>
      </c>
      <c r="F3099" s="1">
        <v>45029</v>
      </c>
      <c r="G3099" t="str">
        <f>IF(COUNTIFS(Table1_3[Country],Table1_3[[#This Row],[Country]],Table1_3[Product],Table1_3[[#This Row],[Product]],Table1_3[Sales Person],Table1_3[[#This Row],[Sales Person]],Table1_3[Amount],"&lt;=100")&gt;=2,"Contract","Deal")</f>
        <v>Deal</v>
      </c>
    </row>
    <row r="3100" spans="1:7" x14ac:dyDescent="0.3">
      <c r="A3100" t="s">
        <v>9</v>
      </c>
      <c r="B3100" t="s">
        <v>10</v>
      </c>
      <c r="C3100" t="s">
        <v>75</v>
      </c>
      <c r="D3100">
        <v>6833.86</v>
      </c>
      <c r="E3100">
        <v>115</v>
      </c>
      <c r="F3100" s="1">
        <v>45395</v>
      </c>
      <c r="G3100" t="str">
        <f>IF(COUNTIFS(Table1_3[Country],Table1_3[[#This Row],[Country]],Table1_3[Product],Table1_3[[#This Row],[Product]],Table1_3[Sales Person],Table1_3[[#This Row],[Sales Person]],Table1_3[Amount],"&lt;=100")&gt;=2,"Contract","Deal")</f>
        <v>Deal</v>
      </c>
    </row>
    <row r="3101" spans="1:7" x14ac:dyDescent="0.3">
      <c r="A3101" t="s">
        <v>9</v>
      </c>
      <c r="B3101" t="s">
        <v>10</v>
      </c>
      <c r="C3101" t="s">
        <v>36</v>
      </c>
      <c r="D3101">
        <v>10500</v>
      </c>
      <c r="E3101">
        <v>106</v>
      </c>
      <c r="F3101" s="1">
        <v>44763</v>
      </c>
      <c r="G3101" t="str">
        <f>IF(COUNTIFS(Table1_3[Country],Table1_3[[#This Row],[Country]],Table1_3[Product],Table1_3[[#This Row],[Product]],Table1_3[Sales Person],Table1_3[[#This Row],[Sales Person]],Table1_3[Amount],"&lt;=100")&gt;=2,"Contract","Deal")</f>
        <v>Deal</v>
      </c>
    </row>
    <row r="3102" spans="1:7" x14ac:dyDescent="0.3">
      <c r="A3102" t="s">
        <v>9</v>
      </c>
      <c r="B3102" t="s">
        <v>10</v>
      </c>
      <c r="C3102" t="s">
        <v>36</v>
      </c>
      <c r="D3102">
        <v>11861.89</v>
      </c>
      <c r="E3102">
        <v>105</v>
      </c>
      <c r="F3102" s="1">
        <v>45128</v>
      </c>
      <c r="G3102" t="str">
        <f>IF(COUNTIFS(Table1_3[Country],Table1_3[[#This Row],[Country]],Table1_3[Product],Table1_3[[#This Row],[Product]],Table1_3[Sales Person],Table1_3[[#This Row],[Sales Person]],Table1_3[Amount],"&lt;=100")&gt;=2,"Contract","Deal")</f>
        <v>Deal</v>
      </c>
    </row>
    <row r="3103" spans="1:7" x14ac:dyDescent="0.3">
      <c r="A3103" t="s">
        <v>9</v>
      </c>
      <c r="B3103" t="s">
        <v>10</v>
      </c>
      <c r="C3103" t="s">
        <v>36</v>
      </c>
      <c r="D3103">
        <v>11064.27</v>
      </c>
      <c r="E3103">
        <v>104</v>
      </c>
      <c r="F3103" s="1">
        <v>45494</v>
      </c>
      <c r="G3103" t="str">
        <f>IF(COUNTIFS(Table1_3[Country],Table1_3[[#This Row],[Country]],Table1_3[Product],Table1_3[[#This Row],[Product]],Table1_3[Sales Person],Table1_3[[#This Row],[Sales Person]],Table1_3[Amount],"&lt;=100")&gt;=2,"Contract","Deal")</f>
        <v>Deal</v>
      </c>
    </row>
    <row r="3104" spans="1:7" x14ac:dyDescent="0.3">
      <c r="A3104" t="s">
        <v>9</v>
      </c>
      <c r="B3104" t="s">
        <v>10</v>
      </c>
      <c r="C3104" t="s">
        <v>42</v>
      </c>
      <c r="D3104">
        <v>19929</v>
      </c>
      <c r="E3104">
        <v>174</v>
      </c>
      <c r="F3104" s="1">
        <v>44697</v>
      </c>
      <c r="G3104" t="str">
        <f>IF(COUNTIFS(Table1_3[Country],Table1_3[[#This Row],[Country]],Table1_3[Product],Table1_3[[#This Row],[Product]],Table1_3[Sales Person],Table1_3[[#This Row],[Sales Person]],Table1_3[Amount],"&lt;=100")&gt;=2,"Contract","Deal")</f>
        <v>Deal</v>
      </c>
    </row>
    <row r="3105" spans="1:7" x14ac:dyDescent="0.3">
      <c r="A3105" t="s">
        <v>9</v>
      </c>
      <c r="B3105" t="s">
        <v>10</v>
      </c>
      <c r="C3105" t="s">
        <v>42</v>
      </c>
      <c r="D3105">
        <v>22751.18</v>
      </c>
      <c r="E3105">
        <v>182</v>
      </c>
      <c r="F3105" s="1">
        <v>45062</v>
      </c>
      <c r="G3105" t="str">
        <f>IF(COUNTIFS(Table1_3[Country],Table1_3[[#This Row],[Country]],Table1_3[Product],Table1_3[[#This Row],[Product]],Table1_3[Sales Person],Table1_3[[#This Row],[Sales Person]],Table1_3[Amount],"&lt;=100")&gt;=2,"Contract","Deal")</f>
        <v>Deal</v>
      </c>
    </row>
    <row r="3106" spans="1:7" x14ac:dyDescent="0.3">
      <c r="A3106" t="s">
        <v>9</v>
      </c>
      <c r="B3106" t="s">
        <v>10</v>
      </c>
      <c r="C3106" t="s">
        <v>42</v>
      </c>
      <c r="D3106">
        <v>22701.85</v>
      </c>
      <c r="E3106">
        <v>168</v>
      </c>
      <c r="F3106" s="1">
        <v>45428</v>
      </c>
      <c r="G3106" t="str">
        <f>IF(COUNTIFS(Table1_3[Country],Table1_3[[#This Row],[Country]],Table1_3[Product],Table1_3[[#This Row],[Product]],Table1_3[Sales Person],Table1_3[[#This Row],[Sales Person]],Table1_3[Amount],"&lt;=100")&gt;=2,"Contract","Deal")</f>
        <v>Deal</v>
      </c>
    </row>
    <row r="3107" spans="1:7" x14ac:dyDescent="0.3">
      <c r="A3107" t="s">
        <v>9</v>
      </c>
      <c r="B3107" t="s">
        <v>10</v>
      </c>
      <c r="C3107" t="s">
        <v>18</v>
      </c>
      <c r="D3107">
        <v>5376</v>
      </c>
      <c r="E3107">
        <v>38</v>
      </c>
      <c r="F3107" s="1">
        <v>44718</v>
      </c>
      <c r="G3107" t="str">
        <f>IF(COUNTIFS(Table1_3[Country],Table1_3[[#This Row],[Country]],Table1_3[Product],Table1_3[[#This Row],[Product]],Table1_3[Sales Person],Table1_3[[#This Row],[Sales Person]],Table1_3[Amount],"&lt;=100")&gt;=2,"Contract","Deal")</f>
        <v>Deal</v>
      </c>
    </row>
    <row r="3108" spans="1:7" x14ac:dyDescent="0.3">
      <c r="A3108" t="s">
        <v>9</v>
      </c>
      <c r="B3108" t="s">
        <v>10</v>
      </c>
      <c r="C3108" t="s">
        <v>18</v>
      </c>
      <c r="D3108">
        <v>5768.75</v>
      </c>
      <c r="E3108">
        <v>37</v>
      </c>
      <c r="F3108" s="1">
        <v>45083</v>
      </c>
      <c r="G3108" t="str">
        <f>IF(COUNTIFS(Table1_3[Country],Table1_3[[#This Row],[Country]],Table1_3[Product],Table1_3[[#This Row],[Product]],Table1_3[Sales Person],Table1_3[[#This Row],[Sales Person]],Table1_3[Amount],"&lt;=100")&gt;=2,"Contract","Deal")</f>
        <v>Deal</v>
      </c>
    </row>
    <row r="3109" spans="1:7" x14ac:dyDescent="0.3">
      <c r="A3109" t="s">
        <v>9</v>
      </c>
      <c r="B3109" t="s">
        <v>10</v>
      </c>
      <c r="C3109" t="s">
        <v>18</v>
      </c>
      <c r="D3109">
        <v>6429.35</v>
      </c>
      <c r="E3109">
        <v>40</v>
      </c>
      <c r="F3109" s="1">
        <v>45449</v>
      </c>
      <c r="G3109" t="str">
        <f>IF(COUNTIFS(Table1_3[Country],Table1_3[[#This Row],[Country]],Table1_3[Product],Table1_3[[#This Row],[Product]],Table1_3[Sales Person],Table1_3[[#This Row],[Sales Person]],Table1_3[Amount],"&lt;=100")&gt;=2,"Contract","Deal")</f>
        <v>Deal</v>
      </c>
    </row>
    <row r="3110" spans="1:7" x14ac:dyDescent="0.3">
      <c r="A3110" t="s">
        <v>9</v>
      </c>
      <c r="B3110" t="s">
        <v>10</v>
      </c>
      <c r="C3110" t="s">
        <v>50</v>
      </c>
      <c r="D3110">
        <v>6167</v>
      </c>
      <c r="E3110">
        <v>4</v>
      </c>
      <c r="F3110" s="1">
        <v>44662</v>
      </c>
      <c r="G3110" t="str">
        <f>IF(COUNTIFS(Table1_3[Country],Table1_3[[#This Row],[Country]],Table1_3[Product],Table1_3[[#This Row],[Product]],Table1_3[Sales Person],Table1_3[[#This Row],[Sales Person]],Table1_3[Amount],"&lt;=100")&gt;=2,"Contract","Deal")</f>
        <v>Deal</v>
      </c>
    </row>
    <row r="3111" spans="1:7" x14ac:dyDescent="0.3">
      <c r="A3111" t="s">
        <v>9</v>
      </c>
      <c r="B3111" t="s">
        <v>10</v>
      </c>
      <c r="C3111" t="s">
        <v>50</v>
      </c>
      <c r="D3111">
        <v>6874.06</v>
      </c>
      <c r="E3111">
        <v>4</v>
      </c>
      <c r="F3111" s="1">
        <v>45027</v>
      </c>
      <c r="G3111" t="str">
        <f>IF(COUNTIFS(Table1_3[Country],Table1_3[[#This Row],[Country]],Table1_3[Product],Table1_3[[#This Row],[Product]],Table1_3[Sales Person],Table1_3[[#This Row],[Sales Person]],Table1_3[Amount],"&lt;=100")&gt;=2,"Contract","Deal")</f>
        <v>Deal</v>
      </c>
    </row>
    <row r="3112" spans="1:7" x14ac:dyDescent="0.3">
      <c r="A3112" t="s">
        <v>9</v>
      </c>
      <c r="B3112" t="s">
        <v>10</v>
      </c>
      <c r="C3112" t="s">
        <v>50</v>
      </c>
      <c r="D3112">
        <v>6811.55</v>
      </c>
      <c r="E3112">
        <v>4</v>
      </c>
      <c r="F3112" s="1">
        <v>45393</v>
      </c>
      <c r="G3112" t="str">
        <f>IF(COUNTIFS(Table1_3[Country],Table1_3[[#This Row],[Country]],Table1_3[Product],Table1_3[[#This Row],[Product]],Table1_3[Sales Person],Table1_3[[#This Row],[Sales Person]],Table1_3[Amount],"&lt;=100")&gt;=2,"Contract","Deal")</f>
        <v>Deal</v>
      </c>
    </row>
    <row r="3113" spans="1:7" x14ac:dyDescent="0.3">
      <c r="A3113" t="s">
        <v>9</v>
      </c>
      <c r="B3113" t="s">
        <v>10</v>
      </c>
      <c r="C3113" t="s">
        <v>59</v>
      </c>
      <c r="D3113">
        <v>1897</v>
      </c>
      <c r="E3113">
        <v>44</v>
      </c>
      <c r="F3113" s="1">
        <v>44635</v>
      </c>
      <c r="G3113" t="str">
        <f>IF(COUNTIFS(Table1_3[Country],Table1_3[[#This Row],[Country]],Table1_3[Product],Table1_3[[#This Row],[Product]],Table1_3[Sales Person],Table1_3[[#This Row],[Sales Person]],Table1_3[Amount],"&lt;=100")&gt;=2,"Contract","Deal")</f>
        <v>Deal</v>
      </c>
    </row>
    <row r="3114" spans="1:7" x14ac:dyDescent="0.3">
      <c r="A3114" t="s">
        <v>9</v>
      </c>
      <c r="B3114" t="s">
        <v>10</v>
      </c>
      <c r="C3114" t="s">
        <v>59</v>
      </c>
      <c r="D3114">
        <v>2183.6799999999998</v>
      </c>
      <c r="E3114">
        <v>46</v>
      </c>
      <c r="F3114" s="1">
        <v>45000</v>
      </c>
      <c r="G3114" t="str">
        <f>IF(COUNTIFS(Table1_3[Country],Table1_3[[#This Row],[Country]],Table1_3[Product],Table1_3[[#This Row],[Product]],Table1_3[Sales Person],Table1_3[[#This Row],[Sales Person]],Table1_3[Amount],"&lt;=100")&gt;=2,"Contract","Deal")</f>
        <v>Deal</v>
      </c>
    </row>
    <row r="3115" spans="1:7" x14ac:dyDescent="0.3">
      <c r="A3115" t="s">
        <v>9</v>
      </c>
      <c r="B3115" t="s">
        <v>10</v>
      </c>
      <c r="C3115" t="s">
        <v>59</v>
      </c>
      <c r="D3115">
        <v>2119.42</v>
      </c>
      <c r="E3115">
        <v>46</v>
      </c>
      <c r="F3115" s="1">
        <v>45366</v>
      </c>
      <c r="G3115" t="str">
        <f>IF(COUNTIFS(Table1_3[Country],Table1_3[[#This Row],[Country]],Table1_3[Product],Table1_3[[#This Row],[Product]],Table1_3[Sales Person],Table1_3[[#This Row],[Sales Person]],Table1_3[Amount],"&lt;=100")&gt;=2,"Contract","Deal")</f>
        <v>Deal</v>
      </c>
    </row>
    <row r="3116" spans="1:7" x14ac:dyDescent="0.3">
      <c r="A3116" t="s">
        <v>9</v>
      </c>
      <c r="B3116" t="s">
        <v>25</v>
      </c>
      <c r="C3116" t="s">
        <v>26</v>
      </c>
      <c r="D3116">
        <v>3626</v>
      </c>
      <c r="E3116">
        <v>10</v>
      </c>
      <c r="F3116" s="1">
        <v>44753</v>
      </c>
      <c r="G3116" t="str">
        <f>IF(COUNTIFS(Table1_3[Country],Table1_3[[#This Row],[Country]],Table1_3[Product],Table1_3[[#This Row],[Product]],Table1_3[Sales Person],Table1_3[[#This Row],[Sales Person]],Table1_3[Amount],"&lt;=100")&gt;=2,"Contract","Deal")</f>
        <v>Deal</v>
      </c>
    </row>
    <row r="3117" spans="1:7" x14ac:dyDescent="0.3">
      <c r="A3117" t="s">
        <v>9</v>
      </c>
      <c r="B3117" t="s">
        <v>25</v>
      </c>
      <c r="C3117" t="s">
        <v>26</v>
      </c>
      <c r="D3117">
        <v>4162.28</v>
      </c>
      <c r="E3117">
        <v>11</v>
      </c>
      <c r="F3117" s="1">
        <v>45118</v>
      </c>
      <c r="G3117" t="str">
        <f>IF(COUNTIFS(Table1_3[Country],Table1_3[[#This Row],[Country]],Table1_3[Product],Table1_3[[#This Row],[Product]],Table1_3[Sales Person],Table1_3[[#This Row],[Sales Person]],Table1_3[Amount],"&lt;=100")&gt;=2,"Contract","Deal")</f>
        <v>Deal</v>
      </c>
    </row>
    <row r="3118" spans="1:7" x14ac:dyDescent="0.3">
      <c r="A3118" t="s">
        <v>9</v>
      </c>
      <c r="B3118" t="s">
        <v>25</v>
      </c>
      <c r="C3118" t="s">
        <v>26</v>
      </c>
      <c r="D3118">
        <v>4332.41</v>
      </c>
      <c r="E3118">
        <v>10</v>
      </c>
      <c r="F3118" s="1">
        <v>45484</v>
      </c>
      <c r="G3118" t="str">
        <f>IF(COUNTIFS(Table1_3[Country],Table1_3[[#This Row],[Country]],Table1_3[Product],Table1_3[[#This Row],[Product]],Table1_3[Sales Person],Table1_3[[#This Row],[Sales Person]],Table1_3[Amount],"&lt;=100")&gt;=2,"Contract","Deal")</f>
        <v>Deal</v>
      </c>
    </row>
    <row r="3119" spans="1:7" x14ac:dyDescent="0.3">
      <c r="A3119" t="s">
        <v>9</v>
      </c>
      <c r="B3119" t="s">
        <v>25</v>
      </c>
      <c r="C3119" t="s">
        <v>11</v>
      </c>
      <c r="D3119">
        <v>1722</v>
      </c>
      <c r="E3119">
        <v>121</v>
      </c>
      <c r="F3119" s="1">
        <v>44705</v>
      </c>
      <c r="G3119" t="str">
        <f>IF(COUNTIFS(Table1_3[Country],Table1_3[[#This Row],[Country]],Table1_3[Product],Table1_3[[#This Row],[Product]],Table1_3[Sales Person],Table1_3[[#This Row],[Sales Person]],Table1_3[Amount],"&lt;=100")&gt;=2,"Contract","Deal")</f>
        <v>Deal</v>
      </c>
    </row>
    <row r="3120" spans="1:7" x14ac:dyDescent="0.3">
      <c r="A3120" t="s">
        <v>9</v>
      </c>
      <c r="B3120" t="s">
        <v>25</v>
      </c>
      <c r="C3120" t="s">
        <v>11</v>
      </c>
      <c r="D3120">
        <v>1838.78</v>
      </c>
      <c r="E3120">
        <v>121</v>
      </c>
      <c r="F3120" s="1">
        <v>45070</v>
      </c>
      <c r="G3120" t="str">
        <f>IF(COUNTIFS(Table1_3[Country],Table1_3[[#This Row],[Country]],Table1_3[Product],Table1_3[[#This Row],[Product]],Table1_3[Sales Person],Table1_3[[#This Row],[Sales Person]],Table1_3[Amount],"&lt;=100")&gt;=2,"Contract","Deal")</f>
        <v>Deal</v>
      </c>
    </row>
    <row r="3121" spans="1:7" x14ac:dyDescent="0.3">
      <c r="A3121" t="s">
        <v>9</v>
      </c>
      <c r="B3121" t="s">
        <v>25</v>
      </c>
      <c r="C3121" t="s">
        <v>11</v>
      </c>
      <c r="D3121">
        <v>2006.71</v>
      </c>
      <c r="E3121">
        <v>124</v>
      </c>
      <c r="F3121" s="1">
        <v>45436</v>
      </c>
      <c r="G3121" t="str">
        <f>IF(COUNTIFS(Table1_3[Country],Table1_3[[#This Row],[Country]],Table1_3[Product],Table1_3[[#This Row],[Product]],Table1_3[Sales Person],Table1_3[[#This Row],[Sales Person]],Table1_3[Amount],"&lt;=100")&gt;=2,"Contract","Deal")</f>
        <v>Deal</v>
      </c>
    </row>
    <row r="3122" spans="1:7" x14ac:dyDescent="0.3">
      <c r="A3122" t="s">
        <v>9</v>
      </c>
      <c r="B3122" t="s">
        <v>25</v>
      </c>
      <c r="C3122" t="s">
        <v>87</v>
      </c>
      <c r="D3122">
        <v>9660</v>
      </c>
      <c r="E3122">
        <v>24</v>
      </c>
      <c r="F3122" s="1">
        <v>44642</v>
      </c>
      <c r="G3122" t="str">
        <f>IF(COUNTIFS(Table1_3[Country],Table1_3[[#This Row],[Country]],Table1_3[Product],Table1_3[[#This Row],[Product]],Table1_3[Sales Person],Table1_3[[#This Row],[Sales Person]],Table1_3[Amount],"&lt;=100")&gt;=2,"Contract","Deal")</f>
        <v>Deal</v>
      </c>
    </row>
    <row r="3123" spans="1:7" x14ac:dyDescent="0.3">
      <c r="A3123" t="s">
        <v>9</v>
      </c>
      <c r="B3123" t="s">
        <v>25</v>
      </c>
      <c r="C3123" t="s">
        <v>87</v>
      </c>
      <c r="D3123">
        <v>9828.94</v>
      </c>
      <c r="E3123">
        <v>24</v>
      </c>
      <c r="F3123" s="1">
        <v>45007</v>
      </c>
      <c r="G3123" t="str">
        <f>IF(COUNTIFS(Table1_3[Country],Table1_3[[#This Row],[Country]],Table1_3[Product],Table1_3[[#This Row],[Product]],Table1_3[Sales Person],Table1_3[[#This Row],[Sales Person]],Table1_3[Amount],"&lt;=100")&gt;=2,"Contract","Deal")</f>
        <v>Deal</v>
      </c>
    </row>
    <row r="3124" spans="1:7" x14ac:dyDescent="0.3">
      <c r="A3124" t="s">
        <v>9</v>
      </c>
      <c r="B3124" t="s">
        <v>25</v>
      </c>
      <c r="C3124" t="s">
        <v>87</v>
      </c>
      <c r="D3124">
        <v>10197.43</v>
      </c>
      <c r="E3124">
        <v>24</v>
      </c>
      <c r="F3124" s="1">
        <v>45373</v>
      </c>
      <c r="G3124" t="str">
        <f>IF(COUNTIFS(Table1_3[Country],Table1_3[[#This Row],[Country]],Table1_3[Product],Table1_3[[#This Row],[Product]],Table1_3[Sales Person],Table1_3[[#This Row],[Sales Person]],Table1_3[Amount],"&lt;=100")&gt;=2,"Contract","Deal")</f>
        <v>Deal</v>
      </c>
    </row>
    <row r="3125" spans="1:7" x14ac:dyDescent="0.3">
      <c r="A3125" t="s">
        <v>9</v>
      </c>
      <c r="B3125" t="s">
        <v>25</v>
      </c>
      <c r="C3125" t="s">
        <v>36</v>
      </c>
      <c r="D3125">
        <v>5229</v>
      </c>
      <c r="E3125">
        <v>182</v>
      </c>
      <c r="F3125" s="1">
        <v>44621</v>
      </c>
      <c r="G3125" t="str">
        <f>IF(COUNTIFS(Table1_3[Country],Table1_3[[#This Row],[Country]],Table1_3[Product],Table1_3[[#This Row],[Product]],Table1_3[Sales Person],Table1_3[[#This Row],[Sales Person]],Table1_3[Amount],"&lt;=100")&gt;=2,"Contract","Deal")</f>
        <v>Deal</v>
      </c>
    </row>
    <row r="3126" spans="1:7" x14ac:dyDescent="0.3">
      <c r="A3126" t="s">
        <v>9</v>
      </c>
      <c r="B3126" t="s">
        <v>25</v>
      </c>
      <c r="C3126" t="s">
        <v>36</v>
      </c>
      <c r="D3126">
        <v>5747.66</v>
      </c>
      <c r="E3126">
        <v>176</v>
      </c>
      <c r="F3126" s="1">
        <v>44986</v>
      </c>
      <c r="G3126" t="str">
        <f>IF(COUNTIFS(Table1_3[Country],Table1_3[[#This Row],[Country]],Table1_3[Product],Table1_3[[#This Row],[Product]],Table1_3[Sales Person],Table1_3[[#This Row],[Sales Person]],Table1_3[Amount],"&lt;=100")&gt;=2,"Contract","Deal")</f>
        <v>Deal</v>
      </c>
    </row>
    <row r="3127" spans="1:7" x14ac:dyDescent="0.3">
      <c r="A3127" t="s">
        <v>9</v>
      </c>
      <c r="B3127" t="s">
        <v>25</v>
      </c>
      <c r="C3127" t="s">
        <v>36</v>
      </c>
      <c r="D3127">
        <v>5774.6</v>
      </c>
      <c r="E3127">
        <v>178</v>
      </c>
      <c r="F3127" s="1">
        <v>45352</v>
      </c>
      <c r="G3127" t="str">
        <f>IF(COUNTIFS(Table1_3[Country],Table1_3[[#This Row],[Country]],Table1_3[Product],Table1_3[[#This Row],[Product]],Table1_3[Sales Person],Table1_3[[#This Row],[Sales Person]],Table1_3[Amount],"&lt;=100")&gt;=2,"Contract","Deal")</f>
        <v>Deal</v>
      </c>
    </row>
    <row r="3128" spans="1:7" x14ac:dyDescent="0.3">
      <c r="A3128" t="s">
        <v>9</v>
      </c>
      <c r="B3128" t="s">
        <v>25</v>
      </c>
      <c r="C3128" t="s">
        <v>57</v>
      </c>
      <c r="D3128">
        <v>2996</v>
      </c>
      <c r="E3128">
        <v>88</v>
      </c>
      <c r="F3128" s="1">
        <v>44578</v>
      </c>
      <c r="G3128" t="str">
        <f>IF(COUNTIFS(Table1_3[Country],Table1_3[[#This Row],[Country]],Table1_3[Product],Table1_3[[#This Row],[Product]],Table1_3[Sales Person],Table1_3[[#This Row],[Sales Person]],Table1_3[Amount],"&lt;=100")&gt;=2,"Contract","Deal")</f>
        <v>Deal</v>
      </c>
    </row>
    <row r="3129" spans="1:7" x14ac:dyDescent="0.3">
      <c r="A3129" t="s">
        <v>9</v>
      </c>
      <c r="B3129" t="s">
        <v>25</v>
      </c>
      <c r="C3129" t="s">
        <v>57</v>
      </c>
      <c r="D3129">
        <v>3184.03</v>
      </c>
      <c r="E3129">
        <v>85</v>
      </c>
      <c r="F3129" s="1">
        <v>44943</v>
      </c>
      <c r="G3129" t="str">
        <f>IF(COUNTIFS(Table1_3[Country],Table1_3[[#This Row],[Country]],Table1_3[Product],Table1_3[[#This Row],[Product]],Table1_3[Sales Person],Table1_3[[#This Row],[Sales Person]],Table1_3[Amount],"&lt;=100")&gt;=2,"Contract","Deal")</f>
        <v>Deal</v>
      </c>
    </row>
    <row r="3130" spans="1:7" x14ac:dyDescent="0.3">
      <c r="A3130" t="s">
        <v>9</v>
      </c>
      <c r="B3130" t="s">
        <v>25</v>
      </c>
      <c r="C3130" t="s">
        <v>57</v>
      </c>
      <c r="D3130">
        <v>3400.47</v>
      </c>
      <c r="E3130">
        <v>92</v>
      </c>
      <c r="F3130" s="1">
        <v>45308</v>
      </c>
      <c r="G3130" t="str">
        <f>IF(COUNTIFS(Table1_3[Country],Table1_3[[#This Row],[Country]],Table1_3[Product],Table1_3[[#This Row],[Product]],Table1_3[Sales Person],Table1_3[[#This Row],[Sales Person]],Table1_3[Amount],"&lt;=100")&gt;=2,"Contract","Deal")</f>
        <v>Deal</v>
      </c>
    </row>
    <row r="3131" spans="1:7" x14ac:dyDescent="0.3">
      <c r="A3131" t="s">
        <v>9</v>
      </c>
      <c r="B3131" t="s">
        <v>25</v>
      </c>
      <c r="C3131" t="s">
        <v>8</v>
      </c>
      <c r="D3131">
        <v>4046</v>
      </c>
      <c r="E3131">
        <v>103</v>
      </c>
      <c r="F3131" s="1">
        <v>44739</v>
      </c>
      <c r="G3131" t="str">
        <f>IF(COUNTIFS(Table1_3[Country],Table1_3[[#This Row],[Country]],Table1_3[Product],Table1_3[[#This Row],[Product]],Table1_3[Sales Person],Table1_3[[#This Row],[Sales Person]],Table1_3[Amount],"&lt;=100")&gt;=2,"Contract","Deal")</f>
        <v>Deal</v>
      </c>
    </row>
    <row r="3132" spans="1:7" x14ac:dyDescent="0.3">
      <c r="A3132" t="s">
        <v>9</v>
      </c>
      <c r="B3132" t="s">
        <v>25</v>
      </c>
      <c r="C3132" t="s">
        <v>8</v>
      </c>
      <c r="D3132">
        <v>4351.3100000000004</v>
      </c>
      <c r="E3132">
        <v>103</v>
      </c>
      <c r="F3132" s="1">
        <v>45104</v>
      </c>
      <c r="G3132" t="str">
        <f>IF(COUNTIFS(Table1_3[Country],Table1_3[[#This Row],[Country]],Table1_3[Product],Table1_3[[#This Row],[Product]],Table1_3[Sales Person],Table1_3[[#This Row],[Sales Person]],Table1_3[Amount],"&lt;=100")&gt;=2,"Contract","Deal")</f>
        <v>Deal</v>
      </c>
    </row>
    <row r="3133" spans="1:7" x14ac:dyDescent="0.3">
      <c r="A3133" t="s">
        <v>9</v>
      </c>
      <c r="B3133" t="s">
        <v>25</v>
      </c>
      <c r="C3133" t="s">
        <v>8</v>
      </c>
      <c r="D3133">
        <v>4486.37</v>
      </c>
      <c r="E3133">
        <v>104</v>
      </c>
      <c r="F3133" s="1">
        <v>45470</v>
      </c>
      <c r="G3133" t="str">
        <f>IF(COUNTIFS(Table1_3[Country],Table1_3[[#This Row],[Country]],Table1_3[Product],Table1_3[[#This Row],[Product]],Table1_3[Sales Person],Table1_3[[#This Row],[Sales Person]],Table1_3[Amount],"&lt;=100")&gt;=2,"Contract","Deal")</f>
        <v>Deal</v>
      </c>
    </row>
    <row r="3134" spans="1:7" x14ac:dyDescent="0.3">
      <c r="A3134" t="s">
        <v>9</v>
      </c>
      <c r="B3134" t="s">
        <v>25</v>
      </c>
      <c r="C3134" t="s">
        <v>18</v>
      </c>
      <c r="D3134">
        <v>3115</v>
      </c>
      <c r="E3134">
        <v>42</v>
      </c>
      <c r="F3134" s="1">
        <v>44726</v>
      </c>
      <c r="G3134" t="str">
        <f>IF(COUNTIFS(Table1_3[Country],Table1_3[[#This Row],[Country]],Table1_3[Product],Table1_3[[#This Row],[Product]],Table1_3[Sales Person],Table1_3[[#This Row],[Sales Person]],Table1_3[Amount],"&lt;=100")&gt;=2,"Contract","Deal")</f>
        <v>Deal</v>
      </c>
    </row>
    <row r="3135" spans="1:7" x14ac:dyDescent="0.3">
      <c r="A3135" t="s">
        <v>9</v>
      </c>
      <c r="B3135" t="s">
        <v>25</v>
      </c>
      <c r="C3135" t="s">
        <v>18</v>
      </c>
      <c r="D3135">
        <v>3112.3</v>
      </c>
      <c r="E3135">
        <v>41</v>
      </c>
      <c r="F3135" s="1">
        <v>45091</v>
      </c>
      <c r="G3135" t="str">
        <f>IF(COUNTIFS(Table1_3[Country],Table1_3[[#This Row],[Country]],Table1_3[Product],Table1_3[[#This Row],[Product]],Table1_3[Sales Person],Table1_3[[#This Row],[Sales Person]],Table1_3[Amount],"&lt;=100")&gt;=2,"Contract","Deal")</f>
        <v>Deal</v>
      </c>
    </row>
    <row r="3136" spans="1:7" x14ac:dyDescent="0.3">
      <c r="A3136" t="s">
        <v>9</v>
      </c>
      <c r="B3136" t="s">
        <v>25</v>
      </c>
      <c r="C3136" t="s">
        <v>18</v>
      </c>
      <c r="D3136">
        <v>3608.83</v>
      </c>
      <c r="E3136">
        <v>46</v>
      </c>
      <c r="F3136" s="1">
        <v>45457</v>
      </c>
      <c r="G3136" t="str">
        <f>IF(COUNTIFS(Table1_3[Country],Table1_3[[#This Row],[Country]],Table1_3[Product],Table1_3[[#This Row],[Product]],Table1_3[Sales Person],Table1_3[[#This Row],[Sales Person]],Table1_3[Amount],"&lt;=100")&gt;=2,"Contract","Deal")</f>
        <v>Deal</v>
      </c>
    </row>
    <row r="3137" spans="1:7" x14ac:dyDescent="0.3">
      <c r="A3137" t="s">
        <v>9</v>
      </c>
      <c r="B3137" t="s">
        <v>7</v>
      </c>
      <c r="C3137" t="s">
        <v>11</v>
      </c>
      <c r="D3137">
        <v>3577</v>
      </c>
      <c r="E3137">
        <v>134</v>
      </c>
      <c r="F3137" s="1">
        <v>44753</v>
      </c>
      <c r="G3137" t="str">
        <f>IF(COUNTIFS(Table1_3[Country],Table1_3[[#This Row],[Country]],Table1_3[Product],Table1_3[[#This Row],[Product]],Table1_3[Sales Person],Table1_3[[#This Row],[Sales Person]],Table1_3[Amount],"&lt;=100")&gt;=2,"Contract","Deal")</f>
        <v>Deal</v>
      </c>
    </row>
    <row r="3138" spans="1:7" x14ac:dyDescent="0.3">
      <c r="A3138" t="s">
        <v>9</v>
      </c>
      <c r="B3138" t="s">
        <v>7</v>
      </c>
      <c r="C3138" t="s">
        <v>11</v>
      </c>
      <c r="D3138">
        <v>4029.28</v>
      </c>
      <c r="E3138">
        <v>128</v>
      </c>
      <c r="F3138" s="1">
        <v>45118</v>
      </c>
      <c r="G3138" t="str">
        <f>IF(COUNTIFS(Table1_3[Country],Table1_3[[#This Row],[Country]],Table1_3[Product],Table1_3[[#This Row],[Product]],Table1_3[Sales Person],Table1_3[[#This Row],[Sales Person]],Table1_3[Amount],"&lt;=100")&gt;=2,"Contract","Deal")</f>
        <v>Deal</v>
      </c>
    </row>
    <row r="3139" spans="1:7" x14ac:dyDescent="0.3">
      <c r="A3139" t="s">
        <v>9</v>
      </c>
      <c r="B3139" t="s">
        <v>7</v>
      </c>
      <c r="C3139" t="s">
        <v>11</v>
      </c>
      <c r="D3139">
        <v>4179.91</v>
      </c>
      <c r="E3139">
        <v>140</v>
      </c>
      <c r="F3139" s="1">
        <v>45484</v>
      </c>
      <c r="G3139" t="str">
        <f>IF(COUNTIFS(Table1_3[Country],Table1_3[[#This Row],[Country]],Table1_3[Product],Table1_3[[#This Row],[Product]],Table1_3[Sales Person],Table1_3[[#This Row],[Sales Person]],Table1_3[Amount],"&lt;=100")&gt;=2,"Contract","Deal")</f>
        <v>Deal</v>
      </c>
    </row>
    <row r="3140" spans="1:7" x14ac:dyDescent="0.3">
      <c r="A3140" t="s">
        <v>9</v>
      </c>
      <c r="B3140" t="s">
        <v>7</v>
      </c>
      <c r="C3140" t="s">
        <v>20</v>
      </c>
      <c r="D3140">
        <v>4725</v>
      </c>
      <c r="E3140">
        <v>137</v>
      </c>
      <c r="F3140" s="1">
        <v>44592</v>
      </c>
      <c r="G3140" t="str">
        <f>IF(COUNTIFS(Table1_3[Country],Table1_3[[#This Row],[Country]],Table1_3[Product],Table1_3[[#This Row],[Product]],Table1_3[Sales Person],Table1_3[[#This Row],[Sales Person]],Table1_3[Amount],"&lt;=100")&gt;=2,"Contract","Deal")</f>
        <v>Deal</v>
      </c>
    </row>
    <row r="3141" spans="1:7" x14ac:dyDescent="0.3">
      <c r="A3141" t="s">
        <v>9</v>
      </c>
      <c r="B3141" t="s">
        <v>7</v>
      </c>
      <c r="C3141" t="s">
        <v>20</v>
      </c>
      <c r="D3141">
        <v>4993.21</v>
      </c>
      <c r="E3141">
        <v>145</v>
      </c>
      <c r="F3141" s="1">
        <v>44957</v>
      </c>
      <c r="G3141" t="str">
        <f>IF(COUNTIFS(Table1_3[Country],Table1_3[[#This Row],[Country]],Table1_3[Product],Table1_3[[#This Row],[Product]],Table1_3[Sales Person],Table1_3[[#This Row],[Sales Person]],Table1_3[Amount],"&lt;=100")&gt;=2,"Contract","Deal")</f>
        <v>Deal</v>
      </c>
    </row>
    <row r="3142" spans="1:7" x14ac:dyDescent="0.3">
      <c r="A3142" t="s">
        <v>9</v>
      </c>
      <c r="B3142" t="s">
        <v>7</v>
      </c>
      <c r="C3142" t="s">
        <v>20</v>
      </c>
      <c r="D3142">
        <v>5283.91</v>
      </c>
      <c r="E3142">
        <v>136</v>
      </c>
      <c r="F3142" s="1">
        <v>45322</v>
      </c>
      <c r="G3142" t="str">
        <f>IF(COUNTIFS(Table1_3[Country],Table1_3[[#This Row],[Country]],Table1_3[Product],Table1_3[[#This Row],[Product]],Table1_3[Sales Person],Table1_3[[#This Row],[Sales Person]],Table1_3[Amount],"&lt;=100")&gt;=2,"Contract","Deal")</f>
        <v>Deal</v>
      </c>
    </row>
    <row r="3143" spans="1:7" x14ac:dyDescent="0.3">
      <c r="A3143" t="s">
        <v>9</v>
      </c>
      <c r="B3143" t="s">
        <v>7</v>
      </c>
      <c r="C3143" t="s">
        <v>65</v>
      </c>
      <c r="D3143">
        <v>10689</v>
      </c>
      <c r="E3143">
        <v>204</v>
      </c>
      <c r="F3143" s="1">
        <v>44718</v>
      </c>
      <c r="G3143" t="str">
        <f>IF(COUNTIFS(Table1_3[Country],Table1_3[[#This Row],[Country]],Table1_3[Product],Table1_3[[#This Row],[Product]],Table1_3[Sales Person],Table1_3[[#This Row],[Sales Person]],Table1_3[Amount],"&lt;=100")&gt;=2,"Contract","Deal")</f>
        <v>Deal</v>
      </c>
    </row>
    <row r="3144" spans="1:7" x14ac:dyDescent="0.3">
      <c r="A3144" t="s">
        <v>9</v>
      </c>
      <c r="B3144" t="s">
        <v>7</v>
      </c>
      <c r="C3144" t="s">
        <v>65</v>
      </c>
      <c r="D3144">
        <v>11258.39</v>
      </c>
      <c r="E3144">
        <v>217</v>
      </c>
      <c r="F3144" s="1">
        <v>45083</v>
      </c>
      <c r="G3144" t="str">
        <f>IF(COUNTIFS(Table1_3[Country],Table1_3[[#This Row],[Country]],Table1_3[Product],Table1_3[[#This Row],[Product]],Table1_3[Sales Person],Table1_3[[#This Row],[Sales Person]],Table1_3[Amount],"&lt;=100")&gt;=2,"Contract","Deal")</f>
        <v>Deal</v>
      </c>
    </row>
    <row r="3145" spans="1:7" x14ac:dyDescent="0.3">
      <c r="A3145" t="s">
        <v>9</v>
      </c>
      <c r="B3145" t="s">
        <v>7</v>
      </c>
      <c r="C3145" t="s">
        <v>65</v>
      </c>
      <c r="D3145">
        <v>12123.84</v>
      </c>
      <c r="E3145">
        <v>222</v>
      </c>
      <c r="F3145" s="1">
        <v>45449</v>
      </c>
      <c r="G3145" t="str">
        <f>IF(COUNTIFS(Table1_3[Country],Table1_3[[#This Row],[Country]],Table1_3[Product],Table1_3[[#This Row],[Product]],Table1_3[Sales Person],Table1_3[[#This Row],[Sales Person]],Table1_3[Amount],"&lt;=100")&gt;=2,"Contract","Deal")</f>
        <v>Deal</v>
      </c>
    </row>
    <row r="3146" spans="1:7" x14ac:dyDescent="0.3">
      <c r="A3146" t="s">
        <v>9</v>
      </c>
      <c r="B3146" t="s">
        <v>7</v>
      </c>
      <c r="C3146" t="s">
        <v>87</v>
      </c>
      <c r="D3146">
        <v>2443</v>
      </c>
      <c r="E3146">
        <v>20</v>
      </c>
      <c r="F3146" s="1">
        <v>44644</v>
      </c>
      <c r="G3146" t="str">
        <f>IF(COUNTIFS(Table1_3[Country],Table1_3[[#This Row],[Country]],Table1_3[Product],Table1_3[[#This Row],[Product]],Table1_3[Sales Person],Table1_3[[#This Row],[Sales Person]],Table1_3[Amount],"&lt;=100")&gt;=2,"Contract","Deal")</f>
        <v>Deal</v>
      </c>
    </row>
    <row r="3147" spans="1:7" x14ac:dyDescent="0.3">
      <c r="A3147" t="s">
        <v>9</v>
      </c>
      <c r="B3147" t="s">
        <v>7</v>
      </c>
      <c r="C3147" t="s">
        <v>87</v>
      </c>
      <c r="D3147">
        <v>2678.37</v>
      </c>
      <c r="E3147">
        <v>20</v>
      </c>
      <c r="F3147" s="1">
        <v>45009</v>
      </c>
      <c r="G3147" t="str">
        <f>IF(COUNTIFS(Table1_3[Country],Table1_3[[#This Row],[Country]],Table1_3[Product],Table1_3[[#This Row],[Product]],Table1_3[Sales Person],Table1_3[[#This Row],[Sales Person]],Table1_3[Amount],"&lt;=100")&gt;=2,"Contract","Deal")</f>
        <v>Deal</v>
      </c>
    </row>
    <row r="3148" spans="1:7" x14ac:dyDescent="0.3">
      <c r="A3148" t="s">
        <v>9</v>
      </c>
      <c r="B3148" t="s">
        <v>7</v>
      </c>
      <c r="C3148" t="s">
        <v>87</v>
      </c>
      <c r="D3148">
        <v>2794.33</v>
      </c>
      <c r="E3148">
        <v>21</v>
      </c>
      <c r="F3148" s="1">
        <v>45375</v>
      </c>
      <c r="G3148" t="str">
        <f>IF(COUNTIFS(Table1_3[Country],Table1_3[[#This Row],[Country]],Table1_3[Product],Table1_3[[#This Row],[Product]],Table1_3[Sales Person],Table1_3[[#This Row],[Sales Person]],Table1_3[Amount],"&lt;=100")&gt;=2,"Contract","Deal")</f>
        <v>Deal</v>
      </c>
    </row>
    <row r="3149" spans="1:7" x14ac:dyDescent="0.3">
      <c r="A3149" t="s">
        <v>9</v>
      </c>
      <c r="B3149" t="s">
        <v>7</v>
      </c>
      <c r="C3149" t="s">
        <v>38</v>
      </c>
      <c r="D3149">
        <v>5803</v>
      </c>
      <c r="E3149">
        <v>136</v>
      </c>
      <c r="F3149" s="1">
        <v>44655</v>
      </c>
      <c r="G3149" t="str">
        <f>IF(COUNTIFS(Table1_3[Country],Table1_3[[#This Row],[Country]],Table1_3[Product],Table1_3[[#This Row],[Product]],Table1_3[Sales Person],Table1_3[[#This Row],[Sales Person]],Table1_3[Amount],"&lt;=100")&gt;=2,"Contract","Deal")</f>
        <v>Deal</v>
      </c>
    </row>
    <row r="3150" spans="1:7" x14ac:dyDescent="0.3">
      <c r="A3150" t="s">
        <v>9</v>
      </c>
      <c r="B3150" t="s">
        <v>7</v>
      </c>
      <c r="C3150" t="s">
        <v>38</v>
      </c>
      <c r="D3150">
        <v>6388.95</v>
      </c>
      <c r="E3150">
        <v>131</v>
      </c>
      <c r="F3150" s="1">
        <v>45020</v>
      </c>
      <c r="G3150" t="str">
        <f>IF(COUNTIFS(Table1_3[Country],Table1_3[[#This Row],[Country]],Table1_3[Product],Table1_3[[#This Row],[Product]],Table1_3[Sales Person],Table1_3[[#This Row],[Sales Person]],Table1_3[Amount],"&lt;=100")&gt;=2,"Contract","Deal")</f>
        <v>Deal</v>
      </c>
    </row>
    <row r="3151" spans="1:7" x14ac:dyDescent="0.3">
      <c r="A3151" t="s">
        <v>9</v>
      </c>
      <c r="B3151" t="s">
        <v>7</v>
      </c>
      <c r="C3151" t="s">
        <v>38</v>
      </c>
      <c r="D3151">
        <v>6397.05</v>
      </c>
      <c r="E3151">
        <v>136</v>
      </c>
      <c r="F3151" s="1">
        <v>45386</v>
      </c>
      <c r="G3151" t="str">
        <f>IF(COUNTIFS(Table1_3[Country],Table1_3[[#This Row],[Country]],Table1_3[Product],Table1_3[[#This Row],[Product]],Table1_3[Sales Person],Table1_3[[#This Row],[Sales Person]],Table1_3[Amount],"&lt;=100")&gt;=2,"Contract","Deal")</f>
        <v>Deal</v>
      </c>
    </row>
    <row r="3152" spans="1:7" x14ac:dyDescent="0.3">
      <c r="A3152" t="s">
        <v>9</v>
      </c>
      <c r="B3152" t="s">
        <v>7</v>
      </c>
      <c r="C3152" t="s">
        <v>36</v>
      </c>
      <c r="D3152">
        <v>5474</v>
      </c>
      <c r="E3152">
        <v>109</v>
      </c>
      <c r="F3152" s="1">
        <v>44741</v>
      </c>
      <c r="G3152" t="str">
        <f>IF(COUNTIFS(Table1_3[Country],Table1_3[[#This Row],[Country]],Table1_3[Product],Table1_3[[#This Row],[Product]],Table1_3[Sales Person],Table1_3[[#This Row],[Sales Person]],Table1_3[Amount],"&lt;=100")&gt;=2,"Contract","Deal")</f>
        <v>Deal</v>
      </c>
    </row>
    <row r="3153" spans="1:7" x14ac:dyDescent="0.3">
      <c r="A3153" t="s">
        <v>9</v>
      </c>
      <c r="B3153" t="s">
        <v>7</v>
      </c>
      <c r="C3153" t="s">
        <v>36</v>
      </c>
      <c r="D3153">
        <v>5856.52</v>
      </c>
      <c r="E3153">
        <v>115</v>
      </c>
      <c r="F3153" s="1">
        <v>45106</v>
      </c>
      <c r="G3153" t="str">
        <f>IF(COUNTIFS(Table1_3[Country],Table1_3[[#This Row],[Country]],Table1_3[Product],Table1_3[[#This Row],[Product]],Table1_3[Sales Person],Table1_3[[#This Row],[Sales Person]],Table1_3[Amount],"&lt;=100")&gt;=2,"Contract","Deal")</f>
        <v>Deal</v>
      </c>
    </row>
    <row r="3154" spans="1:7" x14ac:dyDescent="0.3">
      <c r="A3154" t="s">
        <v>9</v>
      </c>
      <c r="B3154" t="s">
        <v>7</v>
      </c>
      <c r="C3154" t="s">
        <v>36</v>
      </c>
      <c r="D3154">
        <v>5776.61</v>
      </c>
      <c r="E3154">
        <v>114</v>
      </c>
      <c r="F3154" s="1">
        <v>45472</v>
      </c>
      <c r="G3154" t="str">
        <f>IF(COUNTIFS(Table1_3[Country],Table1_3[[#This Row],[Country]],Table1_3[Product],Table1_3[[#This Row],[Product]],Table1_3[Sales Person],Table1_3[[#This Row],[Sales Person]],Table1_3[Amount],"&lt;=100")&gt;=2,"Contract","Deal")</f>
        <v>Deal</v>
      </c>
    </row>
    <row r="3155" spans="1:7" x14ac:dyDescent="0.3">
      <c r="A3155" t="s">
        <v>9</v>
      </c>
      <c r="B3155" t="s">
        <v>7</v>
      </c>
      <c r="C3155" t="s">
        <v>46</v>
      </c>
      <c r="D3155">
        <v>4263</v>
      </c>
      <c r="E3155">
        <v>90</v>
      </c>
      <c r="F3155" s="1">
        <v>44767</v>
      </c>
      <c r="G3155" t="str">
        <f>IF(COUNTIFS(Table1_3[Country],Table1_3[[#This Row],[Country]],Table1_3[Product],Table1_3[[#This Row],[Product]],Table1_3[Sales Person],Table1_3[[#This Row],[Sales Person]],Table1_3[Amount],"&lt;=100")&gt;=2,"Contract","Deal")</f>
        <v>Deal</v>
      </c>
    </row>
    <row r="3156" spans="1:7" x14ac:dyDescent="0.3">
      <c r="A3156" t="s">
        <v>9</v>
      </c>
      <c r="B3156" t="s">
        <v>7</v>
      </c>
      <c r="C3156" t="s">
        <v>46</v>
      </c>
      <c r="D3156">
        <v>4902.78</v>
      </c>
      <c r="E3156">
        <v>91</v>
      </c>
      <c r="F3156" s="1">
        <v>45132</v>
      </c>
      <c r="G3156" t="str">
        <f>IF(COUNTIFS(Table1_3[Country],Table1_3[[#This Row],[Country]],Table1_3[Product],Table1_3[[#This Row],[Product]],Table1_3[Sales Person],Table1_3[[#This Row],[Sales Person]],Table1_3[Amount],"&lt;=100")&gt;=2,"Contract","Deal")</f>
        <v>Deal</v>
      </c>
    </row>
    <row r="3157" spans="1:7" x14ac:dyDescent="0.3">
      <c r="A3157" t="s">
        <v>9</v>
      </c>
      <c r="B3157" t="s">
        <v>7</v>
      </c>
      <c r="C3157" t="s">
        <v>46</v>
      </c>
      <c r="D3157">
        <v>4991.22</v>
      </c>
      <c r="E3157">
        <v>92</v>
      </c>
      <c r="F3157" s="1">
        <v>45498</v>
      </c>
      <c r="G3157" t="str">
        <f>IF(COUNTIFS(Table1_3[Country],Table1_3[[#This Row],[Country]],Table1_3[Product],Table1_3[[#This Row],[Product]],Table1_3[Sales Person],Table1_3[[#This Row],[Sales Person]],Table1_3[Amount],"&lt;=100")&gt;=2,"Contract","Deal")</f>
        <v>Deal</v>
      </c>
    </row>
    <row r="3158" spans="1:7" x14ac:dyDescent="0.3">
      <c r="A3158" t="s">
        <v>9</v>
      </c>
      <c r="B3158" t="s">
        <v>7</v>
      </c>
      <c r="C3158" t="s">
        <v>42</v>
      </c>
      <c r="D3158">
        <v>2002</v>
      </c>
      <c r="E3158">
        <v>214</v>
      </c>
      <c r="F3158" s="1">
        <v>44799</v>
      </c>
      <c r="G3158" t="str">
        <f>IF(COUNTIFS(Table1_3[Country],Table1_3[[#This Row],[Country]],Table1_3[Product],Table1_3[[#This Row],[Product]],Table1_3[Sales Person],Table1_3[[#This Row],[Sales Person]],Table1_3[Amount],"&lt;=100")&gt;=2,"Contract","Deal")</f>
        <v>Deal</v>
      </c>
    </row>
    <row r="3159" spans="1:7" x14ac:dyDescent="0.3">
      <c r="A3159" t="s">
        <v>9</v>
      </c>
      <c r="B3159" t="s">
        <v>7</v>
      </c>
      <c r="C3159" t="s">
        <v>42</v>
      </c>
      <c r="D3159">
        <v>2064.71</v>
      </c>
      <c r="E3159">
        <v>208</v>
      </c>
      <c r="F3159" s="1">
        <v>45164</v>
      </c>
      <c r="G3159" t="str">
        <f>IF(COUNTIFS(Table1_3[Country],Table1_3[[#This Row],[Country]],Table1_3[Product],Table1_3[[#This Row],[Product]],Table1_3[Sales Person],Table1_3[[#This Row],[Sales Person]],Table1_3[Amount],"&lt;=100")&gt;=2,"Contract","Deal")</f>
        <v>Deal</v>
      </c>
    </row>
    <row r="3160" spans="1:7" x14ac:dyDescent="0.3">
      <c r="A3160" t="s">
        <v>9</v>
      </c>
      <c r="B3160" t="s">
        <v>7</v>
      </c>
      <c r="C3160" t="s">
        <v>42</v>
      </c>
      <c r="D3160">
        <v>2303.39</v>
      </c>
      <c r="E3160">
        <v>222</v>
      </c>
      <c r="F3160" s="1">
        <v>45530</v>
      </c>
      <c r="G3160" t="str">
        <f>IF(COUNTIFS(Table1_3[Country],Table1_3[[#This Row],[Country]],Table1_3[Product],Table1_3[[#This Row],[Product]],Table1_3[Sales Person],Table1_3[[#This Row],[Sales Person]],Table1_3[Amount],"&lt;=100")&gt;=2,"Contract","Deal")</f>
        <v>Deal</v>
      </c>
    </row>
    <row r="3161" spans="1:7" x14ac:dyDescent="0.3">
      <c r="A3161" t="s">
        <v>9</v>
      </c>
      <c r="B3161" t="s">
        <v>7</v>
      </c>
      <c r="C3161" t="s">
        <v>73</v>
      </c>
      <c r="D3161">
        <v>6538</v>
      </c>
      <c r="E3161">
        <v>79</v>
      </c>
      <c r="F3161" s="1">
        <v>44636</v>
      </c>
      <c r="G3161" t="str">
        <f>IF(COUNTIFS(Table1_3[Country],Table1_3[[#This Row],[Country]],Table1_3[Product],Table1_3[[#This Row],[Product]],Table1_3[Sales Person],Table1_3[[#This Row],[Sales Person]],Table1_3[Amount],"&lt;=100")&gt;=2,"Contract","Deal")</f>
        <v>Deal</v>
      </c>
    </row>
    <row r="3162" spans="1:7" x14ac:dyDescent="0.3">
      <c r="A3162" t="s">
        <v>9</v>
      </c>
      <c r="B3162" t="s">
        <v>7</v>
      </c>
      <c r="C3162" t="s">
        <v>73</v>
      </c>
      <c r="D3162">
        <v>7152.22</v>
      </c>
      <c r="E3162">
        <v>83</v>
      </c>
      <c r="F3162" s="1">
        <v>45001</v>
      </c>
      <c r="G3162" t="str">
        <f>IF(COUNTIFS(Table1_3[Country],Table1_3[[#This Row],[Country]],Table1_3[Product],Table1_3[[#This Row],[Product]],Table1_3[Sales Person],Table1_3[[#This Row],[Sales Person]],Table1_3[Amount],"&lt;=100")&gt;=2,"Contract","Deal")</f>
        <v>Deal</v>
      </c>
    </row>
    <row r="3163" spans="1:7" x14ac:dyDescent="0.3">
      <c r="A3163" t="s">
        <v>9</v>
      </c>
      <c r="B3163" t="s">
        <v>7</v>
      </c>
      <c r="C3163" t="s">
        <v>73</v>
      </c>
      <c r="D3163">
        <v>7623.35</v>
      </c>
      <c r="E3163">
        <v>80</v>
      </c>
      <c r="F3163" s="1">
        <v>45367</v>
      </c>
      <c r="G3163" t="str">
        <f>IF(COUNTIFS(Table1_3[Country],Table1_3[[#This Row],[Country]],Table1_3[Product],Table1_3[[#This Row],[Product]],Table1_3[Sales Person],Table1_3[[#This Row],[Sales Person]],Table1_3[Amount],"&lt;=100")&gt;=2,"Contract","Deal")</f>
        <v>Deal</v>
      </c>
    </row>
    <row r="3164" spans="1:7" x14ac:dyDescent="0.3">
      <c r="A3164" t="s">
        <v>9</v>
      </c>
      <c r="B3164" t="s">
        <v>32</v>
      </c>
      <c r="C3164" t="s">
        <v>26</v>
      </c>
      <c r="D3164">
        <v>9737</v>
      </c>
      <c r="E3164">
        <v>160</v>
      </c>
      <c r="F3164" s="1">
        <v>44574</v>
      </c>
      <c r="G3164" t="str">
        <f>IF(COUNTIFS(Table1_3[Country],Table1_3[[#This Row],[Country]],Table1_3[Product],Table1_3[[#This Row],[Product]],Table1_3[Sales Person],Table1_3[[#This Row],[Sales Person]],Table1_3[Amount],"&lt;=100")&gt;=2,"Contract","Deal")</f>
        <v>Deal</v>
      </c>
    </row>
    <row r="3165" spans="1:7" x14ac:dyDescent="0.3">
      <c r="A3165" t="s">
        <v>9</v>
      </c>
      <c r="B3165" t="s">
        <v>32</v>
      </c>
      <c r="C3165" t="s">
        <v>26</v>
      </c>
      <c r="D3165">
        <v>10280.17</v>
      </c>
      <c r="E3165">
        <v>155</v>
      </c>
      <c r="F3165" s="1">
        <v>44939</v>
      </c>
      <c r="G3165" t="str">
        <f>IF(COUNTIFS(Table1_3[Country],Table1_3[[#This Row],[Country]],Table1_3[Product],Table1_3[[#This Row],[Product]],Table1_3[Sales Person],Table1_3[[#This Row],[Sales Person]],Table1_3[Amount],"&lt;=100")&gt;=2,"Contract","Deal")</f>
        <v>Deal</v>
      </c>
    </row>
    <row r="3166" spans="1:7" x14ac:dyDescent="0.3">
      <c r="A3166" t="s">
        <v>9</v>
      </c>
      <c r="B3166" t="s">
        <v>32</v>
      </c>
      <c r="C3166" t="s">
        <v>26</v>
      </c>
      <c r="D3166">
        <v>10772.33</v>
      </c>
      <c r="E3166">
        <v>156</v>
      </c>
      <c r="F3166" s="1">
        <v>45304</v>
      </c>
      <c r="G3166" t="str">
        <f>IF(COUNTIFS(Table1_3[Country],Table1_3[[#This Row],[Country]],Table1_3[Product],Table1_3[[#This Row],[Product]],Table1_3[Sales Person],Table1_3[[#This Row],[Sales Person]],Table1_3[Amount],"&lt;=100")&gt;=2,"Contract","Deal")</f>
        <v>Deal</v>
      </c>
    </row>
    <row r="3167" spans="1:7" x14ac:dyDescent="0.3">
      <c r="A3167" t="s">
        <v>9</v>
      </c>
      <c r="B3167" t="s">
        <v>32</v>
      </c>
      <c r="C3167" t="s">
        <v>20</v>
      </c>
      <c r="D3167">
        <v>12586</v>
      </c>
      <c r="E3167">
        <v>6</v>
      </c>
      <c r="F3167" s="1">
        <v>44770</v>
      </c>
      <c r="G3167" t="str">
        <f>IF(COUNTIFS(Table1_3[Country],Table1_3[[#This Row],[Country]],Table1_3[Product],Table1_3[[#This Row],[Product]],Table1_3[Sales Person],Table1_3[[#This Row],[Sales Person]],Table1_3[Amount],"&lt;=100")&gt;=2,"Contract","Deal")</f>
        <v>Deal</v>
      </c>
    </row>
    <row r="3168" spans="1:7" x14ac:dyDescent="0.3">
      <c r="A3168" t="s">
        <v>9</v>
      </c>
      <c r="B3168" t="s">
        <v>32</v>
      </c>
      <c r="C3168" t="s">
        <v>20</v>
      </c>
      <c r="D3168">
        <v>12930.11</v>
      </c>
      <c r="E3168">
        <v>6</v>
      </c>
      <c r="F3168" s="1">
        <v>45135</v>
      </c>
      <c r="G3168" t="str">
        <f>IF(COUNTIFS(Table1_3[Country],Table1_3[[#This Row],[Country]],Table1_3[Product],Table1_3[[#This Row],[Product]],Table1_3[Sales Person],Table1_3[[#This Row],[Sales Person]],Table1_3[Amount],"&lt;=100")&gt;=2,"Contract","Deal")</f>
        <v>Deal</v>
      </c>
    </row>
    <row r="3169" spans="1:7" x14ac:dyDescent="0.3">
      <c r="A3169" t="s">
        <v>9</v>
      </c>
      <c r="B3169" t="s">
        <v>32</v>
      </c>
      <c r="C3169" t="s">
        <v>20</v>
      </c>
      <c r="D3169">
        <v>13435.98</v>
      </c>
      <c r="E3169">
        <v>6</v>
      </c>
      <c r="F3169" s="1">
        <v>45501</v>
      </c>
      <c r="G3169" t="str">
        <f>IF(COUNTIFS(Table1_3[Country],Table1_3[[#This Row],[Country]],Table1_3[Product],Table1_3[[#This Row],[Product]],Table1_3[Sales Person],Table1_3[[#This Row],[Sales Person]],Table1_3[Amount],"&lt;=100")&gt;=2,"Contract","Deal")</f>
        <v>Deal</v>
      </c>
    </row>
    <row r="3170" spans="1:7" x14ac:dyDescent="0.3">
      <c r="A3170" t="s">
        <v>9</v>
      </c>
      <c r="B3170" t="s">
        <v>32</v>
      </c>
      <c r="C3170" t="s">
        <v>23</v>
      </c>
      <c r="D3170">
        <v>630</v>
      </c>
      <c r="E3170">
        <v>264</v>
      </c>
      <c r="F3170" s="1">
        <v>44768</v>
      </c>
      <c r="G3170" t="str">
        <f>IF(COUNTIFS(Table1_3[Country],Table1_3[[#This Row],[Country]],Table1_3[Product],Table1_3[[#This Row],[Product]],Table1_3[Sales Person],Table1_3[[#This Row],[Sales Person]],Table1_3[Amount],"&lt;=100")&gt;=2,"Contract","Deal")</f>
        <v>Deal</v>
      </c>
    </row>
    <row r="3171" spans="1:7" x14ac:dyDescent="0.3">
      <c r="A3171" t="s">
        <v>9</v>
      </c>
      <c r="B3171" t="s">
        <v>32</v>
      </c>
      <c r="C3171" t="s">
        <v>23</v>
      </c>
      <c r="D3171">
        <v>722.25</v>
      </c>
      <c r="E3171">
        <v>255</v>
      </c>
      <c r="F3171" s="1">
        <v>45133</v>
      </c>
      <c r="G3171" t="str">
        <f>IF(COUNTIFS(Table1_3[Country],Table1_3[[#This Row],[Country]],Table1_3[Product],Table1_3[[#This Row],[Product]],Table1_3[Sales Person],Table1_3[[#This Row],[Sales Person]],Table1_3[Amount],"&lt;=100")&gt;=2,"Contract","Deal")</f>
        <v>Deal</v>
      </c>
    </row>
    <row r="3172" spans="1:7" x14ac:dyDescent="0.3">
      <c r="A3172" t="s">
        <v>9</v>
      </c>
      <c r="B3172" t="s">
        <v>32</v>
      </c>
      <c r="C3172" t="s">
        <v>23</v>
      </c>
      <c r="D3172">
        <v>709.25</v>
      </c>
      <c r="E3172">
        <v>263</v>
      </c>
      <c r="F3172" s="1">
        <v>45499</v>
      </c>
      <c r="G3172" t="str">
        <f>IF(COUNTIFS(Table1_3[Country],Table1_3[[#This Row],[Country]],Table1_3[Product],Table1_3[[#This Row],[Product]],Table1_3[Sales Person],Table1_3[[#This Row],[Sales Person]],Table1_3[Amount],"&lt;=100")&gt;=2,"Contract","Deal")</f>
        <v>Deal</v>
      </c>
    </row>
    <row r="3173" spans="1:7" x14ac:dyDescent="0.3">
      <c r="A3173" t="s">
        <v>9</v>
      </c>
      <c r="B3173" t="s">
        <v>32</v>
      </c>
      <c r="C3173" t="s">
        <v>90</v>
      </c>
      <c r="D3173">
        <v>987</v>
      </c>
      <c r="E3173">
        <v>21</v>
      </c>
      <c r="F3173" s="1">
        <v>44606</v>
      </c>
      <c r="G3173" t="str">
        <f>IF(COUNTIFS(Table1_3[Country],Table1_3[[#This Row],[Country]],Table1_3[Product],Table1_3[[#This Row],[Product]],Table1_3[Sales Person],Table1_3[[#This Row],[Sales Person]],Table1_3[Amount],"&lt;=100")&gt;=2,"Contract","Deal")</f>
        <v>Deal</v>
      </c>
    </row>
    <row r="3174" spans="1:7" x14ac:dyDescent="0.3">
      <c r="A3174" t="s">
        <v>9</v>
      </c>
      <c r="B3174" t="s">
        <v>32</v>
      </c>
      <c r="C3174" t="s">
        <v>90</v>
      </c>
      <c r="D3174">
        <v>1106.3800000000001</v>
      </c>
      <c r="E3174">
        <v>21</v>
      </c>
      <c r="F3174" s="1">
        <v>44971</v>
      </c>
      <c r="G3174" t="str">
        <f>IF(COUNTIFS(Table1_3[Country],Table1_3[[#This Row],[Country]],Table1_3[Product],Table1_3[[#This Row],[Product]],Table1_3[Sales Person],Table1_3[[#This Row],[Sales Person]],Table1_3[Amount],"&lt;=100")&gt;=2,"Contract","Deal")</f>
        <v>Deal</v>
      </c>
    </row>
    <row r="3175" spans="1:7" x14ac:dyDescent="0.3">
      <c r="A3175" t="s">
        <v>9</v>
      </c>
      <c r="B3175" t="s">
        <v>32</v>
      </c>
      <c r="C3175" t="s">
        <v>90</v>
      </c>
      <c r="D3175">
        <v>1115.8399999999999</v>
      </c>
      <c r="E3175">
        <v>22</v>
      </c>
      <c r="F3175" s="1">
        <v>45336</v>
      </c>
      <c r="G3175" t="str">
        <f>IF(COUNTIFS(Table1_3[Country],Table1_3[[#This Row],[Country]],Table1_3[Product],Table1_3[[#This Row],[Product]],Table1_3[Sales Person],Table1_3[[#This Row],[Sales Person]],Table1_3[Amount],"&lt;=100")&gt;=2,"Contract","Deal")</f>
        <v>Deal</v>
      </c>
    </row>
    <row r="3176" spans="1:7" x14ac:dyDescent="0.3">
      <c r="A3176" t="s">
        <v>9</v>
      </c>
      <c r="B3176" t="s">
        <v>32</v>
      </c>
      <c r="C3176" t="s">
        <v>57</v>
      </c>
      <c r="D3176">
        <v>6279</v>
      </c>
      <c r="E3176">
        <v>235</v>
      </c>
      <c r="F3176" s="1">
        <v>44747</v>
      </c>
      <c r="G3176" t="str">
        <f>IF(COUNTIFS(Table1_3[Country],Table1_3[[#This Row],[Country]],Table1_3[Product],Table1_3[[#This Row],[Product]],Table1_3[Sales Person],Table1_3[[#This Row],[Sales Person]],Table1_3[Amount],"&lt;=100")&gt;=2,"Contract","Deal")</f>
        <v>Deal</v>
      </c>
    </row>
    <row r="3177" spans="1:7" x14ac:dyDescent="0.3">
      <c r="A3177" t="s">
        <v>9</v>
      </c>
      <c r="B3177" t="s">
        <v>32</v>
      </c>
      <c r="C3177" t="s">
        <v>57</v>
      </c>
      <c r="D3177">
        <v>6871.55</v>
      </c>
      <c r="E3177">
        <v>238</v>
      </c>
      <c r="F3177" s="1">
        <v>45112</v>
      </c>
      <c r="G3177" t="str">
        <f>IF(COUNTIFS(Table1_3[Country],Table1_3[[#This Row],[Country]],Table1_3[Product],Table1_3[[#This Row],[Product]],Table1_3[Sales Person],Table1_3[[#This Row],[Sales Person]],Table1_3[Amount],"&lt;=100")&gt;=2,"Contract","Deal")</f>
        <v>Deal</v>
      </c>
    </row>
    <row r="3178" spans="1:7" x14ac:dyDescent="0.3">
      <c r="A3178" t="s">
        <v>9</v>
      </c>
      <c r="B3178" t="s">
        <v>32</v>
      </c>
      <c r="C3178" t="s">
        <v>57</v>
      </c>
      <c r="D3178">
        <v>7093.33</v>
      </c>
      <c r="E3178">
        <v>233</v>
      </c>
      <c r="F3178" s="1">
        <v>45478</v>
      </c>
      <c r="G3178" t="str">
        <f>IF(COUNTIFS(Table1_3[Country],Table1_3[[#This Row],[Country]],Table1_3[Product],Table1_3[[#This Row],[Product]],Table1_3[Sales Person],Table1_3[[#This Row],[Sales Person]],Table1_3[Amount],"&lt;=100")&gt;=2,"Contract","Deal")</f>
        <v>Deal</v>
      </c>
    </row>
    <row r="3179" spans="1:7" x14ac:dyDescent="0.3">
      <c r="A3179" t="s">
        <v>9</v>
      </c>
      <c r="B3179" t="s">
        <v>32</v>
      </c>
      <c r="C3179" t="s">
        <v>60</v>
      </c>
      <c r="D3179">
        <v>2317</v>
      </c>
      <c r="E3179">
        <v>102</v>
      </c>
      <c r="F3179" s="1">
        <v>44712</v>
      </c>
      <c r="G3179" t="str">
        <f>IF(COUNTIFS(Table1_3[Country],Table1_3[[#This Row],[Country]],Table1_3[Product],Table1_3[[#This Row],[Product]],Table1_3[Sales Person],Table1_3[[#This Row],[Sales Person]],Table1_3[Amount],"&lt;=100")&gt;=2,"Contract","Deal")</f>
        <v>Deal</v>
      </c>
    </row>
    <row r="3180" spans="1:7" x14ac:dyDescent="0.3">
      <c r="A3180" t="s">
        <v>9</v>
      </c>
      <c r="B3180" t="s">
        <v>32</v>
      </c>
      <c r="C3180" t="s">
        <v>60</v>
      </c>
      <c r="D3180">
        <v>2418.9299999999998</v>
      </c>
      <c r="E3180">
        <v>110</v>
      </c>
      <c r="F3180" s="1">
        <v>45077</v>
      </c>
      <c r="G3180" t="str">
        <f>IF(COUNTIFS(Table1_3[Country],Table1_3[[#This Row],[Country]],Table1_3[Product],Table1_3[[#This Row],[Product]],Table1_3[Sales Person],Table1_3[[#This Row],[Sales Person]],Table1_3[Amount],"&lt;=100")&gt;=2,"Contract","Deal")</f>
        <v>Deal</v>
      </c>
    </row>
    <row r="3181" spans="1:7" x14ac:dyDescent="0.3">
      <c r="A3181" t="s">
        <v>9</v>
      </c>
      <c r="B3181" t="s">
        <v>32</v>
      </c>
      <c r="C3181" t="s">
        <v>60</v>
      </c>
      <c r="D3181">
        <v>2662.54</v>
      </c>
      <c r="E3181">
        <v>102</v>
      </c>
      <c r="F3181" s="1">
        <v>45443</v>
      </c>
      <c r="G3181" t="str">
        <f>IF(COUNTIFS(Table1_3[Country],Table1_3[[#This Row],[Country]],Table1_3[Product],Table1_3[[#This Row],[Product]],Table1_3[Sales Person],Table1_3[[#This Row],[Sales Person]],Table1_3[Amount],"&lt;=100")&gt;=2,"Contract","Deal")</f>
        <v>Deal</v>
      </c>
    </row>
    <row r="3182" spans="1:7" x14ac:dyDescent="0.3">
      <c r="A3182" t="s">
        <v>64</v>
      </c>
      <c r="B3182" t="s">
        <v>15</v>
      </c>
      <c r="C3182" t="s">
        <v>26</v>
      </c>
      <c r="D3182">
        <v>10031</v>
      </c>
      <c r="E3182">
        <v>114</v>
      </c>
      <c r="F3182" s="1">
        <v>44776</v>
      </c>
      <c r="G3182" t="str">
        <f>IF(COUNTIFS(Table1_3[Country],Table1_3[[#This Row],[Country]],Table1_3[Product],Table1_3[[#This Row],[Product]],Table1_3[Sales Person],Table1_3[[#This Row],[Sales Person]],Table1_3[Amount],"&lt;=100")&gt;=2,"Contract","Deal")</f>
        <v>Deal</v>
      </c>
    </row>
    <row r="3183" spans="1:7" x14ac:dyDescent="0.3">
      <c r="A3183" t="s">
        <v>64</v>
      </c>
      <c r="B3183" t="s">
        <v>15</v>
      </c>
      <c r="C3183" t="s">
        <v>26</v>
      </c>
      <c r="D3183">
        <v>10336.219999999999</v>
      </c>
      <c r="E3183">
        <v>123</v>
      </c>
      <c r="F3183" s="1">
        <v>45141</v>
      </c>
      <c r="G3183" t="str">
        <f>IF(COUNTIFS(Table1_3[Country],Table1_3[[#This Row],[Country]],Table1_3[Product],Table1_3[[#This Row],[Product]],Table1_3[Sales Person],Table1_3[[#This Row],[Sales Person]],Table1_3[Amount],"&lt;=100")&gt;=2,"Contract","Deal")</f>
        <v>Deal</v>
      </c>
    </row>
    <row r="3184" spans="1:7" x14ac:dyDescent="0.3">
      <c r="A3184" t="s">
        <v>64</v>
      </c>
      <c r="B3184" t="s">
        <v>15</v>
      </c>
      <c r="C3184" t="s">
        <v>26</v>
      </c>
      <c r="D3184">
        <v>11000.85</v>
      </c>
      <c r="E3184">
        <v>112</v>
      </c>
      <c r="F3184" s="1">
        <v>45507</v>
      </c>
      <c r="G3184" t="str">
        <f>IF(COUNTIFS(Table1_3[Country],Table1_3[[#This Row],[Country]],Table1_3[Product],Table1_3[[#This Row],[Product]],Table1_3[Sales Person],Table1_3[[#This Row],[Sales Person]],Table1_3[Amount],"&lt;=100")&gt;=2,"Contract","Deal")</f>
        <v>Deal</v>
      </c>
    </row>
    <row r="3185" spans="1:7" x14ac:dyDescent="0.3">
      <c r="A3185" t="s">
        <v>64</v>
      </c>
      <c r="B3185" t="s">
        <v>15</v>
      </c>
      <c r="C3185" t="s">
        <v>23</v>
      </c>
      <c r="D3185">
        <v>3325</v>
      </c>
      <c r="E3185">
        <v>26</v>
      </c>
      <c r="F3185" s="1">
        <v>44708</v>
      </c>
      <c r="G3185" t="str">
        <f>IF(COUNTIFS(Table1_3[Country],Table1_3[[#This Row],[Country]],Table1_3[Product],Table1_3[[#This Row],[Product]],Table1_3[Sales Person],Table1_3[[#This Row],[Sales Person]],Table1_3[Amount],"&lt;=100")&gt;=2,"Contract","Deal")</f>
        <v>Deal</v>
      </c>
    </row>
    <row r="3186" spans="1:7" x14ac:dyDescent="0.3">
      <c r="A3186" t="s">
        <v>64</v>
      </c>
      <c r="B3186" t="s">
        <v>15</v>
      </c>
      <c r="C3186" t="s">
        <v>23</v>
      </c>
      <c r="D3186">
        <v>3446.84</v>
      </c>
      <c r="E3186">
        <v>28</v>
      </c>
      <c r="F3186" s="1">
        <v>45073</v>
      </c>
      <c r="G3186" t="str">
        <f>IF(COUNTIFS(Table1_3[Country],Table1_3[[#This Row],[Country]],Table1_3[Product],Table1_3[[#This Row],[Product]],Table1_3[Sales Person],Table1_3[[#This Row],[Sales Person]],Table1_3[Amount],"&lt;=100")&gt;=2,"Contract","Deal")</f>
        <v>Deal</v>
      </c>
    </row>
    <row r="3187" spans="1:7" x14ac:dyDescent="0.3">
      <c r="A3187" t="s">
        <v>64</v>
      </c>
      <c r="B3187" t="s">
        <v>15</v>
      </c>
      <c r="C3187" t="s">
        <v>23</v>
      </c>
      <c r="D3187">
        <v>3729.83</v>
      </c>
      <c r="E3187">
        <v>27</v>
      </c>
      <c r="F3187" s="1">
        <v>45439</v>
      </c>
      <c r="G3187" t="str">
        <f>IF(COUNTIFS(Table1_3[Country],Table1_3[[#This Row],[Country]],Table1_3[Product],Table1_3[[#This Row],[Product]],Table1_3[Sales Person],Table1_3[[#This Row],[Sales Person]],Table1_3[Amount],"&lt;=100")&gt;=2,"Contract","Deal")</f>
        <v>Deal</v>
      </c>
    </row>
    <row r="3188" spans="1:7" x14ac:dyDescent="0.3">
      <c r="A3188" t="s">
        <v>64</v>
      </c>
      <c r="B3188" t="s">
        <v>15</v>
      </c>
      <c r="C3188" t="s">
        <v>87</v>
      </c>
      <c r="D3188">
        <v>2961</v>
      </c>
      <c r="E3188">
        <v>154</v>
      </c>
      <c r="F3188" s="1">
        <v>44586</v>
      </c>
      <c r="G3188" t="str">
        <f>IF(COUNTIFS(Table1_3[Country],Table1_3[[#This Row],[Country]],Table1_3[Product],Table1_3[[#This Row],[Product]],Table1_3[Sales Person],Table1_3[[#This Row],[Sales Person]],Table1_3[Amount],"&lt;=100")&gt;=2,"Contract","Deal")</f>
        <v>Deal</v>
      </c>
    </row>
    <row r="3189" spans="1:7" x14ac:dyDescent="0.3">
      <c r="A3189" t="s">
        <v>64</v>
      </c>
      <c r="B3189" t="s">
        <v>15</v>
      </c>
      <c r="C3189" t="s">
        <v>87</v>
      </c>
      <c r="D3189">
        <v>2995.47</v>
      </c>
      <c r="E3189">
        <v>156</v>
      </c>
      <c r="F3189" s="1">
        <v>44951</v>
      </c>
      <c r="G3189" t="str">
        <f>IF(COUNTIFS(Table1_3[Country],Table1_3[[#This Row],[Country]],Table1_3[Product],Table1_3[[#This Row],[Product]],Table1_3[Sales Person],Table1_3[[#This Row],[Sales Person]],Table1_3[Amount],"&lt;=100")&gt;=2,"Contract","Deal")</f>
        <v>Deal</v>
      </c>
    </row>
    <row r="3190" spans="1:7" x14ac:dyDescent="0.3">
      <c r="A3190" t="s">
        <v>64</v>
      </c>
      <c r="B3190" t="s">
        <v>15</v>
      </c>
      <c r="C3190" t="s">
        <v>87</v>
      </c>
      <c r="D3190">
        <v>3124.74</v>
      </c>
      <c r="E3190">
        <v>155</v>
      </c>
      <c r="F3190" s="1">
        <v>45316</v>
      </c>
      <c r="G3190" t="str">
        <f>IF(COUNTIFS(Table1_3[Country],Table1_3[[#This Row],[Country]],Table1_3[Product],Table1_3[[#This Row],[Product]],Table1_3[Sales Person],Table1_3[[#This Row],[Sales Person]],Table1_3[Amount],"&lt;=100")&gt;=2,"Contract","Deal")</f>
        <v>Deal</v>
      </c>
    </row>
    <row r="3191" spans="1:7" x14ac:dyDescent="0.3">
      <c r="A3191" t="s">
        <v>64</v>
      </c>
      <c r="B3191" t="s">
        <v>15</v>
      </c>
      <c r="C3191" t="s">
        <v>90</v>
      </c>
      <c r="D3191">
        <v>2030</v>
      </c>
      <c r="E3191">
        <v>11</v>
      </c>
      <c r="F3191" s="1">
        <v>44665</v>
      </c>
      <c r="G3191" t="str">
        <f>IF(COUNTIFS(Table1_3[Country],Table1_3[[#This Row],[Country]],Table1_3[Product],Table1_3[[#This Row],[Product]],Table1_3[Sales Person],Table1_3[[#This Row],[Sales Person]],Table1_3[Amount],"&lt;=100")&gt;=2,"Contract","Deal")</f>
        <v>Deal</v>
      </c>
    </row>
    <row r="3192" spans="1:7" x14ac:dyDescent="0.3">
      <c r="A3192" t="s">
        <v>64</v>
      </c>
      <c r="B3192" t="s">
        <v>15</v>
      </c>
      <c r="C3192" t="s">
        <v>90</v>
      </c>
      <c r="D3192">
        <v>2342.0700000000002</v>
      </c>
      <c r="E3192">
        <v>12</v>
      </c>
      <c r="F3192" s="1">
        <v>45030</v>
      </c>
      <c r="G3192" t="str">
        <f>IF(COUNTIFS(Table1_3[Country],Table1_3[[#This Row],[Country]],Table1_3[Product],Table1_3[[#This Row],[Product]],Table1_3[Sales Person],Table1_3[[#This Row],[Sales Person]],Table1_3[Amount],"&lt;=100")&gt;=2,"Contract","Deal")</f>
        <v>Deal</v>
      </c>
    </row>
    <row r="3193" spans="1:7" x14ac:dyDescent="0.3">
      <c r="A3193" t="s">
        <v>64</v>
      </c>
      <c r="B3193" t="s">
        <v>15</v>
      </c>
      <c r="C3193" t="s">
        <v>90</v>
      </c>
      <c r="D3193">
        <v>2243.44</v>
      </c>
      <c r="E3193">
        <v>11</v>
      </c>
      <c r="F3193" s="1">
        <v>45396</v>
      </c>
      <c r="G3193" t="str">
        <f>IF(COUNTIFS(Table1_3[Country],Table1_3[[#This Row],[Country]],Table1_3[Product],Table1_3[[#This Row],[Product]],Table1_3[Sales Person],Table1_3[[#This Row],[Sales Person]],Table1_3[Amount],"&lt;=100")&gt;=2,"Contract","Deal")</f>
        <v>Deal</v>
      </c>
    </row>
    <row r="3194" spans="1:7" x14ac:dyDescent="0.3">
      <c r="A3194" t="s">
        <v>64</v>
      </c>
      <c r="B3194" t="s">
        <v>15</v>
      </c>
      <c r="C3194" t="s">
        <v>38</v>
      </c>
      <c r="D3194">
        <v>623</v>
      </c>
      <c r="E3194">
        <v>283</v>
      </c>
      <c r="F3194" s="1">
        <v>44657</v>
      </c>
      <c r="G3194" t="str">
        <f>IF(COUNTIFS(Table1_3[Country],Table1_3[[#This Row],[Country]],Table1_3[Product],Table1_3[[#This Row],[Product]],Table1_3[Sales Person],Table1_3[[#This Row],[Sales Person]],Table1_3[Amount],"&lt;=100")&gt;=2,"Contract","Deal")</f>
        <v>Deal</v>
      </c>
    </row>
    <row r="3195" spans="1:7" x14ac:dyDescent="0.3">
      <c r="A3195" t="s">
        <v>64</v>
      </c>
      <c r="B3195" t="s">
        <v>15</v>
      </c>
      <c r="C3195" t="s">
        <v>38</v>
      </c>
      <c r="D3195">
        <v>623.75</v>
      </c>
      <c r="E3195">
        <v>285</v>
      </c>
      <c r="F3195" s="1">
        <v>45022</v>
      </c>
      <c r="G3195" t="str">
        <f>IF(COUNTIFS(Table1_3[Country],Table1_3[[#This Row],[Country]],Table1_3[Product],Table1_3[[#This Row],[Product]],Table1_3[Sales Person],Table1_3[[#This Row],[Sales Person]],Table1_3[Amount],"&lt;=100")&gt;=2,"Contract","Deal")</f>
        <v>Deal</v>
      </c>
    </row>
    <row r="3196" spans="1:7" x14ac:dyDescent="0.3">
      <c r="A3196" t="s">
        <v>64</v>
      </c>
      <c r="B3196" t="s">
        <v>15</v>
      </c>
      <c r="C3196" t="s">
        <v>38</v>
      </c>
      <c r="D3196">
        <v>663.74</v>
      </c>
      <c r="E3196">
        <v>285</v>
      </c>
      <c r="F3196" s="1">
        <v>45388</v>
      </c>
      <c r="G3196" t="str">
        <f>IF(COUNTIFS(Table1_3[Country],Table1_3[[#This Row],[Country]],Table1_3[Product],Table1_3[[#This Row],[Product]],Table1_3[Sales Person],Table1_3[[#This Row],[Sales Person]],Table1_3[Amount],"&lt;=100")&gt;=2,"Contract","Deal")</f>
        <v>Deal</v>
      </c>
    </row>
    <row r="3197" spans="1:7" x14ac:dyDescent="0.3">
      <c r="A3197" t="s">
        <v>64</v>
      </c>
      <c r="B3197" t="s">
        <v>15</v>
      </c>
      <c r="C3197" t="s">
        <v>57</v>
      </c>
      <c r="D3197">
        <v>392</v>
      </c>
      <c r="E3197">
        <v>102</v>
      </c>
      <c r="F3197" s="1">
        <v>44727</v>
      </c>
      <c r="G3197" t="str">
        <f>IF(COUNTIFS(Table1_3[Country],Table1_3[[#This Row],[Country]],Table1_3[Product],Table1_3[[#This Row],[Product]],Table1_3[Sales Person],Table1_3[[#This Row],[Sales Person]],Table1_3[Amount],"&lt;=100")&gt;=2,"Contract","Deal")</f>
        <v>Deal</v>
      </c>
    </row>
    <row r="3198" spans="1:7" x14ac:dyDescent="0.3">
      <c r="A3198" t="s">
        <v>64</v>
      </c>
      <c r="B3198" t="s">
        <v>15</v>
      </c>
      <c r="C3198" t="s">
        <v>57</v>
      </c>
      <c r="D3198">
        <v>413.6</v>
      </c>
      <c r="E3198">
        <v>111</v>
      </c>
      <c r="F3198" s="1">
        <v>45092</v>
      </c>
      <c r="G3198" t="str">
        <f>IF(COUNTIFS(Table1_3[Country],Table1_3[[#This Row],[Country]],Table1_3[Product],Table1_3[[#This Row],[Product]],Table1_3[Sales Person],Table1_3[[#This Row],[Sales Person]],Table1_3[Amount],"&lt;=100")&gt;=2,"Contract","Deal")</f>
        <v>Deal</v>
      </c>
    </row>
    <row r="3199" spans="1:7" x14ac:dyDescent="0.3">
      <c r="A3199" t="s">
        <v>64</v>
      </c>
      <c r="B3199" t="s">
        <v>15</v>
      </c>
      <c r="C3199" t="s">
        <v>57</v>
      </c>
      <c r="D3199">
        <v>472.27</v>
      </c>
      <c r="E3199">
        <v>101</v>
      </c>
      <c r="F3199" s="1">
        <v>45458</v>
      </c>
      <c r="G3199" t="str">
        <f>IF(COUNTIFS(Table1_3[Country],Table1_3[[#This Row],[Country]],Table1_3[Product],Table1_3[[#This Row],[Product]],Table1_3[Sales Person],Table1_3[[#This Row],[Sales Person]],Table1_3[Amount],"&lt;=100")&gt;=2,"Contract","Deal")</f>
        <v>Deal</v>
      </c>
    </row>
    <row r="3200" spans="1:7" x14ac:dyDescent="0.3">
      <c r="A3200" t="s">
        <v>64</v>
      </c>
      <c r="B3200" t="s">
        <v>15</v>
      </c>
      <c r="C3200" t="s">
        <v>60</v>
      </c>
      <c r="D3200">
        <v>4284</v>
      </c>
      <c r="E3200">
        <v>94</v>
      </c>
      <c r="F3200" s="1">
        <v>44692</v>
      </c>
      <c r="G3200" t="str">
        <f>IF(COUNTIFS(Table1_3[Country],Table1_3[[#This Row],[Country]],Table1_3[Product],Table1_3[[#This Row],[Product]],Table1_3[Sales Person],Table1_3[[#This Row],[Sales Person]],Table1_3[Amount],"&lt;=100")&gt;=2,"Contract","Deal")</f>
        <v>Deal</v>
      </c>
    </row>
    <row r="3201" spans="1:7" x14ac:dyDescent="0.3">
      <c r="A3201" t="s">
        <v>64</v>
      </c>
      <c r="B3201" t="s">
        <v>15</v>
      </c>
      <c r="C3201" t="s">
        <v>60</v>
      </c>
      <c r="D3201">
        <v>4439.5200000000004</v>
      </c>
      <c r="E3201">
        <v>95</v>
      </c>
      <c r="F3201" s="1">
        <v>45057</v>
      </c>
      <c r="G3201" t="str">
        <f>IF(COUNTIFS(Table1_3[Country],Table1_3[[#This Row],[Country]],Table1_3[Product],Table1_3[[#This Row],[Product]],Table1_3[Sales Person],Table1_3[[#This Row],[Sales Person]],Table1_3[Amount],"&lt;=100")&gt;=2,"Contract","Deal")</f>
        <v>Deal</v>
      </c>
    </row>
    <row r="3202" spans="1:7" x14ac:dyDescent="0.3">
      <c r="A3202" t="s">
        <v>64</v>
      </c>
      <c r="B3202" t="s">
        <v>15</v>
      </c>
      <c r="C3202" t="s">
        <v>60</v>
      </c>
      <c r="D3202">
        <v>4799.54</v>
      </c>
      <c r="E3202">
        <v>90</v>
      </c>
      <c r="F3202" s="1">
        <v>45423</v>
      </c>
      <c r="G3202" t="str">
        <f>IF(COUNTIFS(Table1_3[Country],Table1_3[[#This Row],[Country]],Table1_3[Product],Table1_3[[#This Row],[Product]],Table1_3[Sales Person],Table1_3[[#This Row],[Sales Person]],Table1_3[Amount],"&lt;=100")&gt;=2,"Contract","Deal")</f>
        <v>Deal</v>
      </c>
    </row>
    <row r="3203" spans="1:7" x14ac:dyDescent="0.3">
      <c r="A3203" t="s">
        <v>64</v>
      </c>
      <c r="B3203" t="s">
        <v>15</v>
      </c>
      <c r="C3203" t="s">
        <v>42</v>
      </c>
      <c r="D3203">
        <v>1743</v>
      </c>
      <c r="E3203">
        <v>111</v>
      </c>
      <c r="F3203" s="1">
        <v>44749</v>
      </c>
      <c r="G3203" t="str">
        <f>IF(COUNTIFS(Table1_3[Country],Table1_3[[#This Row],[Country]],Table1_3[Product],Table1_3[[#This Row],[Product]],Table1_3[Sales Person],Table1_3[[#This Row],[Sales Person]],Table1_3[Amount],"&lt;=100")&gt;=2,"Contract","Deal")</f>
        <v>Deal</v>
      </c>
    </row>
    <row r="3204" spans="1:7" x14ac:dyDescent="0.3">
      <c r="A3204" t="s">
        <v>64</v>
      </c>
      <c r="B3204" t="s">
        <v>15</v>
      </c>
      <c r="C3204" t="s">
        <v>42</v>
      </c>
      <c r="D3204">
        <v>1896.24</v>
      </c>
      <c r="E3204">
        <v>115</v>
      </c>
      <c r="F3204" s="1">
        <v>45114</v>
      </c>
      <c r="G3204" t="str">
        <f>IF(COUNTIFS(Table1_3[Country],Table1_3[[#This Row],[Country]],Table1_3[Product],Table1_3[[#This Row],[Product]],Table1_3[Sales Person],Table1_3[[#This Row],[Sales Person]],Table1_3[Amount],"&lt;=100")&gt;=2,"Contract","Deal")</f>
        <v>Deal</v>
      </c>
    </row>
    <row r="3205" spans="1:7" x14ac:dyDescent="0.3">
      <c r="A3205" t="s">
        <v>64</v>
      </c>
      <c r="B3205" t="s">
        <v>15</v>
      </c>
      <c r="C3205" t="s">
        <v>42</v>
      </c>
      <c r="D3205">
        <v>2003.05</v>
      </c>
      <c r="E3205">
        <v>110</v>
      </c>
      <c r="F3205" s="1">
        <v>45480</v>
      </c>
      <c r="G3205" t="str">
        <f>IF(COUNTIFS(Table1_3[Country],Table1_3[[#This Row],[Country]],Table1_3[Product],Table1_3[[#This Row],[Product]],Table1_3[Sales Person],Table1_3[[#This Row],[Sales Person]],Table1_3[Amount],"&lt;=100")&gt;=2,"Contract","Deal")</f>
        <v>Deal</v>
      </c>
    </row>
    <row r="3206" spans="1:7" x14ac:dyDescent="0.3">
      <c r="A3206" t="s">
        <v>64</v>
      </c>
      <c r="B3206" t="s">
        <v>15</v>
      </c>
      <c r="C3206" t="s">
        <v>18</v>
      </c>
      <c r="D3206">
        <v>2226</v>
      </c>
      <c r="E3206">
        <v>46</v>
      </c>
      <c r="F3206" s="1">
        <v>44565</v>
      </c>
      <c r="G3206" t="str">
        <f>IF(COUNTIFS(Table1_3[Country],Table1_3[[#This Row],[Country]],Table1_3[Product],Table1_3[[#This Row],[Product]],Table1_3[Sales Person],Table1_3[[#This Row],[Sales Person]],Table1_3[Amount],"&lt;=100")&gt;=2,"Contract","Deal")</f>
        <v>Deal</v>
      </c>
    </row>
    <row r="3207" spans="1:7" x14ac:dyDescent="0.3">
      <c r="A3207" t="s">
        <v>64</v>
      </c>
      <c r="B3207" t="s">
        <v>15</v>
      </c>
      <c r="C3207" t="s">
        <v>18</v>
      </c>
      <c r="D3207">
        <v>2496.06</v>
      </c>
      <c r="E3207">
        <v>45</v>
      </c>
      <c r="F3207" s="1">
        <v>44930</v>
      </c>
      <c r="G3207" t="str">
        <f>IF(COUNTIFS(Table1_3[Country],Table1_3[[#This Row],[Country]],Table1_3[Product],Table1_3[[#This Row],[Product]],Table1_3[Sales Person],Table1_3[[#This Row],[Sales Person]],Table1_3[Amount],"&lt;=100")&gt;=2,"Contract","Deal")</f>
        <v>Deal</v>
      </c>
    </row>
    <row r="3208" spans="1:7" x14ac:dyDescent="0.3">
      <c r="A3208" t="s">
        <v>64</v>
      </c>
      <c r="B3208" t="s">
        <v>15</v>
      </c>
      <c r="C3208" t="s">
        <v>18</v>
      </c>
      <c r="D3208">
        <v>2587.61</v>
      </c>
      <c r="E3208">
        <v>44</v>
      </c>
      <c r="F3208" s="1">
        <v>45295</v>
      </c>
      <c r="G3208" t="str">
        <f>IF(COUNTIFS(Table1_3[Country],Table1_3[[#This Row],[Country]],Table1_3[Product],Table1_3[[#This Row],[Product]],Table1_3[Sales Person],Table1_3[[#This Row],[Sales Person]],Table1_3[Amount],"&lt;=100")&gt;=2,"Contract","Deal")</f>
        <v>Deal</v>
      </c>
    </row>
    <row r="3209" spans="1:7" x14ac:dyDescent="0.3">
      <c r="A3209" t="s">
        <v>64</v>
      </c>
      <c r="B3209" t="s">
        <v>35</v>
      </c>
      <c r="C3209" t="s">
        <v>57</v>
      </c>
      <c r="D3209">
        <v>3437</v>
      </c>
      <c r="E3209">
        <v>181</v>
      </c>
      <c r="F3209" s="1">
        <v>44781</v>
      </c>
      <c r="G3209" t="str">
        <f>IF(COUNTIFS(Table1_3[Country],Table1_3[[#This Row],[Country]],Table1_3[Product],Table1_3[[#This Row],[Product]],Table1_3[Sales Person],Table1_3[[#This Row],[Sales Person]],Table1_3[Amount],"&lt;=100")&gt;=2,"Contract","Deal")</f>
        <v>Deal</v>
      </c>
    </row>
    <row r="3210" spans="1:7" x14ac:dyDescent="0.3">
      <c r="A3210" t="s">
        <v>64</v>
      </c>
      <c r="B3210" t="s">
        <v>35</v>
      </c>
      <c r="C3210" t="s">
        <v>57</v>
      </c>
      <c r="D3210">
        <v>3589.18</v>
      </c>
      <c r="E3210">
        <v>176</v>
      </c>
      <c r="F3210" s="1">
        <v>45146</v>
      </c>
      <c r="G3210" t="str">
        <f>IF(COUNTIFS(Table1_3[Country],Table1_3[[#This Row],[Country]],Table1_3[Product],Table1_3[[#This Row],[Product]],Table1_3[Sales Person],Table1_3[[#This Row],[Sales Person]],Table1_3[Amount],"&lt;=100")&gt;=2,"Contract","Deal")</f>
        <v>Deal</v>
      </c>
    </row>
    <row r="3211" spans="1:7" x14ac:dyDescent="0.3">
      <c r="A3211" t="s">
        <v>64</v>
      </c>
      <c r="B3211" t="s">
        <v>35</v>
      </c>
      <c r="C3211" t="s">
        <v>57</v>
      </c>
      <c r="D3211">
        <v>3665.13</v>
      </c>
      <c r="E3211">
        <v>191</v>
      </c>
      <c r="F3211" s="1">
        <v>45512</v>
      </c>
      <c r="G3211" t="str">
        <f>IF(COUNTIFS(Table1_3[Country],Table1_3[[#This Row],[Country]],Table1_3[Product],Table1_3[[#This Row],[Product]],Table1_3[Sales Person],Table1_3[[#This Row],[Sales Person]],Table1_3[Amount],"&lt;=100")&gt;=2,"Contract","Deal")</f>
        <v>Deal</v>
      </c>
    </row>
    <row r="3212" spans="1:7" x14ac:dyDescent="0.3">
      <c r="A3212" t="s">
        <v>64</v>
      </c>
      <c r="B3212" t="s">
        <v>35</v>
      </c>
      <c r="C3212" t="s">
        <v>18</v>
      </c>
      <c r="D3212">
        <v>4991</v>
      </c>
      <c r="E3212">
        <v>166</v>
      </c>
      <c r="F3212" s="1">
        <v>44714</v>
      </c>
      <c r="G3212" t="str">
        <f>IF(COUNTIFS(Table1_3[Country],Table1_3[[#This Row],[Country]],Table1_3[Product],Table1_3[[#This Row],[Product]],Table1_3[Sales Person],Table1_3[[#This Row],[Sales Person]],Table1_3[Amount],"&lt;=100")&gt;=2,"Contract","Deal")</f>
        <v>Deal</v>
      </c>
    </row>
    <row r="3213" spans="1:7" x14ac:dyDescent="0.3">
      <c r="A3213" t="s">
        <v>64</v>
      </c>
      <c r="B3213" t="s">
        <v>35</v>
      </c>
      <c r="C3213" t="s">
        <v>18</v>
      </c>
      <c r="D3213">
        <v>5263.45</v>
      </c>
      <c r="E3213">
        <v>165</v>
      </c>
      <c r="F3213" s="1">
        <v>45079</v>
      </c>
      <c r="G3213" t="str">
        <f>IF(COUNTIFS(Table1_3[Country],Table1_3[[#This Row],[Country]],Table1_3[Product],Table1_3[[#This Row],[Product]],Table1_3[Sales Person],Table1_3[[#This Row],[Sales Person]],Table1_3[Amount],"&lt;=100")&gt;=2,"Contract","Deal")</f>
        <v>Deal</v>
      </c>
    </row>
    <row r="3214" spans="1:7" x14ac:dyDescent="0.3">
      <c r="A3214" t="s">
        <v>64</v>
      </c>
      <c r="B3214" t="s">
        <v>35</v>
      </c>
      <c r="C3214" t="s">
        <v>18</v>
      </c>
      <c r="D3214">
        <v>5594.84</v>
      </c>
      <c r="E3214">
        <v>174</v>
      </c>
      <c r="F3214" s="1">
        <v>45445</v>
      </c>
      <c r="G3214" t="str">
        <f>IF(COUNTIFS(Table1_3[Country],Table1_3[[#This Row],[Country]],Table1_3[Product],Table1_3[[#This Row],[Product]],Table1_3[Sales Person],Table1_3[[#This Row],[Sales Person]],Table1_3[Amount],"&lt;=100")&gt;=2,"Contract","Deal")</f>
        <v>Deal</v>
      </c>
    </row>
    <row r="3215" spans="1:7" x14ac:dyDescent="0.3">
      <c r="A3215" t="s">
        <v>64</v>
      </c>
      <c r="B3215" t="s">
        <v>10</v>
      </c>
      <c r="C3215" t="s">
        <v>23</v>
      </c>
      <c r="D3215">
        <v>12026</v>
      </c>
      <c r="E3215">
        <v>262</v>
      </c>
      <c r="F3215" s="1">
        <v>44777</v>
      </c>
      <c r="G3215" t="str">
        <f>IF(COUNTIFS(Table1_3[Country],Table1_3[[#This Row],[Country]],Table1_3[Product],Table1_3[[#This Row],[Product]],Table1_3[Sales Person],Table1_3[[#This Row],[Sales Person]],Table1_3[Amount],"&lt;=100")&gt;=2,"Contract","Deal")</f>
        <v>Deal</v>
      </c>
    </row>
    <row r="3216" spans="1:7" x14ac:dyDescent="0.3">
      <c r="A3216" t="s">
        <v>64</v>
      </c>
      <c r="B3216" t="s">
        <v>10</v>
      </c>
      <c r="C3216" t="s">
        <v>23</v>
      </c>
      <c r="D3216">
        <v>12194.27</v>
      </c>
      <c r="E3216">
        <v>252</v>
      </c>
      <c r="F3216" s="1">
        <v>45142</v>
      </c>
      <c r="G3216" t="str">
        <f>IF(COUNTIFS(Table1_3[Country],Table1_3[[#This Row],[Country]],Table1_3[Product],Table1_3[[#This Row],[Product]],Table1_3[Sales Person],Table1_3[[#This Row],[Sales Person]],Table1_3[Amount],"&lt;=100")&gt;=2,"Contract","Deal")</f>
        <v>Deal</v>
      </c>
    </row>
    <row r="3217" spans="1:7" x14ac:dyDescent="0.3">
      <c r="A3217" t="s">
        <v>64</v>
      </c>
      <c r="B3217" t="s">
        <v>10</v>
      </c>
      <c r="C3217" t="s">
        <v>23</v>
      </c>
      <c r="D3217">
        <v>13808.46</v>
      </c>
      <c r="E3217">
        <v>270</v>
      </c>
      <c r="F3217" s="1">
        <v>45508</v>
      </c>
      <c r="G3217" t="str">
        <f>IF(COUNTIFS(Table1_3[Country],Table1_3[[#This Row],[Country]],Table1_3[Product],Table1_3[[#This Row],[Product]],Table1_3[Sales Person],Table1_3[[#This Row],[Sales Person]],Table1_3[Amount],"&lt;=100")&gt;=2,"Contract","Deal")</f>
        <v>Deal</v>
      </c>
    </row>
    <row r="3218" spans="1:7" x14ac:dyDescent="0.3">
      <c r="A3218" t="s">
        <v>64</v>
      </c>
      <c r="B3218" t="s">
        <v>10</v>
      </c>
      <c r="C3218" t="s">
        <v>90</v>
      </c>
      <c r="D3218">
        <v>4179</v>
      </c>
      <c r="E3218">
        <v>276</v>
      </c>
      <c r="F3218" s="1">
        <v>44574</v>
      </c>
      <c r="G3218" t="str">
        <f>IF(COUNTIFS(Table1_3[Country],Table1_3[[#This Row],[Country]],Table1_3[Product],Table1_3[[#This Row],[Product]],Table1_3[Sales Person],Table1_3[[#This Row],[Sales Person]],Table1_3[Amount],"&lt;=100")&gt;=2,"Contract","Deal")</f>
        <v>Deal</v>
      </c>
    </row>
    <row r="3219" spans="1:7" x14ac:dyDescent="0.3">
      <c r="A3219" t="s">
        <v>64</v>
      </c>
      <c r="B3219" t="s">
        <v>10</v>
      </c>
      <c r="C3219" t="s">
        <v>90</v>
      </c>
      <c r="D3219">
        <v>4303.8599999999997</v>
      </c>
      <c r="E3219">
        <v>282</v>
      </c>
      <c r="F3219" s="1">
        <v>44939</v>
      </c>
      <c r="G3219" t="str">
        <f>IF(COUNTIFS(Table1_3[Country],Table1_3[[#This Row],[Country]],Table1_3[Product],Table1_3[[#This Row],[Product]],Table1_3[Sales Person],Table1_3[[#This Row],[Sales Person]],Table1_3[Amount],"&lt;=100")&gt;=2,"Contract","Deal")</f>
        <v>Deal</v>
      </c>
    </row>
    <row r="3220" spans="1:7" x14ac:dyDescent="0.3">
      <c r="A3220" t="s">
        <v>64</v>
      </c>
      <c r="B3220" t="s">
        <v>10</v>
      </c>
      <c r="C3220" t="s">
        <v>90</v>
      </c>
      <c r="D3220">
        <v>4890.59</v>
      </c>
      <c r="E3220">
        <v>274</v>
      </c>
      <c r="F3220" s="1">
        <v>45304</v>
      </c>
      <c r="G3220" t="str">
        <f>IF(COUNTIFS(Table1_3[Country],Table1_3[[#This Row],[Country]],Table1_3[Product],Table1_3[[#This Row],[Product]],Table1_3[Sales Person],Table1_3[[#This Row],[Sales Person]],Table1_3[Amount],"&lt;=100")&gt;=2,"Contract","Deal")</f>
        <v>Deal</v>
      </c>
    </row>
    <row r="3221" spans="1:7" x14ac:dyDescent="0.3">
      <c r="A3221" t="s">
        <v>64</v>
      </c>
      <c r="B3221" t="s">
        <v>10</v>
      </c>
      <c r="C3221" t="s">
        <v>75</v>
      </c>
      <c r="D3221">
        <v>2933</v>
      </c>
      <c r="E3221">
        <v>233</v>
      </c>
      <c r="F3221" s="1">
        <v>44795</v>
      </c>
      <c r="G3221" t="str">
        <f>IF(COUNTIFS(Table1_3[Country],Table1_3[[#This Row],[Country]],Table1_3[Product],Table1_3[[#This Row],[Product]],Table1_3[Sales Person],Table1_3[[#This Row],[Sales Person]],Table1_3[Amount],"&lt;=100")&gt;=2,"Contract","Deal")</f>
        <v>Deal</v>
      </c>
    </row>
    <row r="3222" spans="1:7" x14ac:dyDescent="0.3">
      <c r="A3222" t="s">
        <v>64</v>
      </c>
      <c r="B3222" t="s">
        <v>10</v>
      </c>
      <c r="C3222" t="s">
        <v>75</v>
      </c>
      <c r="D3222">
        <v>3237.3</v>
      </c>
      <c r="E3222">
        <v>227</v>
      </c>
      <c r="F3222" s="1">
        <v>45160</v>
      </c>
      <c r="G3222" t="str">
        <f>IF(COUNTIFS(Table1_3[Country],Table1_3[[#This Row],[Country]],Table1_3[Product],Table1_3[[#This Row],[Product]],Table1_3[Sales Person],Table1_3[[#This Row],[Sales Person]],Table1_3[Amount],"&lt;=100")&gt;=2,"Contract","Deal")</f>
        <v>Deal</v>
      </c>
    </row>
    <row r="3223" spans="1:7" x14ac:dyDescent="0.3">
      <c r="A3223" t="s">
        <v>64</v>
      </c>
      <c r="B3223" t="s">
        <v>10</v>
      </c>
      <c r="C3223" t="s">
        <v>75</v>
      </c>
      <c r="D3223">
        <v>3284.22</v>
      </c>
      <c r="E3223">
        <v>230</v>
      </c>
      <c r="F3223" s="1">
        <v>45526</v>
      </c>
      <c r="G3223" t="str">
        <f>IF(COUNTIFS(Table1_3[Country],Table1_3[[#This Row],[Country]],Table1_3[Product],Table1_3[[#This Row],[Product]],Table1_3[Sales Person],Table1_3[[#This Row],[Sales Person]],Table1_3[Amount],"&lt;=100")&gt;=2,"Contract","Deal")</f>
        <v>Deal</v>
      </c>
    </row>
    <row r="3224" spans="1:7" x14ac:dyDescent="0.3">
      <c r="A3224" t="s">
        <v>64</v>
      </c>
      <c r="B3224" t="s">
        <v>10</v>
      </c>
      <c r="C3224" t="s">
        <v>36</v>
      </c>
      <c r="D3224">
        <v>3549</v>
      </c>
      <c r="E3224">
        <v>76</v>
      </c>
      <c r="F3224" s="1">
        <v>44617</v>
      </c>
      <c r="G3224" t="str">
        <f>IF(COUNTIFS(Table1_3[Country],Table1_3[[#This Row],[Country]],Table1_3[Product],Table1_3[[#This Row],[Product]],Table1_3[Sales Person],Table1_3[[#This Row],[Sales Person]],Table1_3[Amount],"&lt;=100")&gt;=2,"Contract","Deal")</f>
        <v>Deal</v>
      </c>
    </row>
    <row r="3225" spans="1:7" x14ac:dyDescent="0.3">
      <c r="A3225" t="s">
        <v>64</v>
      </c>
      <c r="B3225" t="s">
        <v>10</v>
      </c>
      <c r="C3225" t="s">
        <v>36</v>
      </c>
      <c r="D3225">
        <v>3894.68</v>
      </c>
      <c r="E3225">
        <v>80</v>
      </c>
      <c r="F3225" s="1">
        <v>44982</v>
      </c>
      <c r="G3225" t="str">
        <f>IF(COUNTIFS(Table1_3[Country],Table1_3[[#This Row],[Country]],Table1_3[Product],Table1_3[[#This Row],[Product]],Table1_3[Sales Person],Table1_3[[#This Row],[Sales Person]],Table1_3[Amount],"&lt;=100")&gt;=2,"Contract","Deal")</f>
        <v>Deal</v>
      </c>
    </row>
    <row r="3226" spans="1:7" x14ac:dyDescent="0.3">
      <c r="A3226" t="s">
        <v>64</v>
      </c>
      <c r="B3226" t="s">
        <v>10</v>
      </c>
      <c r="C3226" t="s">
        <v>36</v>
      </c>
      <c r="D3226">
        <v>4263.93</v>
      </c>
      <c r="E3226">
        <v>80</v>
      </c>
      <c r="F3226" s="1">
        <v>45347</v>
      </c>
      <c r="G3226" t="str">
        <f>IF(COUNTIFS(Table1_3[Country],Table1_3[[#This Row],[Country]],Table1_3[Product],Table1_3[[#This Row],[Product]],Table1_3[Sales Person],Table1_3[[#This Row],[Sales Person]],Table1_3[Amount],"&lt;=100")&gt;=2,"Contract","Deal")</f>
        <v>Deal</v>
      </c>
    </row>
    <row r="3227" spans="1:7" x14ac:dyDescent="0.3">
      <c r="A3227" t="s">
        <v>64</v>
      </c>
      <c r="B3227" t="s">
        <v>10</v>
      </c>
      <c r="C3227" t="s">
        <v>8</v>
      </c>
      <c r="D3227">
        <v>1309</v>
      </c>
      <c r="E3227">
        <v>51</v>
      </c>
      <c r="F3227" s="1">
        <v>44795</v>
      </c>
      <c r="G3227" t="str">
        <f>IF(COUNTIFS(Table1_3[Country],Table1_3[[#This Row],[Country]],Table1_3[Product],Table1_3[[#This Row],[Product]],Table1_3[Sales Person],Table1_3[[#This Row],[Sales Person]],Table1_3[Amount],"&lt;=100")&gt;=2,"Contract","Deal")</f>
        <v>Deal</v>
      </c>
    </row>
    <row r="3228" spans="1:7" x14ac:dyDescent="0.3">
      <c r="A3228" t="s">
        <v>64</v>
      </c>
      <c r="B3228" t="s">
        <v>10</v>
      </c>
      <c r="C3228" t="s">
        <v>8</v>
      </c>
      <c r="D3228">
        <v>1310.5</v>
      </c>
      <c r="E3228">
        <v>52</v>
      </c>
      <c r="F3228" s="1">
        <v>45160</v>
      </c>
      <c r="G3228" t="str">
        <f>IF(COUNTIFS(Table1_3[Country],Table1_3[[#This Row],[Country]],Table1_3[Product],Table1_3[[#This Row],[Product]],Table1_3[Sales Person],Table1_3[[#This Row],[Sales Person]],Table1_3[Amount],"&lt;=100")&gt;=2,"Contract","Deal")</f>
        <v>Deal</v>
      </c>
    </row>
    <row r="3229" spans="1:7" x14ac:dyDescent="0.3">
      <c r="A3229" t="s">
        <v>64</v>
      </c>
      <c r="B3229" t="s">
        <v>10</v>
      </c>
      <c r="C3229" t="s">
        <v>8</v>
      </c>
      <c r="D3229">
        <v>1516.19</v>
      </c>
      <c r="E3229">
        <v>53</v>
      </c>
      <c r="F3229" s="1">
        <v>45526</v>
      </c>
      <c r="G3229" t="str">
        <f>IF(COUNTIFS(Table1_3[Country],Table1_3[[#This Row],[Country]],Table1_3[Product],Table1_3[[#This Row],[Product]],Table1_3[Sales Person],Table1_3[[#This Row],[Sales Person]],Table1_3[Amount],"&lt;=100")&gt;=2,"Contract","Deal")</f>
        <v>Deal</v>
      </c>
    </row>
    <row r="3230" spans="1:7" x14ac:dyDescent="0.3">
      <c r="A3230" t="s">
        <v>64</v>
      </c>
      <c r="B3230" t="s">
        <v>25</v>
      </c>
      <c r="C3230" t="s">
        <v>11</v>
      </c>
      <c r="D3230">
        <v>1827</v>
      </c>
      <c r="E3230">
        <v>117</v>
      </c>
      <c r="F3230" s="1">
        <v>44775</v>
      </c>
      <c r="G3230" t="str">
        <f>IF(COUNTIFS(Table1_3[Country],Table1_3[[#This Row],[Country]],Table1_3[Product],Table1_3[[#This Row],[Product]],Table1_3[Sales Person],Table1_3[[#This Row],[Sales Person]],Table1_3[Amount],"&lt;=100")&gt;=2,"Contract","Deal")</f>
        <v>Deal</v>
      </c>
    </row>
    <row r="3231" spans="1:7" x14ac:dyDescent="0.3">
      <c r="A3231" t="s">
        <v>64</v>
      </c>
      <c r="B3231" t="s">
        <v>25</v>
      </c>
      <c r="C3231" t="s">
        <v>11</v>
      </c>
      <c r="D3231">
        <v>2084.86</v>
      </c>
      <c r="E3231">
        <v>119</v>
      </c>
      <c r="F3231" s="1">
        <v>45140</v>
      </c>
      <c r="G3231" t="str">
        <f>IF(COUNTIFS(Table1_3[Country],Table1_3[[#This Row],[Country]],Table1_3[Product],Table1_3[[#This Row],[Product]],Table1_3[Sales Person],Table1_3[[#This Row],[Sales Person]],Table1_3[Amount],"&lt;=100")&gt;=2,"Contract","Deal")</f>
        <v>Deal</v>
      </c>
    </row>
    <row r="3232" spans="1:7" x14ac:dyDescent="0.3">
      <c r="A3232" t="s">
        <v>64</v>
      </c>
      <c r="B3232" t="s">
        <v>25</v>
      </c>
      <c r="C3232" t="s">
        <v>11</v>
      </c>
      <c r="D3232">
        <v>2043.06</v>
      </c>
      <c r="E3232">
        <v>121</v>
      </c>
      <c r="F3232" s="1">
        <v>45506</v>
      </c>
      <c r="G3232" t="str">
        <f>IF(COUNTIFS(Table1_3[Country],Table1_3[[#This Row],[Country]],Table1_3[Product],Table1_3[[#This Row],[Product]],Table1_3[Sales Person],Table1_3[[#This Row],[Sales Person]],Table1_3[Amount],"&lt;=100")&gt;=2,"Contract","Deal")</f>
        <v>Deal</v>
      </c>
    </row>
    <row r="3233" spans="1:7" x14ac:dyDescent="0.3">
      <c r="A3233" t="s">
        <v>64</v>
      </c>
      <c r="B3233" t="s">
        <v>25</v>
      </c>
      <c r="C3233" t="s">
        <v>65</v>
      </c>
      <c r="D3233">
        <v>9198</v>
      </c>
      <c r="E3233">
        <v>144</v>
      </c>
      <c r="F3233" s="1">
        <v>44635</v>
      </c>
      <c r="G3233" t="str">
        <f>IF(COUNTIFS(Table1_3[Country],Table1_3[[#This Row],[Country]],Table1_3[Product],Table1_3[[#This Row],[Product]],Table1_3[Sales Person],Table1_3[[#This Row],[Sales Person]],Table1_3[Amount],"&lt;=100")&gt;=2,"Contract","Deal")</f>
        <v>Deal</v>
      </c>
    </row>
    <row r="3234" spans="1:7" x14ac:dyDescent="0.3">
      <c r="A3234" t="s">
        <v>64</v>
      </c>
      <c r="B3234" t="s">
        <v>25</v>
      </c>
      <c r="C3234" t="s">
        <v>65</v>
      </c>
      <c r="D3234">
        <v>10085.02</v>
      </c>
      <c r="E3234">
        <v>146</v>
      </c>
      <c r="F3234" s="1">
        <v>45000</v>
      </c>
      <c r="G3234" t="str">
        <f>IF(COUNTIFS(Table1_3[Country],Table1_3[[#This Row],[Country]],Table1_3[Product],Table1_3[[#This Row],[Product]],Table1_3[Sales Person],Table1_3[[#This Row],[Sales Person]],Table1_3[Amount],"&lt;=100")&gt;=2,"Contract","Deal")</f>
        <v>Deal</v>
      </c>
    </row>
    <row r="3235" spans="1:7" x14ac:dyDescent="0.3">
      <c r="A3235" t="s">
        <v>64</v>
      </c>
      <c r="B3235" t="s">
        <v>25</v>
      </c>
      <c r="C3235" t="s">
        <v>65</v>
      </c>
      <c r="D3235">
        <v>9770.2800000000007</v>
      </c>
      <c r="E3235">
        <v>154</v>
      </c>
      <c r="F3235" s="1">
        <v>45366</v>
      </c>
      <c r="G3235" t="str">
        <f>IF(COUNTIFS(Table1_3[Country],Table1_3[[#This Row],[Country]],Table1_3[Product],Table1_3[[#This Row],[Product]],Table1_3[Sales Person],Table1_3[[#This Row],[Sales Person]],Table1_3[Amount],"&lt;=100")&gt;=2,"Contract","Deal")</f>
        <v>Deal</v>
      </c>
    </row>
    <row r="3236" spans="1:7" x14ac:dyDescent="0.3">
      <c r="A3236" t="s">
        <v>64</v>
      </c>
      <c r="B3236" t="s">
        <v>25</v>
      </c>
      <c r="C3236" t="s">
        <v>87</v>
      </c>
      <c r="D3236">
        <v>3836</v>
      </c>
      <c r="E3236">
        <v>59</v>
      </c>
      <c r="F3236" s="1">
        <v>44673</v>
      </c>
      <c r="G3236" t="str">
        <f>IF(COUNTIFS(Table1_3[Country],Table1_3[[#This Row],[Country]],Table1_3[Product],Table1_3[[#This Row],[Product]],Table1_3[Sales Person],Table1_3[[#This Row],[Sales Person]],Table1_3[Amount],"&lt;=100")&gt;=2,"Contract","Deal")</f>
        <v>Deal</v>
      </c>
    </row>
    <row r="3237" spans="1:7" x14ac:dyDescent="0.3">
      <c r="A3237" t="s">
        <v>64</v>
      </c>
      <c r="B3237" t="s">
        <v>25</v>
      </c>
      <c r="C3237" t="s">
        <v>87</v>
      </c>
      <c r="D3237">
        <v>4072.43</v>
      </c>
      <c r="E3237">
        <v>64</v>
      </c>
      <c r="F3237" s="1">
        <v>45038</v>
      </c>
      <c r="G3237" t="str">
        <f>IF(COUNTIFS(Table1_3[Country],Table1_3[[#This Row],[Country]],Table1_3[Product],Table1_3[[#This Row],[Product]],Table1_3[Sales Person],Table1_3[[#This Row],[Sales Person]],Table1_3[Amount],"&lt;=100")&gt;=2,"Contract","Deal")</f>
        <v>Deal</v>
      </c>
    </row>
    <row r="3238" spans="1:7" x14ac:dyDescent="0.3">
      <c r="A3238" t="s">
        <v>64</v>
      </c>
      <c r="B3238" t="s">
        <v>25</v>
      </c>
      <c r="C3238" t="s">
        <v>87</v>
      </c>
      <c r="D3238">
        <v>4609.67</v>
      </c>
      <c r="E3238">
        <v>58</v>
      </c>
      <c r="F3238" s="1">
        <v>45404</v>
      </c>
      <c r="G3238" t="str">
        <f>IF(COUNTIFS(Table1_3[Country],Table1_3[[#This Row],[Country]],Table1_3[Product],Table1_3[[#This Row],[Product]],Table1_3[Sales Person],Table1_3[[#This Row],[Sales Person]],Table1_3[Amount],"&lt;=100")&gt;=2,"Contract","Deal")</f>
        <v>Deal</v>
      </c>
    </row>
    <row r="3239" spans="1:7" x14ac:dyDescent="0.3">
      <c r="A3239" t="s">
        <v>64</v>
      </c>
      <c r="B3239" t="s">
        <v>25</v>
      </c>
      <c r="C3239" t="s">
        <v>36</v>
      </c>
      <c r="D3239">
        <v>3311</v>
      </c>
      <c r="E3239">
        <v>22</v>
      </c>
      <c r="F3239" s="1">
        <v>44631</v>
      </c>
      <c r="G3239" t="str">
        <f>IF(COUNTIFS(Table1_3[Country],Table1_3[[#This Row],[Country]],Table1_3[Product],Table1_3[[#This Row],[Product]],Table1_3[Sales Person],Table1_3[[#This Row],[Sales Person]],Table1_3[Amount],"&lt;=100")&gt;=2,"Contract","Deal")</f>
        <v>Deal</v>
      </c>
    </row>
    <row r="3240" spans="1:7" x14ac:dyDescent="0.3">
      <c r="A3240" t="s">
        <v>64</v>
      </c>
      <c r="B3240" t="s">
        <v>25</v>
      </c>
      <c r="C3240" t="s">
        <v>36</v>
      </c>
      <c r="D3240">
        <v>3394.46</v>
      </c>
      <c r="E3240">
        <v>21</v>
      </c>
      <c r="F3240" s="1">
        <v>44996</v>
      </c>
      <c r="G3240" t="str">
        <f>IF(COUNTIFS(Table1_3[Country],Table1_3[[#This Row],[Country]],Table1_3[Product],Table1_3[[#This Row],[Product]],Table1_3[Sales Person],Table1_3[[#This Row],[Sales Person]],Table1_3[Amount],"&lt;=100")&gt;=2,"Contract","Deal")</f>
        <v>Deal</v>
      </c>
    </row>
    <row r="3241" spans="1:7" x14ac:dyDescent="0.3">
      <c r="A3241" t="s">
        <v>64</v>
      </c>
      <c r="B3241" t="s">
        <v>25</v>
      </c>
      <c r="C3241" t="s">
        <v>36</v>
      </c>
      <c r="D3241">
        <v>3735</v>
      </c>
      <c r="E3241">
        <v>21</v>
      </c>
      <c r="F3241" s="1">
        <v>45362</v>
      </c>
      <c r="G3241" t="str">
        <f>IF(COUNTIFS(Table1_3[Country],Table1_3[[#This Row],[Country]],Table1_3[Product],Table1_3[[#This Row],[Product]],Table1_3[Sales Person],Table1_3[[#This Row],[Sales Person]],Table1_3[Amount],"&lt;=100")&gt;=2,"Contract","Deal")</f>
        <v>Deal</v>
      </c>
    </row>
    <row r="3242" spans="1:7" x14ac:dyDescent="0.3">
      <c r="A3242" t="s">
        <v>64</v>
      </c>
      <c r="B3242" t="s">
        <v>25</v>
      </c>
      <c r="C3242" t="s">
        <v>57</v>
      </c>
      <c r="D3242">
        <v>6426</v>
      </c>
      <c r="E3242">
        <v>98</v>
      </c>
      <c r="F3242" s="1">
        <v>44753</v>
      </c>
      <c r="G3242" t="str">
        <f>IF(COUNTIFS(Table1_3[Country],Table1_3[[#This Row],[Country]],Table1_3[Product],Table1_3[[#This Row],[Product]],Table1_3[Sales Person],Table1_3[[#This Row],[Sales Person]],Table1_3[Amount],"&lt;=100")&gt;=2,"Contract","Deal")</f>
        <v>Deal</v>
      </c>
    </row>
    <row r="3243" spans="1:7" x14ac:dyDescent="0.3">
      <c r="A3243" t="s">
        <v>64</v>
      </c>
      <c r="B3243" t="s">
        <v>25</v>
      </c>
      <c r="C3243" t="s">
        <v>57</v>
      </c>
      <c r="D3243">
        <v>6924.52</v>
      </c>
      <c r="E3243">
        <v>94</v>
      </c>
      <c r="F3243" s="1">
        <v>45118</v>
      </c>
      <c r="G3243" t="str">
        <f>IF(COUNTIFS(Table1_3[Country],Table1_3[[#This Row],[Country]],Table1_3[Product],Table1_3[[#This Row],[Product]],Table1_3[Sales Person],Table1_3[[#This Row],[Sales Person]],Table1_3[Amount],"&lt;=100")&gt;=2,"Contract","Deal")</f>
        <v>Deal</v>
      </c>
    </row>
    <row r="3244" spans="1:7" x14ac:dyDescent="0.3">
      <c r="A3244" t="s">
        <v>64</v>
      </c>
      <c r="B3244" t="s">
        <v>25</v>
      </c>
      <c r="C3244" t="s">
        <v>57</v>
      </c>
      <c r="D3244">
        <v>7736.85</v>
      </c>
      <c r="E3244">
        <v>95</v>
      </c>
      <c r="F3244" s="1">
        <v>45484</v>
      </c>
      <c r="G3244" t="str">
        <f>IF(COUNTIFS(Table1_3[Country],Table1_3[[#This Row],[Country]],Table1_3[Product],Table1_3[[#This Row],[Product]],Table1_3[Sales Person],Table1_3[[#This Row],[Sales Person]],Table1_3[Amount],"&lt;=100")&gt;=2,"Contract","Deal")</f>
        <v>Deal</v>
      </c>
    </row>
    <row r="3245" spans="1:7" x14ac:dyDescent="0.3">
      <c r="A3245" t="s">
        <v>64</v>
      </c>
      <c r="B3245" t="s">
        <v>25</v>
      </c>
      <c r="C3245" t="s">
        <v>60</v>
      </c>
      <c r="D3245">
        <v>3724</v>
      </c>
      <c r="E3245">
        <v>234</v>
      </c>
      <c r="F3245" s="1">
        <v>44753</v>
      </c>
      <c r="G3245" t="str">
        <f>IF(COUNTIFS(Table1_3[Country],Table1_3[[#This Row],[Country]],Table1_3[Product],Table1_3[[#This Row],[Product]],Table1_3[Sales Person],Table1_3[[#This Row],[Sales Person]],Table1_3[Amount],"&lt;=100")&gt;=2,"Contract","Deal")</f>
        <v>Deal</v>
      </c>
    </row>
    <row r="3246" spans="1:7" x14ac:dyDescent="0.3">
      <c r="A3246" t="s">
        <v>64</v>
      </c>
      <c r="B3246" t="s">
        <v>25</v>
      </c>
      <c r="C3246" t="s">
        <v>60</v>
      </c>
      <c r="D3246">
        <v>4173.3999999999996</v>
      </c>
      <c r="E3246">
        <v>254</v>
      </c>
      <c r="F3246" s="1">
        <v>45118</v>
      </c>
      <c r="G3246" t="str">
        <f>IF(COUNTIFS(Table1_3[Country],Table1_3[[#This Row],[Country]],Table1_3[Product],Table1_3[[#This Row],[Product]],Table1_3[Sales Person],Table1_3[[#This Row],[Sales Person]],Table1_3[Amount],"&lt;=100")&gt;=2,"Contract","Deal")</f>
        <v>Deal</v>
      </c>
    </row>
    <row r="3247" spans="1:7" x14ac:dyDescent="0.3">
      <c r="A3247" t="s">
        <v>64</v>
      </c>
      <c r="B3247" t="s">
        <v>25</v>
      </c>
      <c r="C3247" t="s">
        <v>60</v>
      </c>
      <c r="D3247">
        <v>4051.88</v>
      </c>
      <c r="E3247">
        <v>253</v>
      </c>
      <c r="F3247" s="1">
        <v>45484</v>
      </c>
      <c r="G3247" t="str">
        <f>IF(COUNTIFS(Table1_3[Country],Table1_3[[#This Row],[Country]],Table1_3[Product],Table1_3[[#This Row],[Product]],Table1_3[Sales Person],Table1_3[[#This Row],[Sales Person]],Table1_3[Amount],"&lt;=100")&gt;=2,"Contract","Deal")</f>
        <v>Deal</v>
      </c>
    </row>
    <row r="3248" spans="1:7" x14ac:dyDescent="0.3">
      <c r="A3248" t="s">
        <v>64</v>
      </c>
      <c r="B3248" t="s">
        <v>25</v>
      </c>
      <c r="C3248" t="s">
        <v>8</v>
      </c>
      <c r="D3248">
        <v>11662</v>
      </c>
      <c r="E3248">
        <v>242</v>
      </c>
      <c r="F3248" s="1">
        <v>44792</v>
      </c>
      <c r="G3248" t="str">
        <f>IF(COUNTIFS(Table1_3[Country],Table1_3[[#This Row],[Country]],Table1_3[Product],Table1_3[[#This Row],[Product]],Table1_3[Sales Person],Table1_3[[#This Row],[Sales Person]],Table1_3[Amount],"&lt;=100")&gt;=2,"Contract","Deal")</f>
        <v>Deal</v>
      </c>
    </row>
    <row r="3249" spans="1:7" x14ac:dyDescent="0.3">
      <c r="A3249" t="s">
        <v>64</v>
      </c>
      <c r="B3249" t="s">
        <v>25</v>
      </c>
      <c r="C3249" t="s">
        <v>8</v>
      </c>
      <c r="D3249">
        <v>12382.41</v>
      </c>
      <c r="E3249">
        <v>245</v>
      </c>
      <c r="F3249" s="1">
        <v>45157</v>
      </c>
      <c r="G3249" t="str">
        <f>IF(COUNTIFS(Table1_3[Country],Table1_3[[#This Row],[Country]],Table1_3[Product],Table1_3[[#This Row],[Product]],Table1_3[Sales Person],Table1_3[[#This Row],[Sales Person]],Table1_3[Amount],"&lt;=100")&gt;=2,"Contract","Deal")</f>
        <v>Deal</v>
      </c>
    </row>
    <row r="3250" spans="1:7" x14ac:dyDescent="0.3">
      <c r="A3250" t="s">
        <v>64</v>
      </c>
      <c r="B3250" t="s">
        <v>25</v>
      </c>
      <c r="C3250" t="s">
        <v>8</v>
      </c>
      <c r="D3250">
        <v>12524.3</v>
      </c>
      <c r="E3250">
        <v>251</v>
      </c>
      <c r="F3250" s="1">
        <v>45523</v>
      </c>
      <c r="G3250" t="str">
        <f>IF(COUNTIFS(Table1_3[Country],Table1_3[[#This Row],[Country]],Table1_3[Product],Table1_3[[#This Row],[Product]],Table1_3[Sales Person],Table1_3[[#This Row],[Sales Person]],Table1_3[Amount],"&lt;=100")&gt;=2,"Contract","Deal")</f>
        <v>Deal</v>
      </c>
    </row>
    <row r="3251" spans="1:7" x14ac:dyDescent="0.3">
      <c r="A3251" t="s">
        <v>64</v>
      </c>
      <c r="B3251" t="s">
        <v>25</v>
      </c>
      <c r="C3251" t="s">
        <v>42</v>
      </c>
      <c r="D3251">
        <v>2016</v>
      </c>
      <c r="E3251">
        <v>277</v>
      </c>
      <c r="F3251" s="1">
        <v>44592</v>
      </c>
      <c r="G3251" t="str">
        <f>IF(COUNTIFS(Table1_3[Country],Table1_3[[#This Row],[Country]],Table1_3[Product],Table1_3[[#This Row],[Product]],Table1_3[Sales Person],Table1_3[[#This Row],[Sales Person]],Table1_3[Amount],"&lt;=100")&gt;=2,"Contract","Deal")</f>
        <v>Deal</v>
      </c>
    </row>
    <row r="3252" spans="1:7" x14ac:dyDescent="0.3">
      <c r="A3252" t="s">
        <v>64</v>
      </c>
      <c r="B3252" t="s">
        <v>25</v>
      </c>
      <c r="C3252" t="s">
        <v>42</v>
      </c>
      <c r="D3252">
        <v>2155.64</v>
      </c>
      <c r="E3252">
        <v>281</v>
      </c>
      <c r="F3252" s="1">
        <v>44957</v>
      </c>
      <c r="G3252" t="str">
        <f>IF(COUNTIFS(Table1_3[Country],Table1_3[[#This Row],[Country]],Table1_3[Product],Table1_3[[#This Row],[Product]],Table1_3[Sales Person],Table1_3[[#This Row],[Sales Person]],Table1_3[Amount],"&lt;=100")&gt;=2,"Contract","Deal")</f>
        <v>Deal</v>
      </c>
    </row>
    <row r="3253" spans="1:7" x14ac:dyDescent="0.3">
      <c r="A3253" t="s">
        <v>64</v>
      </c>
      <c r="B3253" t="s">
        <v>25</v>
      </c>
      <c r="C3253" t="s">
        <v>42</v>
      </c>
      <c r="D3253">
        <v>2390.6999999999998</v>
      </c>
      <c r="E3253">
        <v>274</v>
      </c>
      <c r="F3253" s="1">
        <v>45322</v>
      </c>
      <c r="G3253" t="str">
        <f>IF(COUNTIFS(Table1_3[Country],Table1_3[[#This Row],[Country]],Table1_3[Product],Table1_3[[#This Row],[Product]],Table1_3[Sales Person],Table1_3[[#This Row],[Sales Person]],Table1_3[Amount],"&lt;=100")&gt;=2,"Contract","Deal")</f>
        <v>Deal</v>
      </c>
    </row>
    <row r="3254" spans="1:7" x14ac:dyDescent="0.3">
      <c r="A3254" t="s">
        <v>64</v>
      </c>
      <c r="B3254" t="s">
        <v>7</v>
      </c>
      <c r="C3254" t="s">
        <v>38</v>
      </c>
      <c r="D3254">
        <v>3388</v>
      </c>
      <c r="E3254">
        <v>55</v>
      </c>
      <c r="F3254" s="1">
        <v>44699</v>
      </c>
      <c r="G3254" t="str">
        <f>IF(COUNTIFS(Table1_3[Country],Table1_3[[#This Row],[Country]],Table1_3[Product],Table1_3[[#This Row],[Product]],Table1_3[Sales Person],Table1_3[[#This Row],[Sales Person]],Table1_3[Amount],"&lt;=100")&gt;=2,"Contract","Deal")</f>
        <v>Deal</v>
      </c>
    </row>
    <row r="3255" spans="1:7" x14ac:dyDescent="0.3">
      <c r="A3255" t="s">
        <v>64</v>
      </c>
      <c r="B3255" t="s">
        <v>7</v>
      </c>
      <c r="C3255" t="s">
        <v>38</v>
      </c>
      <c r="D3255">
        <v>3638.66</v>
      </c>
      <c r="E3255">
        <v>59</v>
      </c>
      <c r="F3255" s="1">
        <v>45064</v>
      </c>
      <c r="G3255" t="str">
        <f>IF(COUNTIFS(Table1_3[Country],Table1_3[[#This Row],[Country]],Table1_3[Product],Table1_3[[#This Row],[Product]],Table1_3[Sales Person],Table1_3[[#This Row],[Sales Person]],Table1_3[Amount],"&lt;=100")&gt;=2,"Contract","Deal")</f>
        <v>Deal</v>
      </c>
    </row>
    <row r="3256" spans="1:7" x14ac:dyDescent="0.3">
      <c r="A3256" t="s">
        <v>64</v>
      </c>
      <c r="B3256" t="s">
        <v>7</v>
      </c>
      <c r="C3256" t="s">
        <v>38</v>
      </c>
      <c r="D3256">
        <v>3857.25</v>
      </c>
      <c r="E3256">
        <v>54</v>
      </c>
      <c r="F3256" s="1">
        <v>45430</v>
      </c>
      <c r="G3256" t="str">
        <f>IF(COUNTIFS(Table1_3[Country],Table1_3[[#This Row],[Country]],Table1_3[Product],Table1_3[[#This Row],[Product]],Table1_3[Sales Person],Table1_3[[#This Row],[Sales Person]],Table1_3[Amount],"&lt;=100")&gt;=2,"Contract","Deal")</f>
        <v>Deal</v>
      </c>
    </row>
    <row r="3257" spans="1:7" x14ac:dyDescent="0.3">
      <c r="A3257" t="s">
        <v>64</v>
      </c>
      <c r="B3257" t="s">
        <v>7</v>
      </c>
      <c r="C3257" t="s">
        <v>46</v>
      </c>
      <c r="D3257">
        <v>301</v>
      </c>
      <c r="E3257">
        <v>65</v>
      </c>
      <c r="F3257" s="1">
        <v>44799</v>
      </c>
      <c r="G3257" t="str">
        <f>IF(COUNTIFS(Table1_3[Country],Table1_3[[#This Row],[Country]],Table1_3[Product],Table1_3[[#This Row],[Product]],Table1_3[Sales Person],Table1_3[[#This Row],[Sales Person]],Table1_3[Amount],"&lt;=100")&gt;=2,"Contract","Deal")</f>
        <v>Deal</v>
      </c>
    </row>
    <row r="3258" spans="1:7" x14ac:dyDescent="0.3">
      <c r="A3258" t="s">
        <v>64</v>
      </c>
      <c r="B3258" t="s">
        <v>7</v>
      </c>
      <c r="C3258" t="s">
        <v>46</v>
      </c>
      <c r="D3258">
        <v>305.39</v>
      </c>
      <c r="E3258">
        <v>62</v>
      </c>
      <c r="F3258" s="1">
        <v>45164</v>
      </c>
      <c r="G3258" t="str">
        <f>IF(COUNTIFS(Table1_3[Country],Table1_3[[#This Row],[Country]],Table1_3[Product],Table1_3[[#This Row],[Product]],Table1_3[Sales Person],Table1_3[[#This Row],[Sales Person]],Table1_3[Amount],"&lt;=100")&gt;=2,"Contract","Deal")</f>
        <v>Deal</v>
      </c>
    </row>
    <row r="3259" spans="1:7" x14ac:dyDescent="0.3">
      <c r="A3259" t="s">
        <v>64</v>
      </c>
      <c r="B3259" t="s">
        <v>7</v>
      </c>
      <c r="C3259" t="s">
        <v>46</v>
      </c>
      <c r="D3259">
        <v>334.81</v>
      </c>
      <c r="E3259">
        <v>66</v>
      </c>
      <c r="F3259" s="1">
        <v>45530</v>
      </c>
      <c r="G3259" t="str">
        <f>IF(COUNTIFS(Table1_3[Country],Table1_3[[#This Row],[Country]],Table1_3[Product],Table1_3[[#This Row],[Product]],Table1_3[Sales Person],Table1_3[[#This Row],[Sales Person]],Table1_3[Amount],"&lt;=100")&gt;=2,"Contract","Deal")</f>
        <v>Deal</v>
      </c>
    </row>
    <row r="3260" spans="1:7" x14ac:dyDescent="0.3">
      <c r="A3260" t="s">
        <v>64</v>
      </c>
      <c r="B3260" t="s">
        <v>7</v>
      </c>
      <c r="C3260" t="s">
        <v>42</v>
      </c>
      <c r="D3260">
        <v>4858</v>
      </c>
      <c r="E3260">
        <v>52</v>
      </c>
      <c r="F3260" s="1">
        <v>44754</v>
      </c>
      <c r="G3260" t="str">
        <f>IF(COUNTIFS(Table1_3[Country],Table1_3[[#This Row],[Country]],Table1_3[Product],Table1_3[[#This Row],[Product]],Table1_3[Sales Person],Table1_3[[#This Row],[Sales Person]],Table1_3[Amount],"&lt;=100")&gt;=2,"Contract","Deal")</f>
        <v>Deal</v>
      </c>
    </row>
    <row r="3261" spans="1:7" x14ac:dyDescent="0.3">
      <c r="A3261" t="s">
        <v>64</v>
      </c>
      <c r="B3261" t="s">
        <v>7</v>
      </c>
      <c r="C3261" t="s">
        <v>42</v>
      </c>
      <c r="D3261">
        <v>4964.25</v>
      </c>
      <c r="E3261">
        <v>56</v>
      </c>
      <c r="F3261" s="1">
        <v>45119</v>
      </c>
      <c r="G3261" t="str">
        <f>IF(COUNTIFS(Table1_3[Country],Table1_3[[#This Row],[Country]],Table1_3[Product],Table1_3[[#This Row],[Product]],Table1_3[Sales Person],Table1_3[[#This Row],[Sales Person]],Table1_3[Amount],"&lt;=100")&gt;=2,"Contract","Deal")</f>
        <v>Deal</v>
      </c>
    </row>
    <row r="3262" spans="1:7" x14ac:dyDescent="0.3">
      <c r="A3262" t="s">
        <v>64</v>
      </c>
      <c r="B3262" t="s">
        <v>7</v>
      </c>
      <c r="C3262" t="s">
        <v>42</v>
      </c>
      <c r="D3262">
        <v>5574.83</v>
      </c>
      <c r="E3262">
        <v>52</v>
      </c>
      <c r="F3262" s="1">
        <v>45485</v>
      </c>
      <c r="G3262" t="str">
        <f>IF(COUNTIFS(Table1_3[Country],Table1_3[[#This Row],[Country]],Table1_3[Product],Table1_3[[#This Row],[Product]],Table1_3[Sales Person],Table1_3[[#This Row],[Sales Person]],Table1_3[Amount],"&lt;=100")&gt;=2,"Contract","Deal")</f>
        <v>Deal</v>
      </c>
    </row>
    <row r="3263" spans="1:7" x14ac:dyDescent="0.3">
      <c r="A3263" t="s">
        <v>64</v>
      </c>
      <c r="B3263" t="s">
        <v>32</v>
      </c>
      <c r="C3263" t="s">
        <v>26</v>
      </c>
      <c r="D3263">
        <v>4501</v>
      </c>
      <c r="E3263">
        <v>131</v>
      </c>
      <c r="F3263" s="1">
        <v>44669</v>
      </c>
      <c r="G3263" t="str">
        <f>IF(COUNTIFS(Table1_3[Country],Table1_3[[#This Row],[Country]],Table1_3[Product],Table1_3[[#This Row],[Product]],Table1_3[Sales Person],Table1_3[[#This Row],[Sales Person]],Table1_3[Amount],"&lt;=100")&gt;=2,"Contract","Deal")</f>
        <v>Deal</v>
      </c>
    </row>
    <row r="3264" spans="1:7" x14ac:dyDescent="0.3">
      <c r="A3264" t="s">
        <v>64</v>
      </c>
      <c r="B3264" t="s">
        <v>32</v>
      </c>
      <c r="C3264" t="s">
        <v>26</v>
      </c>
      <c r="D3264">
        <v>4738.71</v>
      </c>
      <c r="E3264">
        <v>125</v>
      </c>
      <c r="F3264" s="1">
        <v>45034</v>
      </c>
      <c r="G3264" t="str">
        <f>IF(COUNTIFS(Table1_3[Country],Table1_3[[#This Row],[Country]],Table1_3[Product],Table1_3[[#This Row],[Product]],Table1_3[Sales Person],Table1_3[[#This Row],[Sales Person]],Table1_3[Amount],"&lt;=100")&gt;=2,"Contract","Deal")</f>
        <v>Deal</v>
      </c>
    </row>
    <row r="3265" spans="1:7" x14ac:dyDescent="0.3">
      <c r="A3265" t="s">
        <v>64</v>
      </c>
      <c r="B3265" t="s">
        <v>32</v>
      </c>
      <c r="C3265" t="s">
        <v>26</v>
      </c>
      <c r="D3265">
        <v>5084.32</v>
      </c>
      <c r="E3265">
        <v>126</v>
      </c>
      <c r="F3265" s="1">
        <v>45400</v>
      </c>
      <c r="G3265" t="str">
        <f>IF(COUNTIFS(Table1_3[Country],Table1_3[[#This Row],[Country]],Table1_3[Product],Table1_3[[#This Row],[Product]],Table1_3[Sales Person],Table1_3[[#This Row],[Sales Person]],Table1_3[Amount],"&lt;=100")&gt;=2,"Contract","Deal")</f>
        <v>Deal</v>
      </c>
    </row>
    <row r="3266" spans="1:7" x14ac:dyDescent="0.3">
      <c r="A3266" t="s">
        <v>64</v>
      </c>
      <c r="B3266" t="s">
        <v>32</v>
      </c>
      <c r="C3266" t="s">
        <v>23</v>
      </c>
      <c r="D3266">
        <v>392</v>
      </c>
      <c r="E3266">
        <v>30</v>
      </c>
      <c r="F3266" s="1">
        <v>44676</v>
      </c>
      <c r="G3266" t="str">
        <f>IF(COUNTIFS(Table1_3[Country],Table1_3[[#This Row],[Country]],Table1_3[Product],Table1_3[[#This Row],[Product]],Table1_3[Sales Person],Table1_3[[#This Row],[Sales Person]],Table1_3[Amount],"&lt;=100")&gt;=2,"Contract","Deal")</f>
        <v>Deal</v>
      </c>
    </row>
    <row r="3267" spans="1:7" x14ac:dyDescent="0.3">
      <c r="A3267" t="s">
        <v>64</v>
      </c>
      <c r="B3267" t="s">
        <v>32</v>
      </c>
      <c r="C3267" t="s">
        <v>23</v>
      </c>
      <c r="D3267">
        <v>396.19</v>
      </c>
      <c r="E3267">
        <v>32</v>
      </c>
      <c r="F3267" s="1">
        <v>45041</v>
      </c>
      <c r="G3267" t="str">
        <f>IF(COUNTIFS(Table1_3[Country],Table1_3[[#This Row],[Country]],Table1_3[Product],Table1_3[[#This Row],[Product]],Table1_3[Sales Person],Table1_3[[#This Row],[Sales Person]],Table1_3[Amount],"&lt;=100")&gt;=2,"Contract","Deal")</f>
        <v>Deal</v>
      </c>
    </row>
    <row r="3268" spans="1:7" x14ac:dyDescent="0.3">
      <c r="A3268" t="s">
        <v>64</v>
      </c>
      <c r="B3268" t="s">
        <v>32</v>
      </c>
      <c r="C3268" t="s">
        <v>23</v>
      </c>
      <c r="D3268">
        <v>433.92</v>
      </c>
      <c r="E3268">
        <v>31</v>
      </c>
      <c r="F3268" s="1">
        <v>45407</v>
      </c>
      <c r="G3268" t="str">
        <f>IF(COUNTIFS(Table1_3[Country],Table1_3[[#This Row],[Country]],Table1_3[Product],Table1_3[[#This Row],[Product]],Table1_3[Sales Person],Table1_3[[#This Row],[Sales Person]],Table1_3[Amount],"&lt;=100")&gt;=2,"Contract","Deal")</f>
        <v>Deal</v>
      </c>
    </row>
    <row r="3269" spans="1:7" x14ac:dyDescent="0.3">
      <c r="A3269" t="s">
        <v>64</v>
      </c>
      <c r="B3269" t="s">
        <v>32</v>
      </c>
      <c r="C3269" t="s">
        <v>75</v>
      </c>
      <c r="D3269">
        <v>9457</v>
      </c>
      <c r="E3269">
        <v>6</v>
      </c>
      <c r="F3269" s="1">
        <v>44718</v>
      </c>
      <c r="G3269" t="str">
        <f>IF(COUNTIFS(Table1_3[Country],Table1_3[[#This Row],[Country]],Table1_3[Product],Table1_3[[#This Row],[Product]],Table1_3[Sales Person],Table1_3[[#This Row],[Sales Person]],Table1_3[Amount],"&lt;=100")&gt;=2,"Contract","Deal")</f>
        <v>Deal</v>
      </c>
    </row>
    <row r="3270" spans="1:7" x14ac:dyDescent="0.3">
      <c r="A3270" t="s">
        <v>64</v>
      </c>
      <c r="B3270" t="s">
        <v>32</v>
      </c>
      <c r="C3270" t="s">
        <v>75</v>
      </c>
      <c r="D3270">
        <v>9950.14</v>
      </c>
      <c r="E3270">
        <v>6</v>
      </c>
      <c r="F3270" s="1">
        <v>45083</v>
      </c>
      <c r="G3270" t="str">
        <f>IF(COUNTIFS(Table1_3[Country],Table1_3[[#This Row],[Country]],Table1_3[Product],Table1_3[[#This Row],[Product]],Table1_3[Sales Person],Table1_3[[#This Row],[Sales Person]],Table1_3[Amount],"&lt;=100")&gt;=2,"Contract","Deal")</f>
        <v>Deal</v>
      </c>
    </row>
    <row r="3271" spans="1:7" x14ac:dyDescent="0.3">
      <c r="A3271" t="s">
        <v>64</v>
      </c>
      <c r="B3271" t="s">
        <v>32</v>
      </c>
      <c r="C3271" t="s">
        <v>75</v>
      </c>
      <c r="D3271">
        <v>10422.84</v>
      </c>
      <c r="E3271">
        <v>6</v>
      </c>
      <c r="F3271" s="1">
        <v>45449</v>
      </c>
      <c r="G3271" t="str">
        <f>IF(COUNTIFS(Table1_3[Country],Table1_3[[#This Row],[Country]],Table1_3[Product],Table1_3[[#This Row],[Product]],Table1_3[Sales Person],Table1_3[[#This Row],[Sales Person]],Table1_3[Amount],"&lt;=100")&gt;=2,"Contract","Deal")</f>
        <v>Deal</v>
      </c>
    </row>
    <row r="3272" spans="1:7" x14ac:dyDescent="0.3">
      <c r="A3272" t="s">
        <v>64</v>
      </c>
      <c r="B3272" t="s">
        <v>32</v>
      </c>
      <c r="C3272" t="s">
        <v>38</v>
      </c>
      <c r="D3272">
        <v>1029</v>
      </c>
      <c r="E3272">
        <v>98</v>
      </c>
      <c r="F3272" s="1">
        <v>44726</v>
      </c>
      <c r="G3272" t="str">
        <f>IF(COUNTIFS(Table1_3[Country],Table1_3[[#This Row],[Country]],Table1_3[Product],Table1_3[[#This Row],[Product]],Table1_3[Sales Person],Table1_3[[#This Row],[Sales Person]],Table1_3[Amount],"&lt;=100")&gt;=2,"Contract","Deal")</f>
        <v>Deal</v>
      </c>
    </row>
    <row r="3273" spans="1:7" x14ac:dyDescent="0.3">
      <c r="A3273" t="s">
        <v>64</v>
      </c>
      <c r="B3273" t="s">
        <v>32</v>
      </c>
      <c r="C3273" t="s">
        <v>38</v>
      </c>
      <c r="D3273">
        <v>1065.6300000000001</v>
      </c>
      <c r="E3273">
        <v>107</v>
      </c>
      <c r="F3273" s="1">
        <v>45091</v>
      </c>
      <c r="G3273" t="str">
        <f>IF(COUNTIFS(Table1_3[Country],Table1_3[[#This Row],[Country]],Table1_3[Product],Table1_3[[#This Row],[Product]],Table1_3[Sales Person],Table1_3[[#This Row],[Sales Person]],Table1_3[Amount],"&lt;=100")&gt;=2,"Contract","Deal")</f>
        <v>Deal</v>
      </c>
    </row>
    <row r="3274" spans="1:7" x14ac:dyDescent="0.3">
      <c r="A3274" t="s">
        <v>64</v>
      </c>
      <c r="B3274" t="s">
        <v>32</v>
      </c>
      <c r="C3274" t="s">
        <v>38</v>
      </c>
      <c r="D3274">
        <v>1213.6300000000001</v>
      </c>
      <c r="E3274">
        <v>101</v>
      </c>
      <c r="F3274" s="1">
        <v>45457</v>
      </c>
      <c r="G3274" t="str">
        <f>IF(COUNTIFS(Table1_3[Country],Table1_3[[#This Row],[Country]],Table1_3[Product],Table1_3[[#This Row],[Product]],Table1_3[Sales Person],Table1_3[[#This Row],[Sales Person]],Table1_3[Amount],"&lt;=100")&gt;=2,"Contract","Deal")</f>
        <v>Deal</v>
      </c>
    </row>
    <row r="3275" spans="1:7" x14ac:dyDescent="0.3">
      <c r="A3275" t="s">
        <v>64</v>
      </c>
      <c r="B3275" t="s">
        <v>32</v>
      </c>
      <c r="C3275" t="s">
        <v>46</v>
      </c>
      <c r="D3275">
        <v>5012</v>
      </c>
      <c r="E3275">
        <v>93</v>
      </c>
      <c r="F3275" s="1">
        <v>44757</v>
      </c>
      <c r="G3275" t="str">
        <f>IF(COUNTIFS(Table1_3[Country],Table1_3[[#This Row],[Country]],Table1_3[Product],Table1_3[[#This Row],[Product]],Table1_3[Sales Person],Table1_3[[#This Row],[Sales Person]],Table1_3[Amount],"&lt;=100")&gt;=2,"Contract","Deal")</f>
        <v>Deal</v>
      </c>
    </row>
    <row r="3276" spans="1:7" x14ac:dyDescent="0.3">
      <c r="A3276" t="s">
        <v>64</v>
      </c>
      <c r="B3276" t="s">
        <v>32</v>
      </c>
      <c r="C3276" t="s">
        <v>46</v>
      </c>
      <c r="D3276">
        <v>5332.79</v>
      </c>
      <c r="E3276">
        <v>101</v>
      </c>
      <c r="F3276" s="1">
        <v>45122</v>
      </c>
      <c r="G3276" t="str">
        <f>IF(COUNTIFS(Table1_3[Country],Table1_3[[#This Row],[Country]],Table1_3[Product],Table1_3[[#This Row],[Product]],Table1_3[Sales Person],Table1_3[[#This Row],[Sales Person]],Table1_3[Amount],"&lt;=100")&gt;=2,"Contract","Deal")</f>
        <v>Deal</v>
      </c>
    </row>
    <row r="3277" spans="1:7" x14ac:dyDescent="0.3">
      <c r="A3277" t="s">
        <v>64</v>
      </c>
      <c r="B3277" t="s">
        <v>32</v>
      </c>
      <c r="C3277" t="s">
        <v>46</v>
      </c>
      <c r="D3277">
        <v>5298.68</v>
      </c>
      <c r="E3277">
        <v>96</v>
      </c>
      <c r="F3277" s="1">
        <v>45488</v>
      </c>
      <c r="G3277" t="str">
        <f>IF(COUNTIFS(Table1_3[Country],Table1_3[[#This Row],[Country]],Table1_3[Product],Table1_3[[#This Row],[Product]],Table1_3[Sales Person],Table1_3[[#This Row],[Sales Person]],Table1_3[Amount],"&lt;=100")&gt;=2,"Contract","Deal")</f>
        <v>Deal</v>
      </c>
    </row>
    <row r="3278" spans="1:7" x14ac:dyDescent="0.3">
      <c r="A3278" t="s">
        <v>64</v>
      </c>
      <c r="B3278" t="s">
        <v>32</v>
      </c>
      <c r="C3278" t="s">
        <v>33</v>
      </c>
      <c r="D3278">
        <v>7042</v>
      </c>
      <c r="E3278">
        <v>37</v>
      </c>
      <c r="F3278" s="1">
        <v>44620</v>
      </c>
      <c r="G3278" t="str">
        <f>IF(COUNTIFS(Table1_3[Country],Table1_3[[#This Row],[Country]],Table1_3[Product],Table1_3[[#This Row],[Product]],Table1_3[Sales Person],Table1_3[[#This Row],[Sales Person]],Table1_3[Amount],"&lt;=100")&gt;=2,"Contract","Deal")</f>
        <v>Deal</v>
      </c>
    </row>
    <row r="3279" spans="1:7" x14ac:dyDescent="0.3">
      <c r="A3279" t="s">
        <v>64</v>
      </c>
      <c r="B3279" t="s">
        <v>32</v>
      </c>
      <c r="C3279" t="s">
        <v>33</v>
      </c>
      <c r="D3279">
        <v>7725.52</v>
      </c>
      <c r="E3279">
        <v>38</v>
      </c>
      <c r="F3279" s="1">
        <v>44985</v>
      </c>
      <c r="G3279" t="str">
        <f>IF(COUNTIFS(Table1_3[Country],Table1_3[[#This Row],[Country]],Table1_3[Product],Table1_3[[#This Row],[Product]],Table1_3[Sales Person],Table1_3[[#This Row],[Sales Person]],Table1_3[Amount],"&lt;=100")&gt;=2,"Contract","Deal")</f>
        <v>Deal</v>
      </c>
    </row>
    <row r="3280" spans="1:7" x14ac:dyDescent="0.3">
      <c r="A3280" t="s">
        <v>64</v>
      </c>
      <c r="B3280" t="s">
        <v>32</v>
      </c>
      <c r="C3280" t="s">
        <v>33</v>
      </c>
      <c r="D3280">
        <v>7481.93</v>
      </c>
      <c r="E3280">
        <v>38</v>
      </c>
      <c r="F3280" s="1">
        <v>45350</v>
      </c>
      <c r="G3280" t="str">
        <f>IF(COUNTIFS(Table1_3[Country],Table1_3[[#This Row],[Country]],Table1_3[Product],Table1_3[[#This Row],[Product]],Table1_3[Sales Person],Table1_3[[#This Row],[Sales Person]],Table1_3[Amount],"&lt;=100")&gt;=2,"Contract","Deal")</f>
        <v>Deal</v>
      </c>
    </row>
    <row r="3281" spans="1:7" x14ac:dyDescent="0.3">
      <c r="A3281" t="s">
        <v>64</v>
      </c>
      <c r="B3281" t="s">
        <v>32</v>
      </c>
      <c r="C3281" t="s">
        <v>18</v>
      </c>
      <c r="D3281">
        <v>504</v>
      </c>
      <c r="E3281">
        <v>87</v>
      </c>
      <c r="F3281" s="1">
        <v>44579</v>
      </c>
      <c r="G3281" t="str">
        <f>IF(COUNTIFS(Table1_3[Country],Table1_3[[#This Row],[Country]],Table1_3[Product],Table1_3[[#This Row],[Product]],Table1_3[Sales Person],Table1_3[[#This Row],[Sales Person]],Table1_3[Amount],"&lt;=100")&gt;=2,"Contract","Deal")</f>
        <v>Deal</v>
      </c>
    </row>
    <row r="3282" spans="1:7" x14ac:dyDescent="0.3">
      <c r="A3282" t="s">
        <v>64</v>
      </c>
      <c r="B3282" t="s">
        <v>32</v>
      </c>
      <c r="C3282" t="s">
        <v>18</v>
      </c>
      <c r="D3282">
        <v>511.12</v>
      </c>
      <c r="E3282">
        <v>96</v>
      </c>
      <c r="F3282" s="1">
        <v>44944</v>
      </c>
      <c r="G3282" t="str">
        <f>IF(COUNTIFS(Table1_3[Country],Table1_3[[#This Row],[Country]],Table1_3[Product],Table1_3[[#This Row],[Product]],Table1_3[Sales Person],Table1_3[[#This Row],[Sales Person]],Table1_3[Amount],"&lt;=100")&gt;=2,"Contract","Deal")</f>
        <v>Deal</v>
      </c>
    </row>
    <row r="3283" spans="1:7" x14ac:dyDescent="0.3">
      <c r="A3283" t="s">
        <v>64</v>
      </c>
      <c r="B3283" t="s">
        <v>32</v>
      </c>
      <c r="C3283" t="s">
        <v>18</v>
      </c>
      <c r="D3283">
        <v>542.39</v>
      </c>
      <c r="E3283">
        <v>86</v>
      </c>
      <c r="F3283" s="1">
        <v>45309</v>
      </c>
      <c r="G3283" t="str">
        <f>IF(COUNTIFS(Table1_3[Country],Table1_3[[#This Row],[Country]],Table1_3[Product],Table1_3[[#This Row],[Product]],Table1_3[Sales Person],Table1_3[[#This Row],[Sales Person]],Table1_3[Amount],"&lt;=100")&gt;=2,"Contract","Deal")</f>
        <v>Deal</v>
      </c>
    </row>
  </sheetData>
  <phoneticPr fontId="19"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76612-5C20-4692-A5F5-EED6F242EED0}">
  <dimension ref="A1:C13"/>
  <sheetViews>
    <sheetView workbookViewId="0">
      <selection activeCell="A11" sqref="A11:C13"/>
    </sheetView>
  </sheetViews>
  <sheetFormatPr defaultRowHeight="14.4" x14ac:dyDescent="0.3"/>
  <cols>
    <col min="1" max="1" width="19" bestFit="1" customWidth="1"/>
    <col min="2" max="2" width="15.33203125" bestFit="1" customWidth="1"/>
    <col min="3" max="3" width="19.44140625" bestFit="1" customWidth="1"/>
  </cols>
  <sheetData>
    <row r="1" spans="1:3" x14ac:dyDescent="0.3">
      <c r="A1" s="45"/>
      <c r="B1" s="45" t="s">
        <v>379</v>
      </c>
      <c r="C1" s="45" t="s">
        <v>373</v>
      </c>
    </row>
    <row r="2" spans="1:3" x14ac:dyDescent="0.3">
      <c r="A2" s="43" t="s">
        <v>379</v>
      </c>
      <c r="B2" s="43">
        <v>1</v>
      </c>
      <c r="C2" s="43"/>
    </row>
    <row r="3" spans="1:3" ht="15" thickBot="1" x14ac:dyDescent="0.35">
      <c r="A3" s="44" t="s">
        <v>373</v>
      </c>
      <c r="B3" s="44">
        <v>0.63756601055744744</v>
      </c>
      <c r="C3" s="44">
        <v>1</v>
      </c>
    </row>
    <row r="5" spans="1:3" ht="15" thickBot="1" x14ac:dyDescent="0.35"/>
    <row r="6" spans="1:3" x14ac:dyDescent="0.3">
      <c r="A6" s="45"/>
      <c r="B6" s="45" t="s">
        <v>368</v>
      </c>
      <c r="C6" s="45" t="s">
        <v>373</v>
      </c>
    </row>
    <row r="7" spans="1:3" x14ac:dyDescent="0.3">
      <c r="A7" s="43" t="s">
        <v>368</v>
      </c>
      <c r="B7" s="43">
        <v>1</v>
      </c>
      <c r="C7" s="43"/>
    </row>
    <row r="8" spans="1:3" ht="15" thickBot="1" x14ac:dyDescent="0.35">
      <c r="A8" s="44" t="s">
        <v>373</v>
      </c>
      <c r="B8" s="44">
        <v>0.52635647577512767</v>
      </c>
      <c r="C8" s="44">
        <v>1</v>
      </c>
    </row>
    <row r="10" spans="1:3" ht="15" thickBot="1" x14ac:dyDescent="0.35"/>
    <row r="11" spans="1:3" x14ac:dyDescent="0.3">
      <c r="A11" s="45"/>
      <c r="B11" s="45" t="s">
        <v>4</v>
      </c>
      <c r="C11" s="45" t="s">
        <v>5</v>
      </c>
    </row>
    <row r="12" spans="1:3" x14ac:dyDescent="0.3">
      <c r="A12" s="43" t="s">
        <v>4</v>
      </c>
      <c r="B12" s="43">
        <v>1</v>
      </c>
      <c r="C12" s="43"/>
    </row>
    <row r="13" spans="1:3" ht="15" thickBot="1" x14ac:dyDescent="0.35">
      <c r="A13" s="44" t="s">
        <v>5</v>
      </c>
      <c r="B13" s="44">
        <v>-1.2951551174771061E-2</v>
      </c>
      <c r="C13" s="44">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4E1D2-46AC-4B08-BCEA-E21E538519DC}">
  <dimension ref="A2:U37"/>
  <sheetViews>
    <sheetView workbookViewId="0">
      <selection activeCell="C6" sqref="C6"/>
    </sheetView>
  </sheetViews>
  <sheetFormatPr defaultRowHeight="14.4" x14ac:dyDescent="0.3"/>
  <cols>
    <col min="1" max="1" width="15.77734375" bestFit="1" customWidth="1"/>
    <col min="2" max="2" width="15.5546875" bestFit="1" customWidth="1"/>
    <col min="3" max="4" width="5" bestFit="1" customWidth="1"/>
    <col min="5" max="5" width="10.77734375" bestFit="1" customWidth="1"/>
    <col min="6" max="7" width="5" bestFit="1" customWidth="1"/>
    <col min="8" max="8" width="14.44140625" bestFit="1" customWidth="1"/>
    <col min="9" max="9" width="19.88671875" bestFit="1" customWidth="1"/>
    <col min="10" max="10" width="5" bestFit="1" customWidth="1"/>
    <col min="11" max="11" width="13.88671875" bestFit="1" customWidth="1"/>
    <col min="12" max="13" width="5" bestFit="1" customWidth="1"/>
    <col min="14" max="14" width="5.44140625" bestFit="1" customWidth="1"/>
    <col min="15" max="15" width="5" bestFit="1" customWidth="1"/>
    <col min="16" max="16" width="13.88671875" bestFit="1" customWidth="1"/>
    <col min="17" max="17" width="14.44140625" bestFit="1" customWidth="1"/>
    <col min="18" max="20" width="19.88671875" bestFit="1" customWidth="1"/>
    <col min="21" max="21" width="21.33203125" bestFit="1" customWidth="1"/>
    <col min="22" max="22" width="19.88671875" bestFit="1" customWidth="1"/>
    <col min="23" max="23" width="20.5546875" bestFit="1" customWidth="1"/>
    <col min="24" max="24" width="24.6640625" bestFit="1" customWidth="1"/>
    <col min="25" max="25" width="4.33203125" bestFit="1" customWidth="1"/>
    <col min="26" max="26" width="10.77734375" bestFit="1" customWidth="1"/>
    <col min="27" max="27" width="6.44140625" bestFit="1" customWidth="1"/>
    <col min="28" max="33" width="6" bestFit="1" customWidth="1"/>
    <col min="34" max="34" width="5.21875" bestFit="1" customWidth="1"/>
    <col min="35" max="35" width="6.33203125" bestFit="1" customWidth="1"/>
    <col min="36" max="36" width="6" bestFit="1" customWidth="1"/>
    <col min="37" max="37" width="5" bestFit="1" customWidth="1"/>
    <col min="38" max="38" width="10.77734375" bestFit="1" customWidth="1"/>
    <col min="39" max="39" width="5" bestFit="1" customWidth="1"/>
    <col min="40" max="40" width="4" bestFit="1" customWidth="1"/>
    <col min="41" max="41" width="5" bestFit="1" customWidth="1"/>
    <col min="42" max="46" width="4" bestFit="1" customWidth="1"/>
    <col min="47" max="48" width="5" bestFit="1" customWidth="1"/>
    <col min="49" max="50" width="4" bestFit="1" customWidth="1"/>
    <col min="51" max="51" width="5" bestFit="1" customWidth="1"/>
    <col min="52" max="52" width="4" bestFit="1" customWidth="1"/>
    <col min="53" max="53" width="5" bestFit="1" customWidth="1"/>
    <col min="54" max="54" width="4" bestFit="1" customWidth="1"/>
    <col min="55" max="56" width="5" bestFit="1" customWidth="1"/>
    <col min="57" max="59" width="4" bestFit="1" customWidth="1"/>
    <col min="60" max="60" width="5" bestFit="1" customWidth="1"/>
    <col min="61" max="64" width="4" bestFit="1" customWidth="1"/>
    <col min="65" max="65" width="5" bestFit="1" customWidth="1"/>
    <col min="66" max="67" width="4" bestFit="1" customWidth="1"/>
    <col min="68" max="69" width="5" bestFit="1" customWidth="1"/>
    <col min="70" max="70" width="4" bestFit="1" customWidth="1"/>
    <col min="71" max="71" width="5" bestFit="1" customWidth="1"/>
    <col min="72" max="76" width="4" bestFit="1" customWidth="1"/>
    <col min="77" max="178" width="5" bestFit="1" customWidth="1"/>
    <col min="179" max="179" width="6" bestFit="1" customWidth="1"/>
    <col min="180" max="269" width="5" bestFit="1" customWidth="1"/>
    <col min="270" max="271" width="6" bestFit="1" customWidth="1"/>
    <col min="272" max="275" width="5" bestFit="1" customWidth="1"/>
    <col min="276" max="276" width="6" bestFit="1" customWidth="1"/>
    <col min="277" max="277" width="5" bestFit="1" customWidth="1"/>
    <col min="278" max="278" width="6" bestFit="1" customWidth="1"/>
    <col min="279" max="284" width="5" bestFit="1" customWidth="1"/>
    <col min="285" max="285" width="6" bestFit="1" customWidth="1"/>
    <col min="286" max="287" width="5" bestFit="1" customWidth="1"/>
    <col min="288" max="288" width="6" bestFit="1" customWidth="1"/>
    <col min="289" max="313" width="5" bestFit="1" customWidth="1"/>
    <col min="314" max="314" width="6" bestFit="1" customWidth="1"/>
    <col min="315" max="344" width="5" bestFit="1" customWidth="1"/>
    <col min="345" max="345" width="6" bestFit="1" customWidth="1"/>
    <col min="346" max="354" width="5" bestFit="1" customWidth="1"/>
    <col min="355" max="355" width="6" bestFit="1" customWidth="1"/>
    <col min="356" max="358" width="5" bestFit="1" customWidth="1"/>
    <col min="359" max="359" width="6" bestFit="1" customWidth="1"/>
    <col min="360" max="372" width="5" bestFit="1" customWidth="1"/>
    <col min="373" max="373" width="6" bestFit="1" customWidth="1"/>
    <col min="374" max="374" width="5" bestFit="1" customWidth="1"/>
    <col min="375" max="375" width="6" bestFit="1" customWidth="1"/>
    <col min="376" max="386" width="5" bestFit="1" customWidth="1"/>
    <col min="387" max="387" width="6" bestFit="1" customWidth="1"/>
    <col min="388" max="390" width="5" bestFit="1" customWidth="1"/>
    <col min="391" max="391" width="6" bestFit="1" customWidth="1"/>
    <col min="392" max="393" width="5" bestFit="1" customWidth="1"/>
    <col min="394" max="394" width="6" bestFit="1" customWidth="1"/>
    <col min="395" max="395" width="5" bestFit="1" customWidth="1"/>
    <col min="396" max="396" width="6" bestFit="1" customWidth="1"/>
    <col min="397" max="406" width="5" bestFit="1" customWidth="1"/>
    <col min="407" max="407" width="6" bestFit="1" customWidth="1"/>
    <col min="408" max="408" width="5" bestFit="1" customWidth="1"/>
    <col min="409" max="409" width="6" bestFit="1" customWidth="1"/>
    <col min="410" max="413" width="5" bestFit="1" customWidth="1"/>
    <col min="414" max="414" width="6" bestFit="1" customWidth="1"/>
    <col min="415" max="419" width="5" bestFit="1" customWidth="1"/>
    <col min="420" max="422" width="6" bestFit="1" customWidth="1"/>
    <col min="423" max="423" width="5" bestFit="1" customWidth="1"/>
    <col min="424" max="425" width="6" bestFit="1" customWidth="1"/>
    <col min="426" max="434" width="5" bestFit="1" customWidth="1"/>
    <col min="435" max="435" width="6" bestFit="1" customWidth="1"/>
    <col min="436" max="438" width="5" bestFit="1" customWidth="1"/>
    <col min="439" max="439" width="6" bestFit="1" customWidth="1"/>
    <col min="440" max="440" width="5" bestFit="1" customWidth="1"/>
    <col min="441" max="441" width="6" bestFit="1" customWidth="1"/>
    <col min="442" max="444" width="5" bestFit="1" customWidth="1"/>
    <col min="445" max="447" width="6" bestFit="1" customWidth="1"/>
    <col min="448" max="450" width="5" bestFit="1" customWidth="1"/>
    <col min="451" max="451" width="6" bestFit="1" customWidth="1"/>
    <col min="452" max="452" width="5" bestFit="1" customWidth="1"/>
    <col min="453" max="453" width="6" bestFit="1" customWidth="1"/>
    <col min="454" max="465" width="5" bestFit="1" customWidth="1"/>
    <col min="466" max="467" width="6" bestFit="1" customWidth="1"/>
    <col min="468" max="472" width="5" bestFit="1" customWidth="1"/>
    <col min="473" max="475" width="6" bestFit="1" customWidth="1"/>
    <col min="476" max="479" width="5" bestFit="1" customWidth="1"/>
    <col min="480" max="481" width="6" bestFit="1" customWidth="1"/>
    <col min="482" max="482" width="5" bestFit="1" customWidth="1"/>
    <col min="483" max="483" width="6" bestFit="1" customWidth="1"/>
    <col min="484" max="484" width="5" bestFit="1" customWidth="1"/>
    <col min="485" max="487" width="6" bestFit="1" customWidth="1"/>
    <col min="488" max="490" width="5" bestFit="1" customWidth="1"/>
    <col min="491" max="492" width="6" bestFit="1" customWidth="1"/>
    <col min="493" max="493" width="5" bestFit="1" customWidth="1"/>
    <col min="494" max="494" width="6" bestFit="1" customWidth="1"/>
    <col min="495" max="499" width="5" bestFit="1" customWidth="1"/>
    <col min="500" max="500" width="6" bestFit="1" customWidth="1"/>
    <col min="501" max="501" width="5" bestFit="1" customWidth="1"/>
    <col min="502" max="502" width="6" bestFit="1" customWidth="1"/>
    <col min="503" max="505" width="5" bestFit="1" customWidth="1"/>
    <col min="506" max="506" width="6" bestFit="1" customWidth="1"/>
    <col min="507" max="509" width="5" bestFit="1" customWidth="1"/>
    <col min="510" max="511" width="6" bestFit="1" customWidth="1"/>
    <col min="512" max="513" width="5" bestFit="1" customWidth="1"/>
    <col min="514" max="515" width="6" bestFit="1" customWidth="1"/>
    <col min="516" max="519" width="5" bestFit="1" customWidth="1"/>
    <col min="520" max="520" width="6" bestFit="1" customWidth="1"/>
    <col min="521" max="532" width="5" bestFit="1" customWidth="1"/>
    <col min="533" max="533" width="6" bestFit="1" customWidth="1"/>
    <col min="534" max="538" width="5" bestFit="1" customWidth="1"/>
    <col min="539" max="539" width="6" bestFit="1" customWidth="1"/>
    <col min="540" max="546" width="5" bestFit="1" customWidth="1"/>
    <col min="547" max="547" width="6" bestFit="1" customWidth="1"/>
    <col min="548" max="549" width="5" bestFit="1" customWidth="1"/>
    <col min="550" max="550" width="6" bestFit="1" customWidth="1"/>
    <col min="551" max="553" width="5" bestFit="1" customWidth="1"/>
    <col min="554" max="555" width="6" bestFit="1" customWidth="1"/>
    <col min="556" max="556" width="5" bestFit="1" customWidth="1"/>
    <col min="557" max="557" width="6" bestFit="1" customWidth="1"/>
    <col min="558" max="560" width="5" bestFit="1" customWidth="1"/>
    <col min="561" max="561" width="6" bestFit="1" customWidth="1"/>
    <col min="562" max="562" width="5" bestFit="1" customWidth="1"/>
    <col min="563" max="565" width="6" bestFit="1" customWidth="1"/>
    <col min="566" max="568" width="5" bestFit="1" customWidth="1"/>
    <col min="569" max="569" width="6" bestFit="1" customWidth="1"/>
    <col min="570" max="570" width="5" bestFit="1" customWidth="1"/>
    <col min="571" max="571" width="6" bestFit="1" customWidth="1"/>
    <col min="572" max="573" width="5" bestFit="1" customWidth="1"/>
    <col min="574" max="574" width="6" bestFit="1" customWidth="1"/>
    <col min="575" max="576" width="5" bestFit="1" customWidth="1"/>
    <col min="577" max="577" width="6" bestFit="1" customWidth="1"/>
    <col min="578" max="578" width="5" bestFit="1" customWidth="1"/>
    <col min="579" max="579" width="6" bestFit="1" customWidth="1"/>
    <col min="580" max="586" width="5" bestFit="1" customWidth="1"/>
    <col min="587" max="587" width="6" bestFit="1" customWidth="1"/>
    <col min="588" max="594" width="5" bestFit="1" customWidth="1"/>
    <col min="595" max="595" width="6" bestFit="1" customWidth="1"/>
    <col min="596" max="600" width="5" bestFit="1" customWidth="1"/>
    <col min="601" max="601" width="6" bestFit="1" customWidth="1"/>
    <col min="602" max="622" width="5" bestFit="1" customWidth="1"/>
    <col min="623" max="623" width="6" bestFit="1" customWidth="1"/>
    <col min="624" max="624" width="5" bestFit="1" customWidth="1"/>
    <col min="625" max="625" width="6" bestFit="1" customWidth="1"/>
    <col min="626" max="629" width="5" bestFit="1" customWidth="1"/>
    <col min="630" max="630" width="6" bestFit="1" customWidth="1"/>
    <col min="631" max="635" width="5" bestFit="1" customWidth="1"/>
    <col min="636" max="638" width="6" bestFit="1" customWidth="1"/>
    <col min="639" max="645" width="5" bestFit="1" customWidth="1"/>
    <col min="646" max="646" width="6" bestFit="1" customWidth="1"/>
    <col min="647" max="661" width="5" bestFit="1" customWidth="1"/>
    <col min="662" max="663" width="6" bestFit="1" customWidth="1"/>
    <col min="664" max="666" width="5" bestFit="1" customWidth="1"/>
    <col min="667" max="667" width="6" bestFit="1" customWidth="1"/>
    <col min="668" max="670" width="5" bestFit="1" customWidth="1"/>
    <col min="671" max="671" width="6" bestFit="1" customWidth="1"/>
    <col min="672" max="675" width="5" bestFit="1" customWidth="1"/>
    <col min="676" max="828" width="6" bestFit="1" customWidth="1"/>
    <col min="829" max="829" width="7" bestFit="1" customWidth="1"/>
    <col min="830" max="830" width="5" bestFit="1" customWidth="1"/>
    <col min="831" max="836" width="6" bestFit="1" customWidth="1"/>
    <col min="837" max="837" width="5" bestFit="1" customWidth="1"/>
    <col min="838" max="841" width="6" bestFit="1" customWidth="1"/>
    <col min="842" max="854" width="7" bestFit="1" customWidth="1"/>
    <col min="855" max="855" width="6" bestFit="1" customWidth="1"/>
    <col min="856" max="868" width="7" bestFit="1" customWidth="1"/>
    <col min="869" max="870" width="6" bestFit="1" customWidth="1"/>
    <col min="871" max="884" width="7" bestFit="1" customWidth="1"/>
    <col min="885" max="885" width="6" bestFit="1" customWidth="1"/>
    <col min="886" max="896" width="7" bestFit="1" customWidth="1"/>
    <col min="897" max="897" width="6" bestFit="1" customWidth="1"/>
    <col min="898" max="898" width="7" bestFit="1" customWidth="1"/>
    <col min="899" max="900" width="6" bestFit="1" customWidth="1"/>
    <col min="901" max="919" width="7" bestFit="1" customWidth="1"/>
    <col min="920" max="920" width="6" bestFit="1" customWidth="1"/>
    <col min="921" max="929" width="7" bestFit="1" customWidth="1"/>
    <col min="930" max="946" width="8" bestFit="1" customWidth="1"/>
    <col min="947" max="947" width="7" bestFit="1" customWidth="1"/>
    <col min="948" max="952" width="8" bestFit="1" customWidth="1"/>
    <col min="953" max="953" width="5" bestFit="1" customWidth="1"/>
    <col min="954" max="954" width="8" bestFit="1" customWidth="1"/>
    <col min="955" max="955" width="7" bestFit="1" customWidth="1"/>
    <col min="956" max="961" width="8" bestFit="1" customWidth="1"/>
    <col min="962" max="962" width="7" bestFit="1" customWidth="1"/>
    <col min="963" max="964" width="8" bestFit="1" customWidth="1"/>
    <col min="965" max="965" width="7" bestFit="1" customWidth="1"/>
    <col min="966" max="997" width="8" bestFit="1" customWidth="1"/>
    <col min="998" max="998" width="7" bestFit="1" customWidth="1"/>
    <col min="999" max="1005" width="8" bestFit="1" customWidth="1"/>
    <col min="1006" max="1006" width="7" bestFit="1" customWidth="1"/>
    <col min="1007" max="1016" width="8" bestFit="1" customWidth="1"/>
    <col min="1017" max="1017" width="7" bestFit="1" customWidth="1"/>
    <col min="1018" max="1024" width="8" bestFit="1" customWidth="1"/>
    <col min="1025" max="1025" width="7" bestFit="1" customWidth="1"/>
    <col min="1026" max="1038" width="8" bestFit="1" customWidth="1"/>
    <col min="1039" max="1040" width="7" bestFit="1" customWidth="1"/>
    <col min="1041" max="1060" width="8" bestFit="1" customWidth="1"/>
    <col min="1061" max="1061" width="7" bestFit="1" customWidth="1"/>
    <col min="1062" max="1069" width="8" bestFit="1" customWidth="1"/>
    <col min="1070" max="1071" width="7" bestFit="1" customWidth="1"/>
    <col min="1072" max="1079" width="8" bestFit="1" customWidth="1"/>
    <col min="1080" max="1080" width="7" bestFit="1" customWidth="1"/>
    <col min="1081" max="1088" width="8" bestFit="1" customWidth="1"/>
    <col min="1089" max="1089" width="7" bestFit="1" customWidth="1"/>
    <col min="1090" max="1099" width="8" bestFit="1" customWidth="1"/>
    <col min="1100" max="1100" width="7" bestFit="1" customWidth="1"/>
    <col min="1101" max="1134" width="8" bestFit="1" customWidth="1"/>
    <col min="1135" max="1135" width="7" bestFit="1" customWidth="1"/>
    <col min="1136" max="1142" width="8" bestFit="1" customWidth="1"/>
    <col min="1143" max="1144" width="7" bestFit="1" customWidth="1"/>
    <col min="1145" max="1145" width="8" bestFit="1" customWidth="1"/>
    <col min="1146" max="1146" width="7" bestFit="1" customWidth="1"/>
    <col min="1147" max="1153" width="8" bestFit="1" customWidth="1"/>
    <col min="1154" max="1154" width="7" bestFit="1" customWidth="1"/>
    <col min="1155" max="1157" width="8" bestFit="1" customWidth="1"/>
    <col min="1158" max="1158" width="7" bestFit="1" customWidth="1"/>
    <col min="1159" max="1164" width="8" bestFit="1" customWidth="1"/>
    <col min="1165" max="1165" width="7" bestFit="1" customWidth="1"/>
    <col min="1166" max="1176" width="8" bestFit="1" customWidth="1"/>
    <col min="1177" max="1177" width="7" bestFit="1" customWidth="1"/>
    <col min="1178" max="1180" width="8" bestFit="1" customWidth="1"/>
    <col min="1181" max="1181" width="7" bestFit="1" customWidth="1"/>
    <col min="1182" max="1182" width="8" bestFit="1" customWidth="1"/>
    <col min="1183" max="1183" width="7" bestFit="1" customWidth="1"/>
    <col min="1184" max="1184" width="5" bestFit="1" customWidth="1"/>
    <col min="1185" max="1189" width="8" bestFit="1" customWidth="1"/>
    <col min="1190" max="1190" width="7" bestFit="1" customWidth="1"/>
    <col min="1191" max="1200" width="8" bestFit="1" customWidth="1"/>
    <col min="1201" max="1201" width="7" bestFit="1" customWidth="1"/>
    <col min="1202" max="1202" width="8" bestFit="1" customWidth="1"/>
    <col min="1203" max="1203" width="7" bestFit="1" customWidth="1"/>
    <col min="1204" max="1206" width="8" bestFit="1" customWidth="1"/>
    <col min="1207" max="1207" width="7" bestFit="1" customWidth="1"/>
    <col min="1208" max="1227" width="8" bestFit="1" customWidth="1"/>
    <col min="1228" max="1228" width="7" bestFit="1" customWidth="1"/>
    <col min="1229" max="1246" width="8" bestFit="1" customWidth="1"/>
    <col min="1247" max="1247" width="7" bestFit="1" customWidth="1"/>
    <col min="1248" max="1251" width="8" bestFit="1" customWidth="1"/>
    <col min="1252" max="1252" width="7" bestFit="1" customWidth="1"/>
    <col min="1253" max="1271" width="8" bestFit="1" customWidth="1"/>
    <col min="1272" max="1272" width="7" bestFit="1" customWidth="1"/>
    <col min="1273" max="1273" width="8" bestFit="1" customWidth="1"/>
    <col min="1274" max="1274" width="7" bestFit="1" customWidth="1"/>
    <col min="1275" max="1275" width="5" bestFit="1" customWidth="1"/>
    <col min="1276" max="1323" width="8" bestFit="1" customWidth="1"/>
    <col min="1324" max="1324" width="7" bestFit="1" customWidth="1"/>
    <col min="1325" max="1329" width="8" bestFit="1" customWidth="1"/>
    <col min="1330" max="1330" width="7" bestFit="1" customWidth="1"/>
    <col min="1331" max="1331" width="8" bestFit="1" customWidth="1"/>
    <col min="1332" max="1332" width="7" bestFit="1" customWidth="1"/>
    <col min="1333" max="1333" width="8" bestFit="1" customWidth="1"/>
    <col min="1334" max="1334" width="7" bestFit="1" customWidth="1"/>
    <col min="1335" max="1355" width="8" bestFit="1" customWidth="1"/>
    <col min="1356" max="1356" width="7" bestFit="1" customWidth="1"/>
    <col min="1357" max="1371" width="8" bestFit="1" customWidth="1"/>
    <col min="1372" max="1372" width="7" bestFit="1" customWidth="1"/>
    <col min="1373" max="1374" width="8" bestFit="1" customWidth="1"/>
    <col min="1375" max="1375" width="7" bestFit="1" customWidth="1"/>
    <col min="1376" max="1380" width="8" bestFit="1" customWidth="1"/>
    <col min="1381" max="1381" width="7" bestFit="1" customWidth="1"/>
    <col min="1382" max="1393" width="8" bestFit="1" customWidth="1"/>
    <col min="1394" max="1394" width="7" bestFit="1" customWidth="1"/>
    <col min="1395" max="1401" width="8" bestFit="1" customWidth="1"/>
    <col min="1402" max="1402" width="7" bestFit="1" customWidth="1"/>
    <col min="1403" max="1405" width="8" bestFit="1" customWidth="1"/>
    <col min="1406" max="1406" width="7" bestFit="1" customWidth="1"/>
    <col min="1407" max="1416" width="8" bestFit="1" customWidth="1"/>
    <col min="1417" max="1417" width="7" bestFit="1" customWidth="1"/>
    <col min="1418" max="1422" width="8" bestFit="1" customWidth="1"/>
    <col min="1423" max="1424" width="7" bestFit="1" customWidth="1"/>
    <col min="1425" max="1426" width="8" bestFit="1" customWidth="1"/>
    <col min="1427" max="1427" width="7" bestFit="1" customWidth="1"/>
    <col min="1428" max="1435" width="8" bestFit="1" customWidth="1"/>
    <col min="1436" max="1436" width="7" bestFit="1" customWidth="1"/>
    <col min="1437" max="1442" width="8" bestFit="1" customWidth="1"/>
    <col min="1443" max="1443" width="7" bestFit="1" customWidth="1"/>
    <col min="1444" max="1462" width="8" bestFit="1" customWidth="1"/>
    <col min="1463" max="1463" width="7" bestFit="1" customWidth="1"/>
    <col min="1464" max="1472" width="8" bestFit="1" customWidth="1"/>
    <col min="1473" max="1473" width="7" bestFit="1" customWidth="1"/>
    <col min="1474" max="1479" width="8" bestFit="1" customWidth="1"/>
    <col min="1480" max="1480" width="7" bestFit="1" customWidth="1"/>
    <col min="1481" max="1485" width="8" bestFit="1" customWidth="1"/>
    <col min="1486" max="1486" width="7" bestFit="1" customWidth="1"/>
    <col min="1487" max="1488" width="8" bestFit="1" customWidth="1"/>
    <col min="1489" max="1489" width="7" bestFit="1" customWidth="1"/>
    <col min="1490" max="1497" width="8" bestFit="1" customWidth="1"/>
    <col min="1498" max="1498" width="7" bestFit="1" customWidth="1"/>
    <col min="1499" max="1511" width="8" bestFit="1" customWidth="1"/>
    <col min="1512" max="1512" width="5" bestFit="1" customWidth="1"/>
    <col min="1513" max="1514" width="8" bestFit="1" customWidth="1"/>
    <col min="1515" max="1515" width="7" bestFit="1" customWidth="1"/>
    <col min="1516" max="1542" width="8" bestFit="1" customWidth="1"/>
    <col min="1543" max="1543" width="7" bestFit="1" customWidth="1"/>
    <col min="1544" max="1547" width="8" bestFit="1" customWidth="1"/>
    <col min="1548" max="1548" width="7" bestFit="1" customWidth="1"/>
    <col min="1549" max="1549" width="8" bestFit="1" customWidth="1"/>
    <col min="1550" max="1550" width="7" bestFit="1" customWidth="1"/>
    <col min="1551" max="1554" width="8" bestFit="1" customWidth="1"/>
    <col min="1555" max="1555" width="7" bestFit="1" customWidth="1"/>
    <col min="1556" max="1572" width="8" bestFit="1" customWidth="1"/>
    <col min="1573" max="1573" width="7" bestFit="1" customWidth="1"/>
    <col min="1574" max="1581" width="8" bestFit="1" customWidth="1"/>
    <col min="1582" max="1582" width="7" bestFit="1" customWidth="1"/>
    <col min="1583" max="1584" width="8" bestFit="1" customWidth="1"/>
    <col min="1585" max="1585" width="7" bestFit="1" customWidth="1"/>
    <col min="1586" max="1590" width="8" bestFit="1" customWidth="1"/>
    <col min="1591" max="1591" width="7" bestFit="1" customWidth="1"/>
    <col min="1592" max="1597" width="8" bestFit="1" customWidth="1"/>
    <col min="1598" max="1598" width="7" bestFit="1" customWidth="1"/>
    <col min="1599" max="1610" width="8" bestFit="1" customWidth="1"/>
    <col min="1611" max="1611" width="5" bestFit="1" customWidth="1"/>
    <col min="1612" max="1624" width="8" bestFit="1" customWidth="1"/>
    <col min="1625" max="1625" width="7" bestFit="1" customWidth="1"/>
    <col min="1626" max="1642" width="8" bestFit="1" customWidth="1"/>
    <col min="1643" max="1643" width="7" bestFit="1" customWidth="1"/>
    <col min="1644" max="1649" width="8" bestFit="1" customWidth="1"/>
    <col min="1650" max="1650" width="7" bestFit="1" customWidth="1"/>
    <col min="1651" max="1654" width="8" bestFit="1" customWidth="1"/>
    <col min="1655" max="1655" width="7" bestFit="1" customWidth="1"/>
    <col min="1656" max="1663" width="8" bestFit="1" customWidth="1"/>
    <col min="1664" max="1664" width="7" bestFit="1" customWidth="1"/>
    <col min="1665" max="1668" width="8" bestFit="1" customWidth="1"/>
    <col min="1669" max="1669" width="7" bestFit="1" customWidth="1"/>
    <col min="1670" max="1702" width="8" bestFit="1" customWidth="1"/>
    <col min="1703" max="1703" width="7" bestFit="1" customWidth="1"/>
    <col min="1704" max="1714" width="8" bestFit="1" customWidth="1"/>
    <col min="1715" max="1716" width="7" bestFit="1" customWidth="1"/>
    <col min="1717" max="1717" width="8" bestFit="1" customWidth="1"/>
    <col min="1718" max="1718" width="7" bestFit="1" customWidth="1"/>
    <col min="1719" max="1719" width="8" bestFit="1" customWidth="1"/>
    <col min="1720" max="1720" width="7" bestFit="1" customWidth="1"/>
    <col min="1721" max="1722" width="8" bestFit="1" customWidth="1"/>
    <col min="1723" max="1736" width="9" bestFit="1" customWidth="1"/>
    <col min="1737" max="1738" width="8" bestFit="1" customWidth="1"/>
    <col min="1739" max="1749" width="9" bestFit="1" customWidth="1"/>
    <col min="1750" max="1750" width="8" bestFit="1" customWidth="1"/>
    <col min="1751" max="1773" width="9" bestFit="1" customWidth="1"/>
    <col min="1774" max="1774" width="8" bestFit="1" customWidth="1"/>
    <col min="1775" max="1779" width="9" bestFit="1" customWidth="1"/>
    <col min="1780" max="1780" width="8" bestFit="1" customWidth="1"/>
    <col min="1781" max="1785" width="9" bestFit="1" customWidth="1"/>
    <col min="1786" max="1786" width="8" bestFit="1" customWidth="1"/>
    <col min="1787" max="1810" width="9" bestFit="1" customWidth="1"/>
    <col min="1811" max="1811" width="8" bestFit="1" customWidth="1"/>
    <col min="1812" max="1827" width="9" bestFit="1" customWidth="1"/>
    <col min="1828" max="1828" width="8" bestFit="1" customWidth="1"/>
    <col min="1829" max="1832" width="9" bestFit="1" customWidth="1"/>
    <col min="1833" max="1833" width="6" bestFit="1" customWidth="1"/>
    <col min="1834" max="1844" width="9" bestFit="1" customWidth="1"/>
    <col min="1845" max="1845" width="8" bestFit="1" customWidth="1"/>
    <col min="1846" max="1851" width="9" bestFit="1" customWidth="1"/>
    <col min="1852" max="1852" width="8" bestFit="1" customWidth="1"/>
    <col min="1853" max="1854" width="9" bestFit="1" customWidth="1"/>
    <col min="1855" max="1855" width="8" bestFit="1" customWidth="1"/>
    <col min="1856" max="1858" width="9" bestFit="1" customWidth="1"/>
    <col min="1859" max="1859" width="8" bestFit="1" customWidth="1"/>
    <col min="1860" max="1864" width="9" bestFit="1" customWidth="1"/>
    <col min="1865" max="1865" width="8" bestFit="1" customWidth="1"/>
    <col min="1866" max="1876" width="9" bestFit="1" customWidth="1"/>
    <col min="1877" max="1877" width="6" bestFit="1" customWidth="1"/>
    <col min="1878" max="1880" width="9" bestFit="1" customWidth="1"/>
    <col min="1881" max="1881" width="6" bestFit="1" customWidth="1"/>
    <col min="1882" max="1919" width="9" bestFit="1" customWidth="1"/>
    <col min="1920" max="1920" width="8" bestFit="1" customWidth="1"/>
    <col min="1921" max="1922" width="9" bestFit="1" customWidth="1"/>
    <col min="1923" max="1923" width="7" bestFit="1" customWidth="1"/>
    <col min="1924" max="1924" width="5" bestFit="1" customWidth="1"/>
    <col min="1925" max="1931" width="6" bestFit="1" customWidth="1"/>
    <col min="1932" max="1932" width="5" bestFit="1" customWidth="1"/>
    <col min="1933" max="1933" width="6" bestFit="1" customWidth="1"/>
    <col min="1934" max="1934" width="5" bestFit="1" customWidth="1"/>
    <col min="1935" max="1935" width="7" bestFit="1" customWidth="1"/>
    <col min="1936" max="1936" width="6" bestFit="1" customWidth="1"/>
    <col min="1937" max="1984" width="7" bestFit="1" customWidth="1"/>
    <col min="1985" max="1985" width="6" bestFit="1" customWidth="1"/>
    <col min="1986" max="1997" width="7" bestFit="1" customWidth="1"/>
    <col min="1998" max="1998" width="6" bestFit="1" customWidth="1"/>
    <col min="1999" max="2008" width="7" bestFit="1" customWidth="1"/>
    <col min="2009" max="2009" width="6" bestFit="1" customWidth="1"/>
    <col min="2010" max="2017" width="7" bestFit="1" customWidth="1"/>
    <col min="2018" max="2019" width="8" bestFit="1" customWidth="1"/>
    <col min="2020" max="2020" width="7" bestFit="1" customWidth="1"/>
    <col min="2021" max="2023" width="8" bestFit="1" customWidth="1"/>
    <col min="2024" max="2024" width="5" bestFit="1" customWidth="1"/>
    <col min="2025" max="2057" width="8" bestFit="1" customWidth="1"/>
    <col min="2058" max="2058" width="7" bestFit="1" customWidth="1"/>
    <col min="2059" max="2060" width="8" bestFit="1" customWidth="1"/>
    <col min="2061" max="2061" width="7" bestFit="1" customWidth="1"/>
    <col min="2062" max="2067" width="8" bestFit="1" customWidth="1"/>
    <col min="2068" max="2068" width="7" bestFit="1" customWidth="1"/>
    <col min="2069" max="2106" width="8" bestFit="1" customWidth="1"/>
    <col min="2107" max="2107" width="7" bestFit="1" customWidth="1"/>
    <col min="2108" max="2122" width="8" bestFit="1" customWidth="1"/>
    <col min="2123" max="2123" width="7" bestFit="1" customWidth="1"/>
    <col min="2124" max="2138" width="8" bestFit="1" customWidth="1"/>
    <col min="2139" max="2139" width="7" bestFit="1" customWidth="1"/>
    <col min="2140" max="2142" width="8" bestFit="1" customWidth="1"/>
    <col min="2143" max="2144" width="7" bestFit="1" customWidth="1"/>
    <col min="2145" max="2156" width="8" bestFit="1" customWidth="1"/>
    <col min="2157" max="2157" width="7" bestFit="1" customWidth="1"/>
    <col min="2158" max="2158" width="8" bestFit="1" customWidth="1"/>
    <col min="2159" max="2159" width="7" bestFit="1" customWidth="1"/>
    <col min="2160" max="2160" width="8" bestFit="1" customWidth="1"/>
    <col min="2161" max="2161" width="7" bestFit="1" customWidth="1"/>
    <col min="2162" max="2176" width="8" bestFit="1" customWidth="1"/>
    <col min="2177" max="2177" width="7" bestFit="1" customWidth="1"/>
    <col min="2178" max="2179" width="8" bestFit="1" customWidth="1"/>
    <col min="2180" max="2180" width="7" bestFit="1" customWidth="1"/>
    <col min="2181" max="2197" width="8" bestFit="1" customWidth="1"/>
    <col min="2198" max="2198" width="7" bestFit="1" customWidth="1"/>
    <col min="2199" max="2208" width="8" bestFit="1" customWidth="1"/>
    <col min="2209" max="2209" width="7" bestFit="1" customWidth="1"/>
    <col min="2210" max="2215" width="8" bestFit="1" customWidth="1"/>
    <col min="2216" max="2216" width="7" bestFit="1" customWidth="1"/>
    <col min="2217" max="2221" width="8" bestFit="1" customWidth="1"/>
    <col min="2222" max="2222" width="7" bestFit="1" customWidth="1"/>
    <col min="2223" max="2226" width="8" bestFit="1" customWidth="1"/>
    <col min="2227" max="2227" width="5" bestFit="1" customWidth="1"/>
    <col min="2228" max="2229" width="8" bestFit="1" customWidth="1"/>
    <col min="2230" max="2230" width="7" bestFit="1" customWidth="1"/>
    <col min="2231" max="2244" width="8" bestFit="1" customWidth="1"/>
    <col min="2245" max="2245" width="7" bestFit="1" customWidth="1"/>
    <col min="2246" max="2255" width="8" bestFit="1" customWidth="1"/>
    <col min="2256" max="2256" width="5" bestFit="1" customWidth="1"/>
    <col min="2257" max="2259" width="8" bestFit="1" customWidth="1"/>
    <col min="2260" max="2260" width="7" bestFit="1" customWidth="1"/>
    <col min="2261" max="2261" width="8" bestFit="1" customWidth="1"/>
    <col min="2262" max="2262" width="7" bestFit="1" customWidth="1"/>
    <col min="2263" max="2268" width="8" bestFit="1" customWidth="1"/>
    <col min="2269" max="2269" width="5" bestFit="1" customWidth="1"/>
    <col min="2270" max="2299" width="8" bestFit="1" customWidth="1"/>
    <col min="2300" max="2300" width="7" bestFit="1" customWidth="1"/>
    <col min="2301" max="2306" width="8" bestFit="1" customWidth="1"/>
    <col min="2307" max="2307" width="5" bestFit="1" customWidth="1"/>
    <col min="2308" max="2314" width="8" bestFit="1" customWidth="1"/>
    <col min="2315" max="2315" width="7" bestFit="1" customWidth="1"/>
    <col min="2316" max="2317" width="8" bestFit="1" customWidth="1"/>
    <col min="2318" max="2319" width="7" bestFit="1" customWidth="1"/>
    <col min="2320" max="2326" width="8" bestFit="1" customWidth="1"/>
    <col min="2327" max="2327" width="7" bestFit="1" customWidth="1"/>
    <col min="2328" max="2351" width="8" bestFit="1" customWidth="1"/>
    <col min="2352" max="2352" width="7" bestFit="1" customWidth="1"/>
    <col min="2353" max="2374" width="8" bestFit="1" customWidth="1"/>
    <col min="2375" max="2375" width="7" bestFit="1" customWidth="1"/>
    <col min="2376" max="2376" width="5" bestFit="1" customWidth="1"/>
    <col min="2377" max="2384" width="8" bestFit="1" customWidth="1"/>
    <col min="2385" max="2385" width="7" bestFit="1" customWidth="1"/>
    <col min="2386" max="2415" width="8" bestFit="1" customWidth="1"/>
    <col min="2416" max="2417" width="7" bestFit="1" customWidth="1"/>
    <col min="2418" max="2422" width="8" bestFit="1" customWidth="1"/>
    <col min="2423" max="2423" width="7" bestFit="1" customWidth="1"/>
    <col min="2424" max="2424" width="8" bestFit="1" customWidth="1"/>
    <col min="2425" max="2425" width="7" bestFit="1" customWidth="1"/>
    <col min="2426" max="2438" width="8" bestFit="1" customWidth="1"/>
    <col min="2439" max="2439" width="7" bestFit="1" customWidth="1"/>
    <col min="2440" max="2440" width="8" bestFit="1" customWidth="1"/>
    <col min="2441" max="2441" width="7" bestFit="1" customWidth="1"/>
    <col min="2442" max="2443" width="8" bestFit="1" customWidth="1"/>
    <col min="2444" max="2445" width="7" bestFit="1" customWidth="1"/>
    <col min="2446" max="2456" width="8" bestFit="1" customWidth="1"/>
    <col min="2457" max="2457" width="5" bestFit="1" customWidth="1"/>
    <col min="2458" max="2469" width="8" bestFit="1" customWidth="1"/>
    <col min="2470" max="2470" width="5" bestFit="1" customWidth="1"/>
    <col min="2471" max="2486" width="8" bestFit="1" customWidth="1"/>
    <col min="2487" max="2487" width="7" bestFit="1" customWidth="1"/>
    <col min="2488" max="2489" width="8" bestFit="1" customWidth="1"/>
    <col min="2490" max="2490" width="7" bestFit="1" customWidth="1"/>
    <col min="2491" max="2495" width="8" bestFit="1" customWidth="1"/>
    <col min="2496" max="2496" width="7" bestFit="1" customWidth="1"/>
    <col min="2497" max="2505" width="8" bestFit="1" customWidth="1"/>
    <col min="2506" max="2506" width="7" bestFit="1" customWidth="1"/>
    <col min="2507" max="2507" width="8" bestFit="1" customWidth="1"/>
    <col min="2508" max="2509" width="7" bestFit="1" customWidth="1"/>
    <col min="2510" max="2517" width="8" bestFit="1" customWidth="1"/>
    <col min="2518" max="2518" width="7" bestFit="1" customWidth="1"/>
    <col min="2519" max="2520" width="8" bestFit="1" customWidth="1"/>
    <col min="2521" max="2521" width="7" bestFit="1" customWidth="1"/>
    <col min="2522" max="2522" width="8" bestFit="1" customWidth="1"/>
    <col min="2523" max="2523" width="7" bestFit="1" customWidth="1"/>
    <col min="2524" max="2544" width="8" bestFit="1" customWidth="1"/>
    <col min="2545" max="2545" width="7" bestFit="1" customWidth="1"/>
    <col min="2546" max="2552" width="8" bestFit="1" customWidth="1"/>
    <col min="2553" max="2553" width="7" bestFit="1" customWidth="1"/>
    <col min="2554" max="2602" width="8" bestFit="1" customWidth="1"/>
    <col min="2603" max="2603" width="7" bestFit="1" customWidth="1"/>
    <col min="2604" max="2605" width="8" bestFit="1" customWidth="1"/>
    <col min="2606" max="2606" width="7" bestFit="1" customWidth="1"/>
    <col min="2607" max="2620" width="8" bestFit="1" customWidth="1"/>
    <col min="2621" max="2621" width="5" bestFit="1" customWidth="1"/>
    <col min="2622" max="2681" width="8" bestFit="1" customWidth="1"/>
    <col min="2682" max="2682" width="7" bestFit="1" customWidth="1"/>
    <col min="2683" max="2694" width="8" bestFit="1" customWidth="1"/>
    <col min="2695" max="2695" width="7" bestFit="1" customWidth="1"/>
    <col min="2696" max="2696" width="8" bestFit="1" customWidth="1"/>
    <col min="2697" max="2697" width="7" bestFit="1" customWidth="1"/>
    <col min="2698" max="2700" width="8" bestFit="1" customWidth="1"/>
    <col min="2701" max="2701" width="7" bestFit="1" customWidth="1"/>
    <col min="2702" max="2705" width="8" bestFit="1" customWidth="1"/>
    <col min="2706" max="2706" width="7" bestFit="1" customWidth="1"/>
    <col min="2707" max="2711" width="8" bestFit="1" customWidth="1"/>
    <col min="2712" max="2712" width="5" bestFit="1" customWidth="1"/>
    <col min="2713" max="2713" width="7" bestFit="1" customWidth="1"/>
    <col min="2714" max="2715" width="8" bestFit="1" customWidth="1"/>
    <col min="2716" max="2716" width="7" bestFit="1" customWidth="1"/>
    <col min="2717" max="2720" width="8" bestFit="1" customWidth="1"/>
    <col min="2721" max="2721" width="7" bestFit="1" customWidth="1"/>
    <col min="2722" max="2744" width="8" bestFit="1" customWidth="1"/>
    <col min="2745" max="2745" width="7" bestFit="1" customWidth="1"/>
    <col min="2746" max="2773" width="8" bestFit="1" customWidth="1"/>
    <col min="2774" max="2774" width="7" bestFit="1" customWidth="1"/>
    <col min="2775" max="2779" width="8" bestFit="1" customWidth="1"/>
    <col min="2780" max="2780" width="7" bestFit="1" customWidth="1"/>
    <col min="2781" max="2782" width="8" bestFit="1" customWidth="1"/>
    <col min="2783" max="2783" width="7" bestFit="1" customWidth="1"/>
    <col min="2784" max="2784" width="8" bestFit="1" customWidth="1"/>
    <col min="2785" max="2785" width="7" bestFit="1" customWidth="1"/>
    <col min="2786" max="2793" width="8" bestFit="1" customWidth="1"/>
    <col min="2794" max="2794" width="7" bestFit="1" customWidth="1"/>
    <col min="2795" max="2800" width="8" bestFit="1" customWidth="1"/>
    <col min="2801" max="2805" width="9" bestFit="1" customWidth="1"/>
    <col min="2806" max="2806" width="8" bestFit="1" customWidth="1"/>
    <col min="2807" max="2812" width="9" bestFit="1" customWidth="1"/>
    <col min="2813" max="2813" width="6" bestFit="1" customWidth="1"/>
    <col min="2814" max="2831" width="9" bestFit="1" customWidth="1"/>
    <col min="2832" max="2832" width="6" bestFit="1" customWidth="1"/>
    <col min="2833" max="2839" width="9" bestFit="1" customWidth="1"/>
    <col min="2840" max="2840" width="8" bestFit="1" customWidth="1"/>
    <col min="2841" max="2842" width="9" bestFit="1" customWidth="1"/>
    <col min="2843" max="2843" width="6" bestFit="1" customWidth="1"/>
    <col min="2844" max="2863" width="9" bestFit="1" customWidth="1"/>
    <col min="2864" max="2864" width="8" bestFit="1" customWidth="1"/>
    <col min="2865" max="2876" width="9" bestFit="1" customWidth="1"/>
    <col min="2877" max="2877" width="8" bestFit="1" customWidth="1"/>
    <col min="2878" max="2879" width="9" bestFit="1" customWidth="1"/>
    <col min="2880" max="2880" width="8" bestFit="1" customWidth="1"/>
    <col min="2881" max="2884" width="9" bestFit="1" customWidth="1"/>
    <col min="2885" max="2885" width="6" bestFit="1" customWidth="1"/>
    <col min="2886" max="2898" width="9" bestFit="1" customWidth="1"/>
    <col min="2899" max="2899" width="8" bestFit="1" customWidth="1"/>
    <col min="2900" max="2923" width="9" bestFit="1" customWidth="1"/>
    <col min="2924" max="2924" width="6" bestFit="1" customWidth="1"/>
    <col min="2925" max="2930" width="9" bestFit="1" customWidth="1"/>
    <col min="2931" max="2931" width="8" bestFit="1" customWidth="1"/>
    <col min="2932" max="2938" width="9" bestFit="1" customWidth="1"/>
    <col min="2939" max="2939" width="8" bestFit="1" customWidth="1"/>
    <col min="2940" max="2940" width="9" bestFit="1" customWidth="1"/>
    <col min="2941" max="2941" width="8" bestFit="1" customWidth="1"/>
    <col min="2942" max="2943" width="9" bestFit="1" customWidth="1"/>
    <col min="2944" max="2944" width="8" bestFit="1" customWidth="1"/>
    <col min="2945" max="2963" width="9" bestFit="1" customWidth="1"/>
    <col min="2964" max="2964" width="8" bestFit="1" customWidth="1"/>
    <col min="2965" max="2969" width="9" bestFit="1" customWidth="1"/>
    <col min="2970" max="2970" width="8" bestFit="1" customWidth="1"/>
    <col min="2971" max="2976" width="9" bestFit="1" customWidth="1"/>
    <col min="2977" max="2977" width="8" bestFit="1" customWidth="1"/>
    <col min="2978" max="2996" width="9" bestFit="1" customWidth="1"/>
    <col min="2997" max="2997" width="8" bestFit="1" customWidth="1"/>
    <col min="2998" max="2998" width="9" bestFit="1" customWidth="1"/>
    <col min="2999" max="2999" width="8" bestFit="1" customWidth="1"/>
    <col min="3000" max="3007" width="9" bestFit="1" customWidth="1"/>
    <col min="3008" max="3008" width="8" bestFit="1" customWidth="1"/>
    <col min="3009" max="3016" width="9" bestFit="1" customWidth="1"/>
    <col min="3017" max="3017" width="12" bestFit="1" customWidth="1"/>
  </cols>
  <sheetData>
    <row r="2" spans="1:21" x14ac:dyDescent="0.3">
      <c r="A2" s="6" t="s">
        <v>383</v>
      </c>
      <c r="B2">
        <f>GETPIVOTDATA("[Measures].[Count of Amount]",$A$3,"[Table1_3].[Date (Year)]","[Table1_3].[Date (Year)].&amp;[2024]")</f>
        <v>1094</v>
      </c>
      <c r="P2" s="5" t="s">
        <v>371</v>
      </c>
      <c r="Q2" t="s">
        <v>368</v>
      </c>
      <c r="R2" t="s">
        <v>373</v>
      </c>
      <c r="T2" s="48" t="s">
        <v>368</v>
      </c>
      <c r="U2" s="48" t="s">
        <v>373</v>
      </c>
    </row>
    <row r="3" spans="1:21" x14ac:dyDescent="0.3">
      <c r="A3" s="5" t="s">
        <v>379</v>
      </c>
      <c r="B3" s="5" t="s">
        <v>369</v>
      </c>
      <c r="P3" s="6" t="s">
        <v>15</v>
      </c>
      <c r="Q3" s="3"/>
      <c r="R3" s="3"/>
      <c r="T3" s="21">
        <v>1137367</v>
      </c>
      <c r="U3" s="20">
        <v>32647</v>
      </c>
    </row>
    <row r="4" spans="1:21" x14ac:dyDescent="0.3">
      <c r="A4" s="5" t="s">
        <v>371</v>
      </c>
      <c r="B4" t="s">
        <v>374</v>
      </c>
      <c r="C4" t="s">
        <v>375</v>
      </c>
      <c r="D4" t="s">
        <v>376</v>
      </c>
      <c r="E4" t="s">
        <v>370</v>
      </c>
      <c r="P4" s="46" t="s">
        <v>374</v>
      </c>
      <c r="Q4" s="3">
        <v>1137367</v>
      </c>
      <c r="R4" s="3">
        <v>32647</v>
      </c>
      <c r="T4" s="21">
        <v>1227533.72</v>
      </c>
      <c r="U4" s="20">
        <v>33459</v>
      </c>
    </row>
    <row r="5" spans="1:21" x14ac:dyDescent="0.3">
      <c r="A5" s="6" t="s">
        <v>381</v>
      </c>
      <c r="B5" s="3">
        <v>13</v>
      </c>
      <c r="C5" s="3">
        <v>13</v>
      </c>
      <c r="D5" s="3">
        <v>13</v>
      </c>
      <c r="E5" s="3">
        <v>39</v>
      </c>
      <c r="P5" s="46" t="s">
        <v>375</v>
      </c>
      <c r="Q5" s="3">
        <v>1227533.72</v>
      </c>
      <c r="R5" s="3">
        <v>33459</v>
      </c>
      <c r="T5" s="21">
        <v>1281543.6299999999</v>
      </c>
      <c r="U5" s="20">
        <v>33512</v>
      </c>
    </row>
    <row r="6" spans="1:21" x14ac:dyDescent="0.3">
      <c r="A6" s="6" t="s">
        <v>382</v>
      </c>
      <c r="B6" s="3">
        <v>1081</v>
      </c>
      <c r="C6" s="3">
        <v>1081</v>
      </c>
      <c r="D6" s="3">
        <v>1081</v>
      </c>
      <c r="E6" s="3">
        <v>3243</v>
      </c>
      <c r="P6" s="46" t="s">
        <v>376</v>
      </c>
      <c r="Q6" s="3">
        <v>1281543.6299999999</v>
      </c>
      <c r="R6" s="3">
        <v>33512</v>
      </c>
      <c r="T6" s="21">
        <v>962899</v>
      </c>
      <c r="U6" s="20">
        <v>31221</v>
      </c>
    </row>
    <row r="7" spans="1:21" x14ac:dyDescent="0.3">
      <c r="A7" s="6" t="s">
        <v>370</v>
      </c>
      <c r="B7" s="3">
        <v>1094</v>
      </c>
      <c r="C7" s="3">
        <v>1094</v>
      </c>
      <c r="D7" s="3">
        <v>1094</v>
      </c>
      <c r="E7" s="3">
        <v>3282</v>
      </c>
      <c r="P7" s="6" t="s">
        <v>35</v>
      </c>
      <c r="Q7" s="3"/>
      <c r="R7" s="3"/>
      <c r="T7" s="21">
        <v>1032494.68</v>
      </c>
      <c r="U7" s="20">
        <v>32013</v>
      </c>
    </row>
    <row r="8" spans="1:21" x14ac:dyDescent="0.3">
      <c r="P8" s="46" t="s">
        <v>374</v>
      </c>
      <c r="Q8" s="3">
        <v>962899</v>
      </c>
      <c r="R8" s="3">
        <v>31221</v>
      </c>
      <c r="T8" s="21">
        <v>1083101.97</v>
      </c>
      <c r="U8" s="20">
        <v>31924</v>
      </c>
    </row>
    <row r="9" spans="1:21" x14ac:dyDescent="0.3">
      <c r="P9" s="46" t="s">
        <v>375</v>
      </c>
      <c r="Q9" s="3">
        <v>1032494.68</v>
      </c>
      <c r="R9" s="3">
        <v>32013</v>
      </c>
      <c r="T9" s="21">
        <v>1045800</v>
      </c>
      <c r="U9" s="20">
        <v>29470</v>
      </c>
    </row>
    <row r="10" spans="1:21" x14ac:dyDescent="0.3">
      <c r="P10" s="46" t="s">
        <v>376</v>
      </c>
      <c r="Q10" s="3">
        <v>1083101.97</v>
      </c>
      <c r="R10" s="3">
        <v>31924</v>
      </c>
      <c r="T10" s="21">
        <v>1117250.3899999999</v>
      </c>
      <c r="U10" s="20">
        <v>30214</v>
      </c>
    </row>
    <row r="11" spans="1:21" x14ac:dyDescent="0.3">
      <c r="P11" s="6" t="s">
        <v>10</v>
      </c>
      <c r="Q11" s="3"/>
      <c r="R11" s="3"/>
      <c r="T11" s="21">
        <v>1180680.44</v>
      </c>
      <c r="U11" s="20">
        <v>30284</v>
      </c>
    </row>
    <row r="12" spans="1:21" x14ac:dyDescent="0.3">
      <c r="P12" s="46" t="s">
        <v>374</v>
      </c>
      <c r="Q12" s="3">
        <v>1045800</v>
      </c>
      <c r="R12" s="3">
        <v>29470</v>
      </c>
      <c r="T12" s="21">
        <v>950418</v>
      </c>
      <c r="U12" s="20">
        <v>26520</v>
      </c>
    </row>
    <row r="13" spans="1:21" x14ac:dyDescent="0.3">
      <c r="P13" s="46" t="s">
        <v>375</v>
      </c>
      <c r="Q13" s="3">
        <v>1117250.3899999999</v>
      </c>
      <c r="R13" s="3">
        <v>30214</v>
      </c>
      <c r="T13" s="21">
        <v>1025154.1</v>
      </c>
      <c r="U13" s="20">
        <v>27209</v>
      </c>
    </row>
    <row r="14" spans="1:21" x14ac:dyDescent="0.3">
      <c r="P14" s="46" t="s">
        <v>376</v>
      </c>
      <c r="Q14" s="3">
        <v>1180680.44</v>
      </c>
      <c r="R14" s="3">
        <v>30284</v>
      </c>
      <c r="T14" s="21">
        <v>1068081.94</v>
      </c>
      <c r="U14" s="20">
        <v>27561</v>
      </c>
    </row>
    <row r="15" spans="1:21" x14ac:dyDescent="0.3">
      <c r="P15" s="6" t="s">
        <v>25</v>
      </c>
      <c r="Q15" s="3"/>
      <c r="R15" s="3"/>
      <c r="T15" s="21">
        <v>1051792</v>
      </c>
      <c r="U15" s="20">
        <v>30265</v>
      </c>
    </row>
    <row r="16" spans="1:21" x14ac:dyDescent="0.3">
      <c r="P16" s="46" t="s">
        <v>374</v>
      </c>
      <c r="Q16" s="3">
        <v>950418</v>
      </c>
      <c r="R16" s="3">
        <v>26520</v>
      </c>
      <c r="T16" s="21">
        <v>1128924.56</v>
      </c>
      <c r="U16" s="20">
        <v>31037</v>
      </c>
    </row>
    <row r="17" spans="4:21" x14ac:dyDescent="0.3">
      <c r="D17" s="3"/>
      <c r="E17" s="3"/>
      <c r="P17" s="46" t="s">
        <v>375</v>
      </c>
      <c r="Q17" s="3">
        <v>1025154.1</v>
      </c>
      <c r="R17" s="3">
        <v>27209</v>
      </c>
      <c r="T17" s="21">
        <v>1184672.3400000001</v>
      </c>
      <c r="U17" s="20">
        <v>31221</v>
      </c>
    </row>
    <row r="18" spans="4:21" x14ac:dyDescent="0.3">
      <c r="D18" s="3"/>
      <c r="E18" s="3"/>
      <c r="P18" s="46" t="s">
        <v>376</v>
      </c>
      <c r="Q18" s="3">
        <v>1068081.94</v>
      </c>
      <c r="R18" s="3">
        <v>27561</v>
      </c>
      <c r="T18" s="21">
        <v>1035349</v>
      </c>
      <c r="U18" s="20">
        <v>26824</v>
      </c>
    </row>
    <row r="19" spans="4:21" x14ac:dyDescent="0.3">
      <c r="D19" s="3"/>
      <c r="E19" s="3"/>
      <c r="P19" s="6" t="s">
        <v>7</v>
      </c>
      <c r="Q19" s="3"/>
      <c r="R19" s="3"/>
      <c r="T19" s="21">
        <v>1112020.51</v>
      </c>
      <c r="U19" s="20">
        <v>27479</v>
      </c>
    </row>
    <row r="20" spans="4:21" x14ac:dyDescent="0.3">
      <c r="D20" s="3"/>
      <c r="E20" s="3"/>
      <c r="P20" s="46" t="s">
        <v>374</v>
      </c>
      <c r="Q20" s="3">
        <v>1051792</v>
      </c>
      <c r="R20" s="3">
        <v>30265</v>
      </c>
      <c r="T20" s="21">
        <v>1166488.58</v>
      </c>
      <c r="U20" s="20">
        <v>27517</v>
      </c>
    </row>
    <row r="21" spans="4:21" x14ac:dyDescent="0.3">
      <c r="D21" s="3"/>
      <c r="E21" s="3"/>
      <c r="P21" s="46" t="s">
        <v>375</v>
      </c>
      <c r="Q21" s="3">
        <v>1128924.56</v>
      </c>
      <c r="R21" s="3">
        <v>31037</v>
      </c>
    </row>
    <row r="22" spans="4:21" x14ac:dyDescent="0.3">
      <c r="D22" s="3"/>
      <c r="E22" s="3"/>
      <c r="P22" s="46" t="s">
        <v>376</v>
      </c>
      <c r="Q22" s="3">
        <v>1184672.3400000001</v>
      </c>
      <c r="R22" s="3">
        <v>31221</v>
      </c>
    </row>
    <row r="23" spans="4:21" x14ac:dyDescent="0.3">
      <c r="D23" s="3"/>
      <c r="E23" s="3"/>
      <c r="P23" s="6" t="s">
        <v>32</v>
      </c>
      <c r="Q23" s="3"/>
      <c r="R23" s="3"/>
    </row>
    <row r="24" spans="4:21" x14ac:dyDescent="0.3">
      <c r="D24" s="3"/>
      <c r="E24" s="3"/>
      <c r="P24" s="46" t="s">
        <v>374</v>
      </c>
      <c r="Q24" s="3">
        <v>1035349</v>
      </c>
      <c r="R24" s="3">
        <v>26824</v>
      </c>
    </row>
    <row r="25" spans="4:21" x14ac:dyDescent="0.3">
      <c r="D25" s="3"/>
      <c r="E25" s="3"/>
      <c r="P25" s="46" t="s">
        <v>375</v>
      </c>
      <c r="Q25" s="3">
        <v>1112020.51</v>
      </c>
      <c r="R25" s="3">
        <v>27479</v>
      </c>
    </row>
    <row r="26" spans="4:21" x14ac:dyDescent="0.3">
      <c r="D26" s="3"/>
      <c r="E26" s="3"/>
      <c r="P26" s="46" t="s">
        <v>376</v>
      </c>
      <c r="Q26" s="3">
        <v>1166488.58</v>
      </c>
      <c r="R26" s="3">
        <v>27517</v>
      </c>
    </row>
    <row r="27" spans="4:21" x14ac:dyDescent="0.3">
      <c r="D27" s="3"/>
      <c r="E27" s="3"/>
    </row>
    <row r="28" spans="4:21" x14ac:dyDescent="0.3">
      <c r="D28" s="3"/>
      <c r="E28" s="3"/>
    </row>
    <row r="29" spans="4:21" x14ac:dyDescent="0.3">
      <c r="D29" s="3"/>
      <c r="E29" s="3"/>
    </row>
    <row r="30" spans="4:21" x14ac:dyDescent="0.3">
      <c r="D30" s="3"/>
      <c r="E30" s="3"/>
    </row>
    <row r="31" spans="4:21" x14ac:dyDescent="0.3">
      <c r="D31" s="3"/>
      <c r="E31" s="3"/>
    </row>
    <row r="32" spans="4:21" x14ac:dyDescent="0.3">
      <c r="D32" s="3"/>
      <c r="E32" s="3"/>
    </row>
    <row r="33" spans="4:9" x14ac:dyDescent="0.3">
      <c r="D33" s="3"/>
      <c r="E33" s="3"/>
    </row>
    <row r="34" spans="4:9" x14ac:dyDescent="0.3">
      <c r="D34" s="3"/>
      <c r="E34" s="3"/>
    </row>
    <row r="35" spans="4:9" x14ac:dyDescent="0.3">
      <c r="D35" s="47"/>
      <c r="E35" s="47"/>
    </row>
    <row r="37" spans="4:9" x14ac:dyDescent="0.3">
      <c r="H37" s="47"/>
      <c r="I37" s="4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Q71"/>
  <sheetViews>
    <sheetView zoomScale="55" zoomScaleNormal="100" workbookViewId="0">
      <selection activeCell="AB138" sqref="AB138"/>
    </sheetView>
  </sheetViews>
  <sheetFormatPr defaultRowHeight="14.4" x14ac:dyDescent="0.3"/>
  <cols>
    <col min="1" max="1" width="18.6640625" bestFit="1" customWidth="1"/>
    <col min="2" max="2" width="27.33203125" bestFit="1" customWidth="1"/>
    <col min="3" max="4" width="19.88671875" customWidth="1"/>
    <col min="5" max="5" width="21.33203125" bestFit="1" customWidth="1"/>
    <col min="6" max="6" width="27.33203125" bestFit="1" customWidth="1"/>
    <col min="7" max="7" width="20.6640625" bestFit="1" customWidth="1"/>
    <col min="8" max="8" width="21.77734375" bestFit="1" customWidth="1"/>
    <col min="9" max="10" width="19.88671875" customWidth="1"/>
    <col min="11" max="11" width="18.44140625" bestFit="1" customWidth="1"/>
    <col min="12" max="12" width="20.109375" bestFit="1" customWidth="1"/>
    <col min="13" max="14" width="12.21875" bestFit="1" customWidth="1"/>
    <col min="15" max="15" width="14.88671875" bestFit="1" customWidth="1"/>
    <col min="16" max="16" width="22.109375" bestFit="1" customWidth="1"/>
    <col min="17" max="17" width="23.77734375" bestFit="1" customWidth="1"/>
    <col min="18" max="18" width="30.44140625" bestFit="1" customWidth="1"/>
    <col min="19" max="21" width="19.88671875" customWidth="1"/>
    <col min="22" max="22" width="10" bestFit="1" customWidth="1"/>
    <col min="23" max="23" width="14.88671875" bestFit="1" customWidth="1"/>
    <col min="24" max="24" width="30.21875" bestFit="1" customWidth="1"/>
    <col min="25" max="25" width="7" bestFit="1" customWidth="1"/>
    <col min="26" max="27" width="7" customWidth="1"/>
    <col min="28" max="28" width="11" bestFit="1" customWidth="1"/>
    <col min="29" max="34" width="11" customWidth="1"/>
    <col min="35" max="35" width="11" bestFit="1" customWidth="1"/>
    <col min="36" max="36" width="21.109375" bestFit="1" customWidth="1"/>
    <col min="37" max="37" width="36.6640625" bestFit="1" customWidth="1"/>
    <col min="38" max="38" width="12" bestFit="1" customWidth="1"/>
    <col min="39" max="41" width="6" bestFit="1" customWidth="1"/>
    <col min="42" max="42" width="4" bestFit="1" customWidth="1"/>
    <col min="43" max="43" width="6" bestFit="1" customWidth="1"/>
    <col min="44" max="44" width="13.21875" bestFit="1" customWidth="1"/>
    <col min="45" max="45" width="14.44140625" bestFit="1" customWidth="1"/>
    <col min="46" max="46" width="18.6640625" bestFit="1" customWidth="1"/>
    <col min="47" max="47" width="22.33203125" bestFit="1" customWidth="1"/>
    <col min="48" max="48" width="15.88671875" bestFit="1" customWidth="1"/>
    <col min="49" max="49" width="14.44140625" bestFit="1" customWidth="1"/>
    <col min="50" max="50" width="17.44140625" bestFit="1" customWidth="1"/>
    <col min="51" max="51" width="6" bestFit="1" customWidth="1"/>
    <col min="52" max="52" width="3" bestFit="1" customWidth="1"/>
    <col min="53" max="53" width="5" bestFit="1" customWidth="1"/>
    <col min="54" max="54" width="6" bestFit="1" customWidth="1"/>
    <col min="55" max="55" width="3" bestFit="1" customWidth="1"/>
    <col min="56" max="58" width="6" bestFit="1" customWidth="1"/>
    <col min="59" max="59" width="3" bestFit="1" customWidth="1"/>
    <col min="60" max="60" width="6" bestFit="1" customWidth="1"/>
    <col min="61" max="61" width="5" bestFit="1" customWidth="1"/>
    <col min="62" max="62" width="10.77734375" bestFit="1" customWidth="1"/>
    <col min="63" max="63" width="18.44140625" bestFit="1" customWidth="1"/>
    <col min="64" max="64" width="21.109375" bestFit="1" customWidth="1"/>
    <col min="65" max="65" width="18.6640625" bestFit="1" customWidth="1"/>
    <col min="66" max="66" width="9.6640625" bestFit="1" customWidth="1"/>
    <col min="67" max="67" width="10.77734375" bestFit="1" customWidth="1"/>
    <col min="68" max="68" width="6" bestFit="1" customWidth="1"/>
    <col min="69" max="69" width="7" bestFit="1" customWidth="1"/>
    <col min="70" max="70" width="4" bestFit="1" customWidth="1"/>
    <col min="71" max="72" width="7" bestFit="1" customWidth="1"/>
    <col min="73" max="73" width="4" bestFit="1" customWidth="1"/>
    <col min="74" max="75" width="7" bestFit="1" customWidth="1"/>
    <col min="76" max="76" width="4" bestFit="1" customWidth="1"/>
    <col min="77" max="77" width="7" bestFit="1" customWidth="1"/>
    <col min="78" max="78" width="4" bestFit="1" customWidth="1"/>
    <col min="79" max="86" width="7" bestFit="1" customWidth="1"/>
    <col min="87" max="87" width="4" bestFit="1" customWidth="1"/>
    <col min="88" max="88" width="7" bestFit="1" customWidth="1"/>
    <col min="89" max="89" width="4" bestFit="1" customWidth="1"/>
    <col min="90" max="92" width="7" bestFit="1" customWidth="1"/>
    <col min="93" max="93" width="4" bestFit="1" customWidth="1"/>
    <col min="94" max="94" width="7" bestFit="1" customWidth="1"/>
    <col min="95" max="95" width="4" bestFit="1" customWidth="1"/>
    <col min="96" max="96" width="7" bestFit="1" customWidth="1"/>
    <col min="97" max="97" width="6" bestFit="1" customWidth="1"/>
    <col min="98" max="98" width="4" bestFit="1" customWidth="1"/>
    <col min="99" max="99" width="7" bestFit="1" customWidth="1"/>
    <col min="100" max="100" width="4" bestFit="1" customWidth="1"/>
    <col min="101" max="104" width="7" bestFit="1" customWidth="1"/>
    <col min="105" max="105" width="4" bestFit="1" customWidth="1"/>
    <col min="106" max="109" width="7" bestFit="1" customWidth="1"/>
    <col min="110" max="110" width="4" bestFit="1" customWidth="1"/>
    <col min="111" max="117" width="7" bestFit="1" customWidth="1"/>
    <col min="118" max="118" width="4" bestFit="1" customWidth="1"/>
    <col min="119" max="125" width="7" bestFit="1" customWidth="1"/>
    <col min="126" max="129" width="4" bestFit="1" customWidth="1"/>
    <col min="130" max="130" width="7" bestFit="1" customWidth="1"/>
    <col min="131" max="131" width="4" bestFit="1" customWidth="1"/>
    <col min="132" max="133" width="7" bestFit="1" customWidth="1"/>
    <col min="134" max="134" width="6" bestFit="1" customWidth="1"/>
    <col min="135" max="135" width="7" bestFit="1" customWidth="1"/>
    <col min="136" max="136" width="4" bestFit="1" customWidth="1"/>
    <col min="137" max="137" width="6" bestFit="1" customWidth="1"/>
    <col min="138" max="142" width="7" bestFit="1" customWidth="1"/>
    <col min="143" max="145" width="4" bestFit="1" customWidth="1"/>
    <col min="146" max="149" width="7" bestFit="1" customWidth="1"/>
    <col min="150" max="150" width="4" bestFit="1" customWidth="1"/>
    <col min="151" max="152" width="7" bestFit="1" customWidth="1"/>
    <col min="153" max="153" width="4" bestFit="1" customWidth="1"/>
    <col min="154" max="154" width="7" bestFit="1" customWidth="1"/>
    <col min="155" max="155" width="4" bestFit="1" customWidth="1"/>
    <col min="156" max="157" width="7" bestFit="1" customWidth="1"/>
    <col min="158" max="158" width="4" bestFit="1" customWidth="1"/>
    <col min="159" max="162" width="7" bestFit="1" customWidth="1"/>
    <col min="163" max="163" width="4" bestFit="1" customWidth="1"/>
    <col min="164" max="166" width="7" bestFit="1" customWidth="1"/>
    <col min="167" max="167" width="4" bestFit="1" customWidth="1"/>
    <col min="168" max="175" width="7" bestFit="1" customWidth="1"/>
    <col min="176" max="176" width="6" bestFit="1" customWidth="1"/>
    <col min="177" max="177" width="4" bestFit="1" customWidth="1"/>
    <col min="178" max="184" width="7" bestFit="1" customWidth="1"/>
    <col min="185" max="187" width="4" bestFit="1" customWidth="1"/>
    <col min="188" max="190" width="7" bestFit="1" customWidth="1"/>
    <col min="191" max="191" width="4" bestFit="1" customWidth="1"/>
    <col min="192" max="193" width="7" bestFit="1" customWidth="1"/>
    <col min="194" max="194" width="4" bestFit="1" customWidth="1"/>
    <col min="195" max="195" width="7" bestFit="1" customWidth="1"/>
    <col min="196" max="196" width="4" bestFit="1" customWidth="1"/>
    <col min="197" max="197" width="7" bestFit="1" customWidth="1"/>
    <col min="198" max="198" width="4" bestFit="1" customWidth="1"/>
    <col min="199" max="199" width="7" bestFit="1" customWidth="1"/>
    <col min="200" max="200" width="4" bestFit="1" customWidth="1"/>
    <col min="201" max="201" width="7" bestFit="1" customWidth="1"/>
    <col min="202" max="203" width="4" bestFit="1" customWidth="1"/>
    <col min="204" max="204" width="6" bestFit="1" customWidth="1"/>
    <col min="205" max="205" width="7" bestFit="1" customWidth="1"/>
    <col min="206" max="206" width="4" bestFit="1" customWidth="1"/>
    <col min="207" max="208" width="7" bestFit="1" customWidth="1"/>
    <col min="209" max="209" width="4" bestFit="1" customWidth="1"/>
    <col min="210" max="211" width="7" bestFit="1" customWidth="1"/>
    <col min="212" max="212" width="4" bestFit="1" customWidth="1"/>
    <col min="213" max="215" width="7" bestFit="1" customWidth="1"/>
    <col min="216" max="216" width="6" bestFit="1" customWidth="1"/>
    <col min="217" max="217" width="4" bestFit="1" customWidth="1"/>
    <col min="218" max="219" width="7" bestFit="1" customWidth="1"/>
    <col min="220" max="220" width="4" bestFit="1" customWidth="1"/>
    <col min="221" max="221" width="6" bestFit="1" customWidth="1"/>
    <col min="222" max="223" width="7" bestFit="1" customWidth="1"/>
    <col min="224" max="224" width="6" bestFit="1" customWidth="1"/>
    <col min="225" max="225" width="4" bestFit="1" customWidth="1"/>
    <col min="226" max="233" width="7" bestFit="1" customWidth="1"/>
    <col min="234" max="234" width="4" bestFit="1" customWidth="1"/>
    <col min="235" max="236" width="7" bestFit="1" customWidth="1"/>
    <col min="237" max="237" width="4" bestFit="1" customWidth="1"/>
    <col min="238" max="241" width="7" bestFit="1" customWidth="1"/>
    <col min="242" max="242" width="6" bestFit="1" customWidth="1"/>
    <col min="243" max="243" width="7" bestFit="1" customWidth="1"/>
    <col min="244" max="244" width="4" bestFit="1" customWidth="1"/>
    <col min="245" max="248" width="7" bestFit="1" customWidth="1"/>
    <col min="249" max="249" width="4" bestFit="1" customWidth="1"/>
    <col min="250" max="250" width="7" bestFit="1" customWidth="1"/>
    <col min="251" max="251" width="4" bestFit="1" customWidth="1"/>
    <col min="252" max="258" width="7" bestFit="1" customWidth="1"/>
    <col min="259" max="261" width="4" bestFit="1" customWidth="1"/>
    <col min="262" max="263" width="7" bestFit="1" customWidth="1"/>
    <col min="264" max="264" width="4" bestFit="1" customWidth="1"/>
    <col min="265" max="266" width="7" bestFit="1" customWidth="1"/>
    <col min="267" max="267" width="6" bestFit="1" customWidth="1"/>
    <col min="268" max="268" width="4" bestFit="1" customWidth="1"/>
    <col min="269" max="272" width="7" bestFit="1" customWidth="1"/>
    <col min="273" max="273" width="4" bestFit="1" customWidth="1"/>
    <col min="274" max="275" width="7" bestFit="1" customWidth="1"/>
    <col min="276" max="276" width="6" bestFit="1" customWidth="1"/>
    <col min="277" max="278" width="7" bestFit="1" customWidth="1"/>
    <col min="279" max="279" width="4" bestFit="1" customWidth="1"/>
    <col min="280" max="283" width="7" bestFit="1" customWidth="1"/>
    <col min="284" max="284" width="4" bestFit="1" customWidth="1"/>
    <col min="285" max="285" width="7" bestFit="1" customWidth="1"/>
    <col min="286" max="286" width="4" bestFit="1" customWidth="1"/>
    <col min="287" max="287" width="7" bestFit="1" customWidth="1"/>
    <col min="288" max="289" width="4" bestFit="1" customWidth="1"/>
    <col min="290" max="291" width="7" bestFit="1" customWidth="1"/>
    <col min="292" max="292" width="4" bestFit="1" customWidth="1"/>
    <col min="293" max="294" width="7" bestFit="1" customWidth="1"/>
    <col min="295" max="295" width="4" bestFit="1" customWidth="1"/>
    <col min="296" max="296" width="7" bestFit="1" customWidth="1"/>
    <col min="297" max="298" width="4" bestFit="1" customWidth="1"/>
    <col min="299" max="299" width="7" bestFit="1" customWidth="1"/>
    <col min="300" max="300" width="4" bestFit="1" customWidth="1"/>
    <col min="301" max="303" width="8" bestFit="1" customWidth="1"/>
    <col min="304" max="304" width="5" bestFit="1" customWidth="1"/>
    <col min="305" max="306" width="8" bestFit="1" customWidth="1"/>
    <col min="307" max="307" width="7" bestFit="1" customWidth="1"/>
    <col min="308" max="309" width="8" bestFit="1" customWidth="1"/>
    <col min="310" max="310" width="5" bestFit="1" customWidth="1"/>
    <col min="311" max="311" width="8" bestFit="1" customWidth="1"/>
    <col min="312" max="312" width="5" bestFit="1" customWidth="1"/>
    <col min="313" max="314" width="8" bestFit="1" customWidth="1"/>
    <col min="315" max="315" width="5" bestFit="1" customWidth="1"/>
    <col min="316" max="319" width="8" bestFit="1" customWidth="1"/>
    <col min="320" max="320" width="5" bestFit="1" customWidth="1"/>
    <col min="321" max="322" width="8" bestFit="1" customWidth="1"/>
    <col min="323" max="323" width="5" bestFit="1" customWidth="1"/>
    <col min="324" max="326" width="8" bestFit="1" customWidth="1"/>
    <col min="327" max="327" width="5" bestFit="1" customWidth="1"/>
    <col min="328" max="330" width="8" bestFit="1" customWidth="1"/>
    <col min="331" max="331" width="5" bestFit="1" customWidth="1"/>
    <col min="332" max="343" width="8" bestFit="1" customWidth="1"/>
    <col min="344" max="344" width="5" bestFit="1" customWidth="1"/>
    <col min="345" max="345" width="7" bestFit="1" customWidth="1"/>
    <col min="346" max="347" width="8" bestFit="1" customWidth="1"/>
    <col min="348" max="348" width="5" bestFit="1" customWidth="1"/>
    <col min="349" max="350" width="8" bestFit="1" customWidth="1"/>
    <col min="351" max="351" width="5" bestFit="1" customWidth="1"/>
    <col min="352" max="354" width="8" bestFit="1" customWidth="1"/>
    <col min="355" max="355" width="5" bestFit="1" customWidth="1"/>
    <col min="356" max="357" width="8" bestFit="1" customWidth="1"/>
    <col min="358" max="358" width="5" bestFit="1" customWidth="1"/>
    <col min="359" max="359" width="8" bestFit="1" customWidth="1"/>
    <col min="360" max="361" width="5" bestFit="1" customWidth="1"/>
    <col min="362" max="364" width="8" bestFit="1" customWidth="1"/>
    <col min="365" max="365" width="7" bestFit="1" customWidth="1"/>
    <col min="366" max="366" width="5" bestFit="1" customWidth="1"/>
    <col min="367" max="367" width="8" bestFit="1" customWidth="1"/>
    <col min="368" max="368" width="5" bestFit="1" customWidth="1"/>
    <col min="369" max="370" width="8" bestFit="1" customWidth="1"/>
    <col min="371" max="371" width="5" bestFit="1" customWidth="1"/>
    <col min="372" max="374" width="8" bestFit="1" customWidth="1"/>
    <col min="375" max="375" width="5" bestFit="1" customWidth="1"/>
    <col min="376" max="378" width="8" bestFit="1" customWidth="1"/>
    <col min="379" max="379" width="5" bestFit="1" customWidth="1"/>
    <col min="380" max="380" width="8" bestFit="1" customWidth="1"/>
    <col min="381" max="381" width="5" bestFit="1" customWidth="1"/>
    <col min="382" max="383" width="8" bestFit="1" customWidth="1"/>
    <col min="384" max="384" width="5" bestFit="1" customWidth="1"/>
    <col min="385" max="385" width="7" bestFit="1" customWidth="1"/>
    <col min="386" max="386" width="8" bestFit="1" customWidth="1"/>
    <col min="387" max="387" width="5" bestFit="1" customWidth="1"/>
    <col min="388" max="388" width="8" bestFit="1" customWidth="1"/>
    <col min="389" max="389" width="5" bestFit="1" customWidth="1"/>
    <col min="390" max="390" width="8" bestFit="1" customWidth="1"/>
    <col min="391" max="391" width="7" bestFit="1" customWidth="1"/>
    <col min="392" max="394" width="8" bestFit="1" customWidth="1"/>
    <col min="395" max="395" width="5" bestFit="1" customWidth="1"/>
    <col min="396" max="400" width="8" bestFit="1" customWidth="1"/>
    <col min="401" max="401" width="5" bestFit="1" customWidth="1"/>
    <col min="402" max="402" width="8" bestFit="1" customWidth="1"/>
    <col min="403" max="404" width="5" bestFit="1" customWidth="1"/>
    <col min="405" max="408" width="8" bestFit="1" customWidth="1"/>
    <col min="409" max="409" width="5" bestFit="1" customWidth="1"/>
    <col min="410" max="410" width="8" bestFit="1" customWidth="1"/>
    <col min="411" max="411" width="5" bestFit="1" customWidth="1"/>
    <col min="412" max="412" width="8" bestFit="1" customWidth="1"/>
    <col min="413" max="413" width="7" bestFit="1" customWidth="1"/>
    <col min="414" max="415" width="8" bestFit="1" customWidth="1"/>
    <col min="416" max="417" width="5" bestFit="1" customWidth="1"/>
    <col min="418" max="420" width="8" bestFit="1" customWidth="1"/>
    <col min="421" max="421" width="7" bestFit="1" customWidth="1"/>
    <col min="422" max="422" width="8" bestFit="1" customWidth="1"/>
    <col min="423" max="423" width="5" bestFit="1" customWidth="1"/>
    <col min="424" max="425" width="8" bestFit="1" customWidth="1"/>
    <col min="426" max="426" width="5" bestFit="1" customWidth="1"/>
    <col min="427" max="427" width="8" bestFit="1" customWidth="1"/>
    <col min="428" max="429" width="5" bestFit="1" customWidth="1"/>
    <col min="430" max="432" width="8" bestFit="1" customWidth="1"/>
    <col min="433" max="433" width="5" bestFit="1" customWidth="1"/>
    <col min="434" max="435" width="8" bestFit="1" customWidth="1"/>
    <col min="436" max="436" width="7" bestFit="1" customWidth="1"/>
    <col min="437" max="438" width="8" bestFit="1" customWidth="1"/>
    <col min="439" max="439" width="5" bestFit="1" customWidth="1"/>
    <col min="440" max="440" width="8" bestFit="1" customWidth="1"/>
    <col min="441" max="441" width="5" bestFit="1" customWidth="1"/>
    <col min="442" max="443" width="8" bestFit="1" customWidth="1"/>
    <col min="444" max="444" width="5" bestFit="1" customWidth="1"/>
    <col min="445" max="446" width="8" bestFit="1" customWidth="1"/>
    <col min="447" max="447" width="5" bestFit="1" customWidth="1"/>
    <col min="448" max="450" width="8" bestFit="1" customWidth="1"/>
    <col min="451" max="451" width="5" bestFit="1" customWidth="1"/>
    <col min="452" max="455" width="8" bestFit="1" customWidth="1"/>
    <col min="456" max="456" width="5" bestFit="1" customWidth="1"/>
    <col min="457" max="457" width="8" bestFit="1" customWidth="1"/>
    <col min="458" max="458" width="5" bestFit="1" customWidth="1"/>
    <col min="459" max="460" width="8" bestFit="1" customWidth="1"/>
    <col min="461" max="461" width="5" bestFit="1" customWidth="1"/>
    <col min="462" max="465" width="8" bestFit="1" customWidth="1"/>
    <col min="466" max="466" width="5" bestFit="1" customWidth="1"/>
    <col min="467" max="467" width="8" bestFit="1" customWidth="1"/>
    <col min="468" max="468" width="5" bestFit="1" customWidth="1"/>
    <col min="469" max="469" width="8" bestFit="1" customWidth="1"/>
    <col min="470" max="470" width="5" bestFit="1" customWidth="1"/>
    <col min="471" max="472" width="8" bestFit="1" customWidth="1"/>
    <col min="473" max="473" width="5" bestFit="1" customWidth="1"/>
    <col min="474" max="474" width="8" bestFit="1" customWidth="1"/>
    <col min="475" max="475" width="5" bestFit="1" customWidth="1"/>
    <col min="476" max="478" width="8" bestFit="1" customWidth="1"/>
    <col min="479" max="479" width="5" bestFit="1" customWidth="1"/>
    <col min="480" max="481" width="8" bestFit="1" customWidth="1"/>
    <col min="482" max="482" width="5" bestFit="1" customWidth="1"/>
    <col min="483" max="485" width="8" bestFit="1" customWidth="1"/>
    <col min="486" max="486" width="7" bestFit="1" customWidth="1"/>
    <col min="487" max="487" width="8" bestFit="1" customWidth="1"/>
    <col min="488" max="488" width="5" bestFit="1" customWidth="1"/>
    <col min="489" max="493" width="8" bestFit="1" customWidth="1"/>
    <col min="494" max="494" width="5" bestFit="1" customWidth="1"/>
    <col min="495" max="498" width="8" bestFit="1" customWidth="1"/>
    <col min="499" max="499" width="5" bestFit="1" customWidth="1"/>
    <col min="500" max="500" width="8" bestFit="1" customWidth="1"/>
    <col min="501" max="501" width="5" bestFit="1" customWidth="1"/>
    <col min="502" max="502" width="8" bestFit="1" customWidth="1"/>
    <col min="503" max="503" width="7" bestFit="1" customWidth="1"/>
    <col min="504" max="505" width="8" bestFit="1" customWidth="1"/>
    <col min="506" max="506" width="5" bestFit="1" customWidth="1"/>
    <col min="507" max="514" width="8" bestFit="1" customWidth="1"/>
    <col min="515" max="516" width="5" bestFit="1" customWidth="1"/>
    <col min="517" max="518" width="8" bestFit="1" customWidth="1"/>
    <col min="519" max="519" width="5" bestFit="1" customWidth="1"/>
    <col min="520" max="520" width="8" bestFit="1" customWidth="1"/>
    <col min="521" max="521" width="5" bestFit="1" customWidth="1"/>
    <col min="522" max="522" width="8" bestFit="1" customWidth="1"/>
    <col min="523" max="523" width="5" bestFit="1" customWidth="1"/>
    <col min="524" max="525" width="8" bestFit="1" customWidth="1"/>
    <col min="526" max="526" width="5" bestFit="1" customWidth="1"/>
    <col min="527" max="528" width="8" bestFit="1" customWidth="1"/>
    <col min="529" max="529" width="5" bestFit="1" customWidth="1"/>
    <col min="530" max="531" width="8" bestFit="1" customWidth="1"/>
    <col min="532" max="532" width="5" bestFit="1" customWidth="1"/>
    <col min="533" max="537" width="8" bestFit="1" customWidth="1"/>
    <col min="538" max="538" width="7" bestFit="1" customWidth="1"/>
    <col min="539" max="539" width="5" bestFit="1" customWidth="1"/>
    <col min="540" max="541" width="8" bestFit="1" customWidth="1"/>
    <col min="542" max="542" width="5" bestFit="1" customWidth="1"/>
    <col min="543" max="543" width="8" bestFit="1" customWidth="1"/>
    <col min="544" max="544" width="7" bestFit="1" customWidth="1"/>
    <col min="545" max="545" width="5" bestFit="1" customWidth="1"/>
    <col min="546" max="548" width="8" bestFit="1" customWidth="1"/>
    <col min="549" max="549" width="5" bestFit="1" customWidth="1"/>
    <col min="550" max="555" width="8" bestFit="1" customWidth="1"/>
    <col min="556" max="556" width="5" bestFit="1" customWidth="1"/>
    <col min="557" max="561" width="8" bestFit="1" customWidth="1"/>
    <col min="562" max="562" width="5" bestFit="1" customWidth="1"/>
    <col min="563" max="563" width="7" bestFit="1" customWidth="1"/>
    <col min="564" max="565" width="8" bestFit="1" customWidth="1"/>
    <col min="566" max="566" width="5" bestFit="1" customWidth="1"/>
    <col min="567" max="567" width="8" bestFit="1" customWidth="1"/>
    <col min="568" max="568" width="5" bestFit="1" customWidth="1"/>
    <col min="569" max="574" width="8" bestFit="1" customWidth="1"/>
    <col min="575" max="575" width="5" bestFit="1" customWidth="1"/>
    <col min="576" max="578" width="8" bestFit="1" customWidth="1"/>
    <col min="579" max="579" width="5" bestFit="1" customWidth="1"/>
    <col min="580" max="585" width="8" bestFit="1" customWidth="1"/>
    <col min="586" max="586" width="5" bestFit="1" customWidth="1"/>
    <col min="587" max="587" width="8" bestFit="1" customWidth="1"/>
    <col min="588" max="588" width="7" bestFit="1" customWidth="1"/>
    <col min="589" max="589" width="8" bestFit="1" customWidth="1"/>
    <col min="590" max="591" width="5" bestFit="1" customWidth="1"/>
    <col min="592" max="592" width="7" bestFit="1" customWidth="1"/>
    <col min="593" max="593" width="8" bestFit="1" customWidth="1"/>
    <col min="594" max="594" width="5" bestFit="1" customWidth="1"/>
    <col min="595" max="595" width="7" bestFit="1" customWidth="1"/>
    <col min="596" max="598" width="8" bestFit="1" customWidth="1"/>
    <col min="599" max="599" width="5" bestFit="1" customWidth="1"/>
    <col min="600" max="603" width="8" bestFit="1" customWidth="1"/>
    <col min="604" max="604" width="5" bestFit="1" customWidth="1"/>
    <col min="605" max="609" width="8" bestFit="1" customWidth="1"/>
    <col min="610" max="611" width="5" bestFit="1" customWidth="1"/>
    <col min="612" max="614" width="8" bestFit="1" customWidth="1"/>
    <col min="615" max="615" width="5" bestFit="1" customWidth="1"/>
    <col min="616" max="619" width="8" bestFit="1" customWidth="1"/>
    <col min="620" max="620" width="7" bestFit="1" customWidth="1"/>
    <col min="621" max="621" width="8" bestFit="1" customWidth="1"/>
    <col min="622" max="622" width="5" bestFit="1" customWidth="1"/>
    <col min="623" max="627" width="8" bestFit="1" customWidth="1"/>
    <col min="628" max="629" width="5" bestFit="1" customWidth="1"/>
    <col min="630" max="631" width="8" bestFit="1" customWidth="1"/>
    <col min="632" max="632" width="5" bestFit="1" customWidth="1"/>
    <col min="633" max="634" width="8" bestFit="1" customWidth="1"/>
    <col min="635" max="635" width="5" bestFit="1" customWidth="1"/>
    <col min="636" max="638" width="8" bestFit="1" customWidth="1"/>
    <col min="639" max="639" width="5" bestFit="1" customWidth="1"/>
    <col min="640" max="642" width="8" bestFit="1" customWidth="1"/>
    <col min="643" max="644" width="5" bestFit="1" customWidth="1"/>
    <col min="645" max="645" width="8" bestFit="1" customWidth="1"/>
    <col min="646" max="646" width="5" bestFit="1" customWidth="1"/>
    <col min="647" max="647" width="8" bestFit="1" customWidth="1"/>
    <col min="648" max="649" width="7" bestFit="1" customWidth="1"/>
    <col min="650" max="650" width="5" bestFit="1" customWidth="1"/>
    <col min="651" max="652" width="8" bestFit="1" customWidth="1"/>
    <col min="653" max="653" width="5" bestFit="1" customWidth="1"/>
    <col min="654" max="656" width="8" bestFit="1" customWidth="1"/>
    <col min="657" max="657" width="5" bestFit="1" customWidth="1"/>
    <col min="658" max="658" width="7" bestFit="1" customWidth="1"/>
    <col min="659" max="659" width="8" bestFit="1" customWidth="1"/>
    <col min="660" max="660" width="5" bestFit="1" customWidth="1"/>
    <col min="661" max="661" width="8" bestFit="1" customWidth="1"/>
    <col min="662" max="662" width="5" bestFit="1" customWidth="1"/>
    <col min="663" max="667" width="8" bestFit="1" customWidth="1"/>
    <col min="668" max="669" width="5" bestFit="1" customWidth="1"/>
    <col min="670" max="671" width="8" bestFit="1" customWidth="1"/>
    <col min="672" max="672" width="5" bestFit="1" customWidth="1"/>
    <col min="673" max="673" width="8" bestFit="1" customWidth="1"/>
    <col min="674" max="675" width="5" bestFit="1" customWidth="1"/>
    <col min="676" max="678" width="8" bestFit="1" customWidth="1"/>
    <col min="679" max="679" width="5" bestFit="1" customWidth="1"/>
    <col min="680" max="680" width="8" bestFit="1" customWidth="1"/>
    <col min="681" max="681" width="7" bestFit="1" customWidth="1"/>
    <col min="682" max="682" width="8" bestFit="1" customWidth="1"/>
    <col min="683" max="683" width="5" bestFit="1" customWidth="1"/>
    <col min="684" max="684" width="8" bestFit="1" customWidth="1"/>
    <col min="685" max="686" width="7" bestFit="1" customWidth="1"/>
    <col min="687" max="688" width="8" bestFit="1" customWidth="1"/>
    <col min="689" max="689" width="5" bestFit="1" customWidth="1"/>
    <col min="690" max="690" width="8" bestFit="1" customWidth="1"/>
    <col min="691" max="691" width="7" bestFit="1" customWidth="1"/>
    <col min="692" max="692" width="5" bestFit="1" customWidth="1"/>
    <col min="693" max="694" width="8" bestFit="1" customWidth="1"/>
    <col min="695" max="695" width="5" bestFit="1" customWidth="1"/>
    <col min="696" max="699" width="8" bestFit="1" customWidth="1"/>
    <col min="700" max="700" width="5" bestFit="1" customWidth="1"/>
    <col min="701" max="701" width="7" bestFit="1" customWidth="1"/>
    <col min="702" max="702" width="5" bestFit="1" customWidth="1"/>
    <col min="703" max="703" width="7" bestFit="1" customWidth="1"/>
    <col min="704" max="705" width="8" bestFit="1" customWidth="1"/>
    <col min="706" max="707" width="5" bestFit="1" customWidth="1"/>
    <col min="708" max="711" width="8" bestFit="1" customWidth="1"/>
    <col min="712" max="712" width="5" bestFit="1" customWidth="1"/>
    <col min="713" max="715" width="8" bestFit="1" customWidth="1"/>
    <col min="716" max="716" width="5" bestFit="1" customWidth="1"/>
    <col min="717" max="719" width="8" bestFit="1" customWidth="1"/>
    <col min="720" max="720" width="5" bestFit="1" customWidth="1"/>
    <col min="721" max="722" width="8" bestFit="1" customWidth="1"/>
    <col min="723" max="723" width="5" bestFit="1" customWidth="1"/>
    <col min="724" max="726" width="8" bestFit="1" customWidth="1"/>
    <col min="727" max="727" width="7" bestFit="1" customWidth="1"/>
    <col min="728" max="729" width="8" bestFit="1" customWidth="1"/>
    <col min="730" max="730" width="5" bestFit="1" customWidth="1"/>
    <col min="731" max="731" width="8" bestFit="1" customWidth="1"/>
    <col min="732" max="733" width="5" bestFit="1" customWidth="1"/>
    <col min="734" max="735" width="8" bestFit="1" customWidth="1"/>
    <col min="736" max="736" width="5" bestFit="1" customWidth="1"/>
    <col min="737" max="738" width="8" bestFit="1" customWidth="1"/>
    <col min="739" max="739" width="5" bestFit="1" customWidth="1"/>
    <col min="740" max="744" width="8" bestFit="1" customWidth="1"/>
    <col min="745" max="745" width="5" bestFit="1" customWidth="1"/>
    <col min="746" max="747" width="8" bestFit="1" customWidth="1"/>
    <col min="748" max="748" width="7" bestFit="1" customWidth="1"/>
    <col min="749" max="749" width="5" bestFit="1" customWidth="1"/>
    <col min="750" max="753" width="8" bestFit="1" customWidth="1"/>
    <col min="754" max="754" width="7" bestFit="1" customWidth="1"/>
    <col min="755" max="755" width="5" bestFit="1" customWidth="1"/>
    <col min="756" max="756" width="8" bestFit="1" customWidth="1"/>
    <col min="757" max="757" width="5" bestFit="1" customWidth="1"/>
    <col min="758" max="759" width="8" bestFit="1" customWidth="1"/>
    <col min="760" max="761" width="5" bestFit="1" customWidth="1"/>
    <col min="762" max="766" width="8" bestFit="1" customWidth="1"/>
    <col min="767" max="768" width="5" bestFit="1" customWidth="1"/>
    <col min="769" max="773" width="8" bestFit="1" customWidth="1"/>
    <col min="774" max="775" width="5" bestFit="1" customWidth="1"/>
    <col min="776" max="776" width="8" bestFit="1" customWidth="1"/>
    <col min="777" max="777" width="5" bestFit="1" customWidth="1"/>
    <col min="778" max="782" width="8" bestFit="1" customWidth="1"/>
    <col min="783" max="783" width="5" bestFit="1" customWidth="1"/>
    <col min="784" max="786" width="8" bestFit="1" customWidth="1"/>
    <col min="787" max="787" width="5" bestFit="1" customWidth="1"/>
    <col min="788" max="792" width="8" bestFit="1" customWidth="1"/>
    <col min="793" max="793" width="5" bestFit="1" customWidth="1"/>
    <col min="794" max="794" width="8" bestFit="1" customWidth="1"/>
    <col min="795" max="795" width="5" bestFit="1" customWidth="1"/>
    <col min="796" max="800" width="8" bestFit="1" customWidth="1"/>
    <col min="801" max="801" width="5" bestFit="1" customWidth="1"/>
    <col min="802" max="802" width="8" bestFit="1" customWidth="1"/>
    <col min="803" max="803" width="5" bestFit="1" customWidth="1"/>
    <col min="804" max="804" width="8" bestFit="1" customWidth="1"/>
    <col min="805" max="805" width="5" bestFit="1" customWidth="1"/>
    <col min="806" max="806" width="8" bestFit="1" customWidth="1"/>
    <col min="807" max="807" width="7" bestFit="1" customWidth="1"/>
    <col min="808" max="808" width="8" bestFit="1" customWidth="1"/>
    <col min="809" max="809" width="5" bestFit="1" customWidth="1"/>
    <col min="810" max="815" width="8" bestFit="1" customWidth="1"/>
    <col min="816" max="816" width="5" bestFit="1" customWidth="1"/>
    <col min="817" max="818" width="8" bestFit="1" customWidth="1"/>
    <col min="819" max="820" width="5" bestFit="1" customWidth="1"/>
    <col min="821" max="823" width="8" bestFit="1" customWidth="1"/>
    <col min="824" max="824" width="5" bestFit="1" customWidth="1"/>
    <col min="825" max="825" width="8" bestFit="1" customWidth="1"/>
    <col min="826" max="826" width="5" bestFit="1" customWidth="1"/>
    <col min="827" max="830" width="8" bestFit="1" customWidth="1"/>
    <col min="831" max="832" width="5" bestFit="1" customWidth="1"/>
    <col min="833" max="833" width="8" bestFit="1" customWidth="1"/>
    <col min="834" max="834" width="7" bestFit="1" customWidth="1"/>
    <col min="835" max="838" width="8" bestFit="1" customWidth="1"/>
    <col min="839" max="839" width="5" bestFit="1" customWidth="1"/>
    <col min="840" max="840" width="8" bestFit="1" customWidth="1"/>
    <col min="841" max="841" width="5" bestFit="1" customWidth="1"/>
    <col min="842" max="845" width="8" bestFit="1" customWidth="1"/>
    <col min="846" max="846" width="5" bestFit="1" customWidth="1"/>
    <col min="847" max="849" width="8" bestFit="1" customWidth="1"/>
    <col min="850" max="850" width="5" bestFit="1" customWidth="1"/>
    <col min="851" max="851" width="7" bestFit="1" customWidth="1"/>
    <col min="852" max="852" width="8" bestFit="1" customWidth="1"/>
    <col min="853" max="853" width="7" bestFit="1" customWidth="1"/>
    <col min="854" max="856" width="8" bestFit="1" customWidth="1"/>
    <col min="857" max="858" width="5" bestFit="1" customWidth="1"/>
    <col min="859" max="861" width="8" bestFit="1" customWidth="1"/>
    <col min="862" max="862" width="5" bestFit="1" customWidth="1"/>
    <col min="863" max="864" width="8" bestFit="1" customWidth="1"/>
    <col min="865" max="867" width="5" bestFit="1" customWidth="1"/>
    <col min="868" max="871" width="8" bestFit="1" customWidth="1"/>
    <col min="872" max="872" width="5" bestFit="1" customWidth="1"/>
    <col min="873" max="873" width="7" bestFit="1" customWidth="1"/>
    <col min="874" max="874" width="8" bestFit="1" customWidth="1"/>
    <col min="875" max="875" width="7" bestFit="1" customWidth="1"/>
    <col min="876" max="876" width="5" bestFit="1" customWidth="1"/>
    <col min="877" max="877" width="7" bestFit="1" customWidth="1"/>
    <col min="878" max="881" width="8" bestFit="1" customWidth="1"/>
    <col min="882" max="882" width="5" bestFit="1" customWidth="1"/>
    <col min="883" max="883" width="8" bestFit="1" customWidth="1"/>
    <col min="884" max="884" width="5" bestFit="1" customWidth="1"/>
    <col min="885" max="885" width="7" bestFit="1" customWidth="1"/>
    <col min="886" max="888" width="8" bestFit="1" customWidth="1"/>
    <col min="889" max="889" width="5" bestFit="1" customWidth="1"/>
    <col min="890" max="890" width="7" bestFit="1" customWidth="1"/>
    <col min="891" max="891" width="8" bestFit="1" customWidth="1"/>
    <col min="892" max="892" width="5" bestFit="1" customWidth="1"/>
    <col min="893" max="894" width="8" bestFit="1" customWidth="1"/>
    <col min="895" max="895" width="5" bestFit="1" customWidth="1"/>
    <col min="896" max="897" width="8" bestFit="1" customWidth="1"/>
    <col min="898" max="899" width="5" bestFit="1" customWidth="1"/>
    <col min="900" max="902" width="8" bestFit="1" customWidth="1"/>
    <col min="903" max="903" width="5" bestFit="1" customWidth="1"/>
    <col min="904" max="906" width="8" bestFit="1" customWidth="1"/>
    <col min="907" max="907" width="5" bestFit="1" customWidth="1"/>
    <col min="908" max="908" width="7" bestFit="1" customWidth="1"/>
    <col min="909" max="909" width="8" bestFit="1" customWidth="1"/>
    <col min="910" max="910" width="5" bestFit="1" customWidth="1"/>
    <col min="911" max="915" width="8" bestFit="1" customWidth="1"/>
    <col min="916" max="916" width="5" bestFit="1" customWidth="1"/>
    <col min="917" max="917" width="8" bestFit="1" customWidth="1"/>
    <col min="918" max="918" width="5" bestFit="1" customWidth="1"/>
    <col min="919" max="919" width="7" bestFit="1" customWidth="1"/>
    <col min="920" max="921" width="8" bestFit="1" customWidth="1"/>
    <col min="922" max="922" width="5" bestFit="1" customWidth="1"/>
    <col min="923" max="923" width="8" bestFit="1" customWidth="1"/>
    <col min="924" max="924" width="5" bestFit="1" customWidth="1"/>
    <col min="925" max="926" width="8" bestFit="1" customWidth="1"/>
    <col min="927" max="927" width="5" bestFit="1" customWidth="1"/>
    <col min="928" max="928" width="8" bestFit="1" customWidth="1"/>
    <col min="929" max="929" width="5" bestFit="1" customWidth="1"/>
    <col min="930" max="933" width="8" bestFit="1" customWidth="1"/>
    <col min="934" max="934" width="5" bestFit="1" customWidth="1"/>
    <col min="935" max="936" width="7" bestFit="1" customWidth="1"/>
    <col min="937" max="937" width="8" bestFit="1" customWidth="1"/>
    <col min="938" max="939" width="5" bestFit="1" customWidth="1"/>
    <col min="940" max="942" width="8" bestFit="1" customWidth="1"/>
    <col min="943" max="943" width="5" bestFit="1" customWidth="1"/>
    <col min="944" max="945" width="8" bestFit="1" customWidth="1"/>
    <col min="946" max="946" width="5" bestFit="1" customWidth="1"/>
    <col min="947" max="948" width="8" bestFit="1" customWidth="1"/>
    <col min="949" max="949" width="5" bestFit="1" customWidth="1"/>
    <col min="950" max="953" width="8" bestFit="1" customWidth="1"/>
    <col min="954" max="954" width="5" bestFit="1" customWidth="1"/>
    <col min="955" max="958" width="8" bestFit="1" customWidth="1"/>
    <col min="959" max="959" width="5" bestFit="1" customWidth="1"/>
    <col min="960" max="960" width="8" bestFit="1" customWidth="1"/>
    <col min="961" max="962" width="5" bestFit="1" customWidth="1"/>
    <col min="963" max="963" width="8" bestFit="1" customWidth="1"/>
    <col min="964" max="964" width="5" bestFit="1" customWidth="1"/>
    <col min="965" max="966" width="8" bestFit="1" customWidth="1"/>
    <col min="967" max="967" width="5" bestFit="1" customWidth="1"/>
    <col min="968" max="968" width="8" bestFit="1" customWidth="1"/>
    <col min="969" max="969" width="5" bestFit="1" customWidth="1"/>
    <col min="970" max="970" width="7" bestFit="1" customWidth="1"/>
    <col min="971" max="971" width="8" bestFit="1" customWidth="1"/>
    <col min="972" max="972" width="5" bestFit="1" customWidth="1"/>
    <col min="973" max="974" width="8" bestFit="1" customWidth="1"/>
    <col min="975" max="975" width="7" bestFit="1" customWidth="1"/>
    <col min="976" max="976" width="5" bestFit="1" customWidth="1"/>
    <col min="977" max="977" width="8" bestFit="1" customWidth="1"/>
    <col min="978" max="978" width="7" bestFit="1" customWidth="1"/>
    <col min="979" max="979" width="8" bestFit="1" customWidth="1"/>
    <col min="980" max="980" width="5" bestFit="1" customWidth="1"/>
    <col min="981" max="984" width="8" bestFit="1" customWidth="1"/>
    <col min="985" max="985" width="5" bestFit="1" customWidth="1"/>
    <col min="986" max="986" width="8" bestFit="1" customWidth="1"/>
    <col min="987" max="987" width="7" bestFit="1" customWidth="1"/>
    <col min="988" max="988" width="5" bestFit="1" customWidth="1"/>
    <col min="989" max="989" width="8" bestFit="1" customWidth="1"/>
    <col min="990" max="990" width="5" bestFit="1" customWidth="1"/>
    <col min="991" max="991" width="7" bestFit="1" customWidth="1"/>
    <col min="992" max="993" width="5" bestFit="1" customWidth="1"/>
    <col min="994" max="994" width="8" bestFit="1" customWidth="1"/>
    <col min="995" max="995" width="5" bestFit="1" customWidth="1"/>
    <col min="996" max="998" width="8" bestFit="1" customWidth="1"/>
    <col min="999" max="999" width="7" bestFit="1" customWidth="1"/>
    <col min="1000" max="1004" width="8" bestFit="1" customWidth="1"/>
    <col min="1005" max="1005" width="5" bestFit="1" customWidth="1"/>
    <col min="1006" max="1007" width="8" bestFit="1" customWidth="1"/>
    <col min="1008" max="1008" width="5" bestFit="1" customWidth="1"/>
    <col min="1009" max="1009" width="8" bestFit="1" customWidth="1"/>
    <col min="1010" max="1011" width="5" bestFit="1" customWidth="1"/>
    <col min="1012" max="1013" width="8" bestFit="1" customWidth="1"/>
    <col min="1014" max="1014" width="5" bestFit="1" customWidth="1"/>
    <col min="1015" max="1017" width="8" bestFit="1" customWidth="1"/>
    <col min="1018" max="1018" width="5" bestFit="1" customWidth="1"/>
    <col min="1019" max="1021" width="8" bestFit="1" customWidth="1"/>
    <col min="1022" max="1022" width="5" bestFit="1" customWidth="1"/>
    <col min="1023" max="1026" width="8" bestFit="1" customWidth="1"/>
    <col min="1027" max="1027" width="7" bestFit="1" customWidth="1"/>
    <col min="1028" max="1028" width="8" bestFit="1" customWidth="1"/>
    <col min="1029" max="1029" width="5" bestFit="1" customWidth="1"/>
    <col min="1030" max="1030" width="7" bestFit="1" customWidth="1"/>
    <col min="1031" max="1033" width="8" bestFit="1" customWidth="1"/>
    <col min="1034" max="1034" width="5" bestFit="1" customWidth="1"/>
    <col min="1035" max="1036" width="8" bestFit="1" customWidth="1"/>
    <col min="1037" max="1037" width="7" bestFit="1" customWidth="1"/>
    <col min="1038" max="1038" width="5" bestFit="1" customWidth="1"/>
    <col min="1039" max="1040" width="8" bestFit="1" customWidth="1"/>
    <col min="1041" max="1041" width="5" bestFit="1" customWidth="1"/>
    <col min="1042" max="1042" width="8" bestFit="1" customWidth="1"/>
    <col min="1043" max="1044" width="5" bestFit="1" customWidth="1"/>
    <col min="1045" max="1045" width="8" bestFit="1" customWidth="1"/>
    <col min="1046" max="1046" width="5" bestFit="1" customWidth="1"/>
    <col min="1047" max="1047" width="8" bestFit="1" customWidth="1"/>
    <col min="1048" max="1048" width="5" bestFit="1" customWidth="1"/>
    <col min="1049" max="1050" width="8" bestFit="1" customWidth="1"/>
    <col min="1051" max="1051" width="5" bestFit="1" customWidth="1"/>
    <col min="1052" max="1054" width="8" bestFit="1" customWidth="1"/>
    <col min="1055" max="1055" width="5" bestFit="1" customWidth="1"/>
    <col min="1056" max="1056" width="8" bestFit="1" customWidth="1"/>
    <col min="1057" max="1057" width="5" bestFit="1" customWidth="1"/>
    <col min="1058" max="1059" width="8" bestFit="1" customWidth="1"/>
    <col min="1060" max="1060" width="5" bestFit="1" customWidth="1"/>
    <col min="1061" max="1065" width="8" bestFit="1" customWidth="1"/>
    <col min="1066" max="1067" width="5" bestFit="1" customWidth="1"/>
    <col min="1068" max="1071" width="8" bestFit="1" customWidth="1"/>
    <col min="1072" max="1072" width="5" bestFit="1" customWidth="1"/>
    <col min="1073" max="1074" width="8" bestFit="1" customWidth="1"/>
    <col min="1075" max="1075" width="5" bestFit="1" customWidth="1"/>
    <col min="1076" max="1078" width="8" bestFit="1" customWidth="1"/>
    <col min="1079" max="1080" width="5" bestFit="1" customWidth="1"/>
    <col min="1081" max="1084" width="8" bestFit="1" customWidth="1"/>
    <col min="1085" max="1086" width="5" bestFit="1" customWidth="1"/>
    <col min="1087" max="1089" width="8" bestFit="1" customWidth="1"/>
    <col min="1090" max="1090" width="5" bestFit="1" customWidth="1"/>
    <col min="1091" max="1097" width="8" bestFit="1" customWidth="1"/>
    <col min="1098" max="1098" width="7" bestFit="1" customWidth="1"/>
    <col min="1099" max="1099" width="8" bestFit="1" customWidth="1"/>
    <col min="1100" max="1100" width="5" bestFit="1" customWidth="1"/>
    <col min="1101" max="1101" width="7" bestFit="1" customWidth="1"/>
    <col min="1102" max="1102" width="5" bestFit="1" customWidth="1"/>
    <col min="1103" max="1104" width="8" bestFit="1" customWidth="1"/>
    <col min="1105" max="1105" width="5" bestFit="1" customWidth="1"/>
    <col min="1106" max="1109" width="8" bestFit="1" customWidth="1"/>
    <col min="1110" max="1110" width="5" bestFit="1" customWidth="1"/>
    <col min="1111" max="1112" width="8" bestFit="1" customWidth="1"/>
    <col min="1113" max="1113" width="5" bestFit="1" customWidth="1"/>
    <col min="1114" max="1114" width="8" bestFit="1" customWidth="1"/>
    <col min="1115" max="1115" width="5" bestFit="1" customWidth="1"/>
    <col min="1116" max="1117" width="8" bestFit="1" customWidth="1"/>
    <col min="1118" max="1118" width="5" bestFit="1" customWidth="1"/>
    <col min="1119" max="1120" width="8" bestFit="1" customWidth="1"/>
    <col min="1121" max="1121" width="5" bestFit="1" customWidth="1"/>
    <col min="1122" max="1126" width="8" bestFit="1" customWidth="1"/>
    <col min="1127" max="1127" width="7" bestFit="1" customWidth="1"/>
    <col min="1128" max="1128" width="5" bestFit="1" customWidth="1"/>
    <col min="1129" max="1133" width="8" bestFit="1" customWidth="1"/>
    <col min="1134" max="1135" width="7" bestFit="1" customWidth="1"/>
    <col min="1136" max="1139" width="8" bestFit="1" customWidth="1"/>
    <col min="1140" max="1140" width="5" bestFit="1" customWidth="1"/>
    <col min="1141" max="1142" width="8" bestFit="1" customWidth="1"/>
    <col min="1143" max="1144" width="5" bestFit="1" customWidth="1"/>
    <col min="1145" max="1146" width="8" bestFit="1" customWidth="1"/>
    <col min="1147" max="1147" width="5" bestFit="1" customWidth="1"/>
    <col min="1148" max="1151" width="8" bestFit="1" customWidth="1"/>
    <col min="1152" max="1152" width="5" bestFit="1" customWidth="1"/>
    <col min="1153" max="1154" width="8" bestFit="1" customWidth="1"/>
    <col min="1155" max="1155" width="7" bestFit="1" customWidth="1"/>
    <col min="1156" max="1159" width="8" bestFit="1" customWidth="1"/>
    <col min="1160" max="1160" width="5" bestFit="1" customWidth="1"/>
    <col min="1161" max="1161" width="7" bestFit="1" customWidth="1"/>
    <col min="1162" max="1168" width="8" bestFit="1" customWidth="1"/>
    <col min="1169" max="1169" width="7" bestFit="1" customWidth="1"/>
    <col min="1170" max="1170" width="8" bestFit="1" customWidth="1"/>
    <col min="1171" max="1171" width="5" bestFit="1" customWidth="1"/>
    <col min="1172" max="1173" width="8" bestFit="1" customWidth="1"/>
    <col min="1174" max="1174" width="5" bestFit="1" customWidth="1"/>
    <col min="1175" max="1178" width="8" bestFit="1" customWidth="1"/>
    <col min="1179" max="1179" width="5" bestFit="1" customWidth="1"/>
    <col min="1180" max="1180" width="8" bestFit="1" customWidth="1"/>
    <col min="1181" max="1182" width="5" bestFit="1" customWidth="1"/>
    <col min="1183" max="1189" width="8" bestFit="1" customWidth="1"/>
    <col min="1190" max="1190" width="5" bestFit="1" customWidth="1"/>
    <col min="1191" max="1191" width="8" bestFit="1" customWidth="1"/>
    <col min="1192" max="1192" width="5" bestFit="1" customWidth="1"/>
    <col min="1193" max="1193" width="8" bestFit="1" customWidth="1"/>
    <col min="1194" max="1194" width="5" bestFit="1" customWidth="1"/>
    <col min="1195" max="1197" width="8" bestFit="1" customWidth="1"/>
    <col min="1198" max="1198" width="5" bestFit="1" customWidth="1"/>
    <col min="1199" max="1200" width="8" bestFit="1" customWidth="1"/>
    <col min="1201" max="1201" width="5" bestFit="1" customWidth="1"/>
    <col min="1202" max="1204" width="8" bestFit="1" customWidth="1"/>
    <col min="1205" max="1205" width="5" bestFit="1" customWidth="1"/>
    <col min="1206" max="1207" width="8" bestFit="1" customWidth="1"/>
    <col min="1208" max="1208" width="5" bestFit="1" customWidth="1"/>
    <col min="1209" max="1210" width="8" bestFit="1" customWidth="1"/>
    <col min="1211" max="1212" width="5" bestFit="1" customWidth="1"/>
    <col min="1213" max="1214" width="8" bestFit="1" customWidth="1"/>
    <col min="1215" max="1215" width="5" bestFit="1" customWidth="1"/>
    <col min="1216" max="1219" width="8" bestFit="1" customWidth="1"/>
    <col min="1220" max="1220" width="5" bestFit="1" customWidth="1"/>
    <col min="1221" max="1221" width="8" bestFit="1" customWidth="1"/>
    <col min="1222" max="1222" width="5" bestFit="1" customWidth="1"/>
    <col min="1223" max="1223" width="7" bestFit="1" customWidth="1"/>
    <col min="1224" max="1225" width="8" bestFit="1" customWidth="1"/>
    <col min="1226" max="1226" width="5" bestFit="1" customWidth="1"/>
    <col min="1227" max="1227" width="8" bestFit="1" customWidth="1"/>
    <col min="1228" max="1228" width="7" bestFit="1" customWidth="1"/>
    <col min="1229" max="1229" width="8" bestFit="1" customWidth="1"/>
    <col min="1230" max="1230" width="7" bestFit="1" customWidth="1"/>
    <col min="1231" max="1231" width="8" bestFit="1" customWidth="1"/>
    <col min="1232" max="1232" width="5" bestFit="1" customWidth="1"/>
    <col min="1233" max="1233" width="8" bestFit="1" customWidth="1"/>
    <col min="1234" max="1235" width="5" bestFit="1" customWidth="1"/>
    <col min="1236" max="1236" width="8" bestFit="1" customWidth="1"/>
    <col min="1237" max="1237" width="5" bestFit="1" customWidth="1"/>
    <col min="1238" max="1241" width="8" bestFit="1" customWidth="1"/>
    <col min="1242" max="1242" width="5" bestFit="1" customWidth="1"/>
    <col min="1243" max="1243" width="8" bestFit="1" customWidth="1"/>
    <col min="1244" max="1244" width="5" bestFit="1" customWidth="1"/>
    <col min="1245" max="1245" width="8" bestFit="1" customWidth="1"/>
    <col min="1246" max="1246" width="5" bestFit="1" customWidth="1"/>
    <col min="1247" max="1252" width="8" bestFit="1" customWidth="1"/>
    <col min="1253" max="1254" width="5" bestFit="1" customWidth="1"/>
    <col min="1255" max="1257" width="8" bestFit="1" customWidth="1"/>
    <col min="1258" max="1258" width="5" bestFit="1" customWidth="1"/>
    <col min="1259" max="1259" width="8" bestFit="1" customWidth="1"/>
    <col min="1260" max="1260" width="5" bestFit="1" customWidth="1"/>
    <col min="1261" max="1261" width="8" bestFit="1" customWidth="1"/>
    <col min="1262" max="1262" width="5" bestFit="1" customWidth="1"/>
    <col min="1263" max="1263" width="8" bestFit="1" customWidth="1"/>
    <col min="1264" max="1264" width="5" bestFit="1" customWidth="1"/>
    <col min="1265" max="1265" width="8" bestFit="1" customWidth="1"/>
    <col min="1266" max="1266" width="5" bestFit="1" customWidth="1"/>
    <col min="1267" max="1267" width="8" bestFit="1" customWidth="1"/>
    <col min="1268" max="1268" width="5" bestFit="1" customWidth="1"/>
    <col min="1269" max="1269" width="8" bestFit="1" customWidth="1"/>
    <col min="1270" max="1271" width="5" bestFit="1" customWidth="1"/>
    <col min="1272" max="1273" width="8" bestFit="1" customWidth="1"/>
    <col min="1274" max="1274" width="5" bestFit="1" customWidth="1"/>
    <col min="1275" max="1278" width="8" bestFit="1" customWidth="1"/>
    <col min="1279" max="1279" width="5" bestFit="1" customWidth="1"/>
    <col min="1280" max="1280" width="8" bestFit="1" customWidth="1"/>
    <col min="1281" max="1281" width="5" bestFit="1" customWidth="1"/>
    <col min="1282" max="1282" width="8" bestFit="1" customWidth="1"/>
    <col min="1283" max="1283" width="5" bestFit="1" customWidth="1"/>
    <col min="1284" max="1284" width="8" bestFit="1" customWidth="1"/>
    <col min="1285" max="1285" width="5" bestFit="1" customWidth="1"/>
    <col min="1286" max="1286" width="8" bestFit="1" customWidth="1"/>
    <col min="1287" max="1287" width="5" bestFit="1" customWidth="1"/>
    <col min="1288" max="1289" width="8" bestFit="1" customWidth="1"/>
    <col min="1290" max="1290" width="5" bestFit="1" customWidth="1"/>
    <col min="1291" max="1295" width="8" bestFit="1" customWidth="1"/>
    <col min="1296" max="1296" width="5" bestFit="1" customWidth="1"/>
    <col min="1297" max="1303" width="8" bestFit="1" customWidth="1"/>
    <col min="1304" max="1304" width="5" bestFit="1" customWidth="1"/>
    <col min="1305" max="1307" width="8" bestFit="1" customWidth="1"/>
    <col min="1308" max="1308" width="5" bestFit="1" customWidth="1"/>
    <col min="1309" max="1309" width="8" bestFit="1" customWidth="1"/>
    <col min="1310" max="1310" width="5" bestFit="1" customWidth="1"/>
    <col min="1311" max="1311" width="8" bestFit="1" customWidth="1"/>
    <col min="1312" max="1312" width="5" bestFit="1" customWidth="1"/>
    <col min="1313" max="1314" width="8" bestFit="1" customWidth="1"/>
    <col min="1315" max="1315" width="5" bestFit="1" customWidth="1"/>
    <col min="1316" max="1316" width="8" bestFit="1" customWidth="1"/>
    <col min="1317" max="1317" width="7" bestFit="1" customWidth="1"/>
    <col min="1318" max="1318" width="8" bestFit="1" customWidth="1"/>
    <col min="1319" max="1319" width="5" bestFit="1" customWidth="1"/>
    <col min="1320" max="1322" width="8" bestFit="1" customWidth="1"/>
    <col min="1323" max="1324" width="5" bestFit="1" customWidth="1"/>
    <col min="1325" max="1327" width="8" bestFit="1" customWidth="1"/>
    <col min="1328" max="1330" width="5" bestFit="1" customWidth="1"/>
    <col min="1331" max="1335" width="8" bestFit="1" customWidth="1"/>
    <col min="1336" max="1337" width="5" bestFit="1" customWidth="1"/>
    <col min="1338" max="1342" width="8" bestFit="1" customWidth="1"/>
    <col min="1343" max="1343" width="5" bestFit="1" customWidth="1"/>
    <col min="1344" max="1344" width="8" bestFit="1" customWidth="1"/>
    <col min="1345" max="1345" width="7" bestFit="1" customWidth="1"/>
    <col min="1346" max="1346" width="5" bestFit="1" customWidth="1"/>
    <col min="1347" max="1348" width="8" bestFit="1" customWidth="1"/>
    <col min="1349" max="1349" width="5" bestFit="1" customWidth="1"/>
    <col min="1350" max="1350" width="8" bestFit="1" customWidth="1"/>
    <col min="1351" max="1352" width="5" bestFit="1" customWidth="1"/>
    <col min="1353" max="1355" width="8" bestFit="1" customWidth="1"/>
    <col min="1356" max="1356" width="5" bestFit="1" customWidth="1"/>
    <col min="1357" max="1357" width="7" bestFit="1" customWidth="1"/>
    <col min="1358" max="1360" width="8" bestFit="1" customWidth="1"/>
    <col min="1361" max="1361" width="5" bestFit="1" customWidth="1"/>
    <col min="1362" max="1363" width="8" bestFit="1" customWidth="1"/>
    <col min="1364" max="1365" width="5" bestFit="1" customWidth="1"/>
    <col min="1366" max="1367" width="8" bestFit="1" customWidth="1"/>
    <col min="1368" max="1368" width="5" bestFit="1" customWidth="1"/>
    <col min="1369" max="1372" width="8" bestFit="1" customWidth="1"/>
    <col min="1373" max="1373" width="5" bestFit="1" customWidth="1"/>
    <col min="1374" max="1376" width="8" bestFit="1" customWidth="1"/>
    <col min="1377" max="1377" width="7" bestFit="1" customWidth="1"/>
    <col min="1378" max="1378" width="5" bestFit="1" customWidth="1"/>
    <col min="1379" max="1379" width="8" bestFit="1" customWidth="1"/>
    <col min="1380" max="1380" width="5" bestFit="1" customWidth="1"/>
    <col min="1381" max="1384" width="8" bestFit="1" customWidth="1"/>
    <col min="1385" max="1385" width="5" bestFit="1" customWidth="1"/>
    <col min="1386" max="1386" width="8" bestFit="1" customWidth="1"/>
    <col min="1387" max="1387" width="7" bestFit="1" customWidth="1"/>
    <col min="1388" max="1388" width="8" bestFit="1" customWidth="1"/>
    <col min="1389" max="1389" width="5" bestFit="1" customWidth="1"/>
    <col min="1390" max="1390" width="8" bestFit="1" customWidth="1"/>
    <col min="1391" max="1391" width="5" bestFit="1" customWidth="1"/>
    <col min="1392" max="1392" width="7" bestFit="1" customWidth="1"/>
    <col min="1393" max="1393" width="8" bestFit="1" customWidth="1"/>
    <col min="1394" max="1394" width="5" bestFit="1" customWidth="1"/>
    <col min="1395" max="1397" width="8" bestFit="1" customWidth="1"/>
    <col min="1398" max="1398" width="5" bestFit="1" customWidth="1"/>
    <col min="1399" max="1400" width="8" bestFit="1" customWidth="1"/>
    <col min="1401" max="1401" width="5" bestFit="1" customWidth="1"/>
    <col min="1402" max="1402" width="8" bestFit="1" customWidth="1"/>
    <col min="1403" max="1403" width="5" bestFit="1" customWidth="1"/>
    <col min="1404" max="1410" width="8" bestFit="1" customWidth="1"/>
    <col min="1411" max="1411" width="5" bestFit="1" customWidth="1"/>
    <col min="1412" max="1417" width="8" bestFit="1" customWidth="1"/>
    <col min="1418" max="1418" width="5" bestFit="1" customWidth="1"/>
    <col min="1419" max="1420" width="8" bestFit="1" customWidth="1"/>
    <col min="1421" max="1421" width="7" bestFit="1" customWidth="1"/>
    <col min="1422" max="1422" width="5" bestFit="1" customWidth="1"/>
    <col min="1423" max="1425" width="8" bestFit="1" customWidth="1"/>
    <col min="1426" max="1426" width="5" bestFit="1" customWidth="1"/>
    <col min="1427" max="1427" width="8" bestFit="1" customWidth="1"/>
    <col min="1428" max="1428" width="5" bestFit="1" customWidth="1"/>
    <col min="1429" max="1430" width="8" bestFit="1" customWidth="1"/>
    <col min="1431" max="1431" width="7" bestFit="1" customWidth="1"/>
    <col min="1432" max="1432" width="5" bestFit="1" customWidth="1"/>
    <col min="1433" max="1437" width="8" bestFit="1" customWidth="1"/>
    <col min="1438" max="1438" width="5" bestFit="1" customWidth="1"/>
    <col min="1439" max="1441" width="8" bestFit="1" customWidth="1"/>
    <col min="1442" max="1442" width="7" bestFit="1" customWidth="1"/>
    <col min="1443" max="1444" width="8" bestFit="1" customWidth="1"/>
    <col min="1445" max="1445" width="5" bestFit="1" customWidth="1"/>
    <col min="1446" max="1449" width="8" bestFit="1" customWidth="1"/>
    <col min="1450" max="1450" width="7" bestFit="1" customWidth="1"/>
    <col min="1451" max="1451" width="5" bestFit="1" customWidth="1"/>
    <col min="1452" max="1456" width="8" bestFit="1" customWidth="1"/>
    <col min="1457" max="1457" width="5" bestFit="1" customWidth="1"/>
    <col min="1458" max="1458" width="7" bestFit="1" customWidth="1"/>
    <col min="1459" max="1464" width="8" bestFit="1" customWidth="1"/>
    <col min="1465" max="1465" width="5" bestFit="1" customWidth="1"/>
    <col min="1466" max="1467" width="8" bestFit="1" customWidth="1"/>
    <col min="1468" max="1468" width="5" bestFit="1" customWidth="1"/>
    <col min="1469" max="1471" width="8" bestFit="1" customWidth="1"/>
    <col min="1472" max="1472" width="5" bestFit="1" customWidth="1"/>
    <col min="1473" max="1473" width="8" bestFit="1" customWidth="1"/>
    <col min="1474" max="1474" width="5" bestFit="1" customWidth="1"/>
    <col min="1475" max="1476" width="8" bestFit="1" customWidth="1"/>
    <col min="1477" max="1477" width="7" bestFit="1" customWidth="1"/>
    <col min="1478" max="1478" width="5" bestFit="1" customWidth="1"/>
    <col min="1479" max="1480" width="8" bestFit="1" customWidth="1"/>
    <col min="1481" max="1482" width="5" bestFit="1" customWidth="1"/>
    <col min="1483" max="1483" width="8" bestFit="1" customWidth="1"/>
    <col min="1484" max="1484" width="5" bestFit="1" customWidth="1"/>
    <col min="1485" max="1487" width="8" bestFit="1" customWidth="1"/>
    <col min="1488" max="1488" width="5" bestFit="1" customWidth="1"/>
    <col min="1489" max="1490" width="8" bestFit="1" customWidth="1"/>
    <col min="1491" max="1491" width="7" bestFit="1" customWidth="1"/>
    <col min="1492" max="1493" width="8" bestFit="1" customWidth="1"/>
    <col min="1494" max="1494" width="7" bestFit="1" customWidth="1"/>
    <col min="1495" max="1496" width="5" bestFit="1" customWidth="1"/>
    <col min="1497" max="1497" width="8" bestFit="1" customWidth="1"/>
    <col min="1498" max="1498" width="7" bestFit="1" customWidth="1"/>
    <col min="1499" max="1500" width="8" bestFit="1" customWidth="1"/>
    <col min="1501" max="1501" width="5" bestFit="1" customWidth="1"/>
    <col min="1502" max="1502" width="8" bestFit="1" customWidth="1"/>
    <col min="1503" max="1503" width="7" bestFit="1" customWidth="1"/>
    <col min="1504" max="1504" width="5" bestFit="1" customWidth="1"/>
    <col min="1505" max="1505" width="7" bestFit="1" customWidth="1"/>
    <col min="1506" max="1510" width="8" bestFit="1" customWidth="1"/>
    <col min="1511" max="1511" width="5" bestFit="1" customWidth="1"/>
    <col min="1512" max="1514" width="8" bestFit="1" customWidth="1"/>
    <col min="1515" max="1515" width="5" bestFit="1" customWidth="1"/>
    <col min="1516" max="1517" width="8" bestFit="1" customWidth="1"/>
    <col min="1518" max="1518" width="5" bestFit="1" customWidth="1"/>
    <col min="1519" max="1521" width="8" bestFit="1" customWidth="1"/>
    <col min="1522" max="1522" width="7" bestFit="1" customWidth="1"/>
    <col min="1523" max="1523" width="5" bestFit="1" customWidth="1"/>
    <col min="1524" max="1524" width="8" bestFit="1" customWidth="1"/>
    <col min="1525" max="1527" width="5" bestFit="1" customWidth="1"/>
    <col min="1528" max="1528" width="8" bestFit="1" customWidth="1"/>
    <col min="1529" max="1529" width="5" bestFit="1" customWidth="1"/>
    <col min="1530" max="1535" width="8" bestFit="1" customWidth="1"/>
    <col min="1536" max="1536" width="5" bestFit="1" customWidth="1"/>
    <col min="1537" max="1539" width="8" bestFit="1" customWidth="1"/>
    <col min="1540" max="1540" width="5" bestFit="1" customWidth="1"/>
    <col min="1541" max="1541" width="8" bestFit="1" customWidth="1"/>
    <col min="1542" max="1542" width="5" bestFit="1" customWidth="1"/>
    <col min="1543" max="1545" width="8" bestFit="1" customWidth="1"/>
    <col min="1546" max="1546" width="5" bestFit="1" customWidth="1"/>
    <col min="1547" max="1548" width="8" bestFit="1" customWidth="1"/>
    <col min="1549" max="1549" width="5" bestFit="1" customWidth="1"/>
    <col min="1550" max="1551" width="8" bestFit="1" customWidth="1"/>
    <col min="1552" max="1553" width="5" bestFit="1" customWidth="1"/>
    <col min="1554" max="1555" width="8" bestFit="1" customWidth="1"/>
    <col min="1556" max="1556" width="5" bestFit="1" customWidth="1"/>
    <col min="1557" max="1558" width="8" bestFit="1" customWidth="1"/>
    <col min="1559" max="1559" width="5" bestFit="1" customWidth="1"/>
    <col min="1560" max="1560" width="8" bestFit="1" customWidth="1"/>
    <col min="1561" max="1561" width="7" bestFit="1" customWidth="1"/>
    <col min="1562" max="1562" width="8" bestFit="1" customWidth="1"/>
    <col min="1563" max="1564" width="5" bestFit="1" customWidth="1"/>
    <col min="1565" max="1567" width="8" bestFit="1" customWidth="1"/>
    <col min="1568" max="1569" width="5" bestFit="1" customWidth="1"/>
    <col min="1570" max="1574" width="8" bestFit="1" customWidth="1"/>
    <col min="1575" max="1576" width="5" bestFit="1" customWidth="1"/>
    <col min="1577" max="1579" width="8" bestFit="1" customWidth="1"/>
    <col min="1580" max="1580" width="5" bestFit="1" customWidth="1"/>
    <col min="1581" max="1581" width="8" bestFit="1" customWidth="1"/>
    <col min="1582" max="1582" width="5" bestFit="1" customWidth="1"/>
    <col min="1583" max="1586" width="8" bestFit="1" customWidth="1"/>
    <col min="1587" max="1587" width="5" bestFit="1" customWidth="1"/>
    <col min="1588" max="1590" width="8" bestFit="1" customWidth="1"/>
    <col min="1591" max="1591" width="5" bestFit="1" customWidth="1"/>
    <col min="1592" max="1593" width="8" bestFit="1" customWidth="1"/>
    <col min="1594" max="1594" width="5" bestFit="1" customWidth="1"/>
    <col min="1595" max="1595" width="8" bestFit="1" customWidth="1"/>
    <col min="1596" max="1596" width="7" bestFit="1" customWidth="1"/>
    <col min="1597" max="1597" width="8" bestFit="1" customWidth="1"/>
    <col min="1598" max="1598" width="5" bestFit="1" customWidth="1"/>
    <col min="1599" max="1599" width="8" bestFit="1" customWidth="1"/>
    <col min="1600" max="1600" width="5" bestFit="1" customWidth="1"/>
    <col min="1601" max="1601" width="8" bestFit="1" customWidth="1"/>
    <col min="1602" max="1602" width="5" bestFit="1" customWidth="1"/>
    <col min="1603" max="1603" width="7" bestFit="1" customWidth="1"/>
    <col min="1604" max="1604" width="5" bestFit="1" customWidth="1"/>
    <col min="1605" max="1605" width="8" bestFit="1" customWidth="1"/>
    <col min="1606" max="1607" width="5" bestFit="1" customWidth="1"/>
    <col min="1608" max="1608" width="7" bestFit="1" customWidth="1"/>
    <col min="1609" max="1610" width="8" bestFit="1" customWidth="1"/>
    <col min="1611" max="1611" width="5" bestFit="1" customWidth="1"/>
    <col min="1612" max="1613" width="8" bestFit="1" customWidth="1"/>
    <col min="1614" max="1615" width="5" bestFit="1" customWidth="1"/>
    <col min="1616" max="1616" width="8" bestFit="1" customWidth="1"/>
    <col min="1617" max="1617" width="5" bestFit="1" customWidth="1"/>
    <col min="1618" max="1620" width="8" bestFit="1" customWidth="1"/>
    <col min="1621" max="1621" width="5" bestFit="1" customWidth="1"/>
    <col min="1622" max="1622" width="8" bestFit="1" customWidth="1"/>
    <col min="1623" max="1623" width="5" bestFit="1" customWidth="1"/>
    <col min="1624" max="1625" width="8" bestFit="1" customWidth="1"/>
    <col min="1626" max="1626" width="7" bestFit="1" customWidth="1"/>
    <col min="1627" max="1627" width="8" bestFit="1" customWidth="1"/>
    <col min="1628" max="1628" width="5" bestFit="1" customWidth="1"/>
    <col min="1629" max="1629" width="8" bestFit="1" customWidth="1"/>
    <col min="1630" max="1631" width="5" bestFit="1" customWidth="1"/>
    <col min="1632" max="1633" width="8" bestFit="1" customWidth="1"/>
    <col min="1634" max="1634" width="7" bestFit="1" customWidth="1"/>
    <col min="1635" max="1635" width="5" bestFit="1" customWidth="1"/>
    <col min="1636" max="1637" width="8" bestFit="1" customWidth="1"/>
    <col min="1638" max="1638" width="5" bestFit="1" customWidth="1"/>
    <col min="1639" max="1642" width="8" bestFit="1" customWidth="1"/>
    <col min="1643" max="1644" width="7" bestFit="1" customWidth="1"/>
    <col min="1645" max="1645" width="8" bestFit="1" customWidth="1"/>
    <col min="1646" max="1647" width="5" bestFit="1" customWidth="1"/>
    <col min="1648" max="1648" width="8" bestFit="1" customWidth="1"/>
    <col min="1649" max="1649" width="7" bestFit="1" customWidth="1"/>
    <col min="1650" max="1650" width="5" bestFit="1" customWidth="1"/>
    <col min="1651" max="1652" width="8" bestFit="1" customWidth="1"/>
    <col min="1653" max="1653" width="5" bestFit="1" customWidth="1"/>
    <col min="1654" max="1654" width="7" bestFit="1" customWidth="1"/>
    <col min="1655" max="1655" width="8" bestFit="1" customWidth="1"/>
    <col min="1656" max="1656" width="5" bestFit="1" customWidth="1"/>
    <col min="1657" max="1657" width="8" bestFit="1" customWidth="1"/>
    <col min="1658" max="1658" width="5" bestFit="1" customWidth="1"/>
    <col min="1659" max="1661" width="8" bestFit="1" customWidth="1"/>
    <col min="1662" max="1662" width="5" bestFit="1" customWidth="1"/>
    <col min="1663" max="1667" width="8" bestFit="1" customWidth="1"/>
    <col min="1668" max="1668" width="5" bestFit="1" customWidth="1"/>
    <col min="1669" max="1669" width="7" bestFit="1" customWidth="1"/>
    <col min="1670" max="1673" width="8" bestFit="1" customWidth="1"/>
    <col min="1674" max="1674" width="5" bestFit="1" customWidth="1"/>
    <col min="1675" max="1677" width="8" bestFit="1" customWidth="1"/>
    <col min="1678" max="1678" width="5" bestFit="1" customWidth="1"/>
    <col min="1679" max="1681" width="8" bestFit="1" customWidth="1"/>
    <col min="1682" max="1682" width="5" bestFit="1" customWidth="1"/>
    <col min="1683" max="1683" width="8" bestFit="1" customWidth="1"/>
    <col min="1684" max="1684" width="5" bestFit="1" customWidth="1"/>
    <col min="1685" max="1685" width="7" bestFit="1" customWidth="1"/>
    <col min="1686" max="1687" width="8" bestFit="1" customWidth="1"/>
    <col min="1688" max="1688" width="7" bestFit="1" customWidth="1"/>
    <col min="1689" max="1689" width="5" bestFit="1" customWidth="1"/>
    <col min="1690" max="1690" width="7" bestFit="1" customWidth="1"/>
    <col min="1691" max="1692" width="8" bestFit="1" customWidth="1"/>
    <col min="1693" max="1693" width="5" bestFit="1" customWidth="1"/>
    <col min="1694" max="1694" width="7" bestFit="1" customWidth="1"/>
    <col min="1695" max="1695" width="8" bestFit="1" customWidth="1"/>
    <col min="1696" max="1696" width="5" bestFit="1" customWidth="1"/>
    <col min="1697" max="1699" width="8" bestFit="1" customWidth="1"/>
    <col min="1700" max="1700" width="5" bestFit="1" customWidth="1"/>
    <col min="1701" max="1704" width="8" bestFit="1" customWidth="1"/>
    <col min="1705" max="1705" width="5" bestFit="1" customWidth="1"/>
    <col min="1706" max="1709" width="8" bestFit="1" customWidth="1"/>
    <col min="1710" max="1710" width="5" bestFit="1" customWidth="1"/>
    <col min="1711" max="1715" width="8" bestFit="1" customWidth="1"/>
    <col min="1716" max="1716" width="7" bestFit="1" customWidth="1"/>
    <col min="1717" max="1717" width="5" bestFit="1" customWidth="1"/>
    <col min="1718" max="1719" width="8" bestFit="1" customWidth="1"/>
    <col min="1720" max="1720" width="5" bestFit="1" customWidth="1"/>
    <col min="1721" max="1724" width="8" bestFit="1" customWidth="1"/>
    <col min="1725" max="1725" width="7" bestFit="1" customWidth="1"/>
    <col min="1726" max="1726" width="5" bestFit="1" customWidth="1"/>
    <col min="1727" max="1728" width="8" bestFit="1" customWidth="1"/>
    <col min="1729" max="1729" width="7" bestFit="1" customWidth="1"/>
    <col min="1730" max="1731" width="8" bestFit="1" customWidth="1"/>
    <col min="1732" max="1733" width="5" bestFit="1" customWidth="1"/>
    <col min="1734" max="1736" width="8" bestFit="1" customWidth="1"/>
    <col min="1737" max="1737" width="7" bestFit="1" customWidth="1"/>
    <col min="1738" max="1739" width="8" bestFit="1" customWidth="1"/>
    <col min="1740" max="1740" width="5" bestFit="1" customWidth="1"/>
    <col min="1741" max="1742" width="8" bestFit="1" customWidth="1"/>
    <col min="1743" max="1743" width="5" bestFit="1" customWidth="1"/>
    <col min="1744" max="1747" width="8" bestFit="1" customWidth="1"/>
    <col min="1748" max="1748" width="5" bestFit="1" customWidth="1"/>
    <col min="1749" max="1749" width="8" bestFit="1" customWidth="1"/>
    <col min="1750" max="1750" width="5" bestFit="1" customWidth="1"/>
    <col min="1751" max="1755" width="8" bestFit="1" customWidth="1"/>
    <col min="1756" max="1756" width="5" bestFit="1" customWidth="1"/>
    <col min="1757" max="1760" width="8" bestFit="1" customWidth="1"/>
    <col min="1761" max="1761" width="7" bestFit="1" customWidth="1"/>
    <col min="1762" max="1762" width="5" bestFit="1" customWidth="1"/>
    <col min="1763" max="1765" width="8" bestFit="1" customWidth="1"/>
    <col min="1766" max="1766" width="5" bestFit="1" customWidth="1"/>
    <col min="1767" max="1768" width="8" bestFit="1" customWidth="1"/>
    <col min="1769" max="1769" width="5" bestFit="1" customWidth="1"/>
    <col min="1770" max="1773" width="8" bestFit="1" customWidth="1"/>
    <col min="1774" max="1774" width="5" bestFit="1" customWidth="1"/>
    <col min="1775" max="1776" width="8" bestFit="1" customWidth="1"/>
    <col min="1777" max="1777" width="7" bestFit="1" customWidth="1"/>
    <col min="1778" max="1781" width="8" bestFit="1" customWidth="1"/>
    <col min="1782" max="1782" width="5" bestFit="1" customWidth="1"/>
    <col min="1783" max="1784" width="8" bestFit="1" customWidth="1"/>
    <col min="1785" max="1786" width="5" bestFit="1" customWidth="1"/>
    <col min="1787" max="1787" width="8" bestFit="1" customWidth="1"/>
    <col min="1788" max="1788" width="5" bestFit="1" customWidth="1"/>
    <col min="1789" max="1789" width="7" bestFit="1" customWidth="1"/>
    <col min="1790" max="1790" width="5" bestFit="1" customWidth="1"/>
    <col min="1791" max="1791" width="8" bestFit="1" customWidth="1"/>
    <col min="1792" max="1792" width="5" bestFit="1" customWidth="1"/>
    <col min="1793" max="1793" width="8" bestFit="1" customWidth="1"/>
    <col min="1794" max="1795" width="5" bestFit="1" customWidth="1"/>
    <col min="1796" max="1797" width="8" bestFit="1" customWidth="1"/>
    <col min="1798" max="1798" width="5" bestFit="1" customWidth="1"/>
    <col min="1799" max="1799" width="8" bestFit="1" customWidth="1"/>
    <col min="1800" max="1800" width="5" bestFit="1" customWidth="1"/>
    <col min="1801" max="1803" width="8" bestFit="1" customWidth="1"/>
    <col min="1804" max="1804" width="5" bestFit="1" customWidth="1"/>
    <col min="1805" max="1805" width="7" bestFit="1" customWidth="1"/>
    <col min="1806" max="1808" width="8" bestFit="1" customWidth="1"/>
    <col min="1809" max="1809" width="5" bestFit="1" customWidth="1"/>
    <col min="1810" max="1810" width="8" bestFit="1" customWidth="1"/>
    <col min="1811" max="1811" width="7" bestFit="1" customWidth="1"/>
    <col min="1812" max="1812" width="5" bestFit="1" customWidth="1"/>
    <col min="1813" max="1813" width="7" bestFit="1" customWidth="1"/>
    <col min="1814" max="1817" width="8" bestFit="1" customWidth="1"/>
    <col min="1818" max="1819" width="5" bestFit="1" customWidth="1"/>
    <col min="1820" max="1820" width="8" bestFit="1" customWidth="1"/>
    <col min="1821" max="1821" width="5" bestFit="1" customWidth="1"/>
    <col min="1822" max="1829" width="8" bestFit="1" customWidth="1"/>
    <col min="1830" max="1830" width="5" bestFit="1" customWidth="1"/>
    <col min="1831" max="1833" width="8" bestFit="1" customWidth="1"/>
    <col min="1834" max="1834" width="7" bestFit="1" customWidth="1"/>
    <col min="1835" max="1835" width="5" bestFit="1" customWidth="1"/>
    <col min="1836" max="1837" width="8" bestFit="1" customWidth="1"/>
    <col min="1838" max="1838" width="5" bestFit="1" customWidth="1"/>
    <col min="1839" max="1840" width="8" bestFit="1" customWidth="1"/>
    <col min="1841" max="1841" width="5" bestFit="1" customWidth="1"/>
    <col min="1842" max="1846" width="8" bestFit="1" customWidth="1"/>
    <col min="1847" max="1847" width="5" bestFit="1" customWidth="1"/>
    <col min="1848" max="1849" width="8" bestFit="1" customWidth="1"/>
    <col min="1850" max="1850" width="5" bestFit="1" customWidth="1"/>
    <col min="1851" max="1851" width="8" bestFit="1" customWidth="1"/>
    <col min="1852" max="1852" width="5" bestFit="1" customWidth="1"/>
    <col min="1853" max="1854" width="8" bestFit="1" customWidth="1"/>
    <col min="1855" max="1855" width="5" bestFit="1" customWidth="1"/>
    <col min="1856" max="1857" width="8" bestFit="1" customWidth="1"/>
    <col min="1858" max="1858" width="5" bestFit="1" customWidth="1"/>
    <col min="1859" max="1860" width="8" bestFit="1" customWidth="1"/>
    <col min="1861" max="1861" width="5" bestFit="1" customWidth="1"/>
    <col min="1862" max="1863" width="8" bestFit="1" customWidth="1"/>
    <col min="1864" max="1864" width="5" bestFit="1" customWidth="1"/>
    <col min="1865" max="1868" width="8" bestFit="1" customWidth="1"/>
    <col min="1869" max="1869" width="5" bestFit="1" customWidth="1"/>
    <col min="1870" max="1871" width="8" bestFit="1" customWidth="1"/>
    <col min="1872" max="1872" width="5" bestFit="1" customWidth="1"/>
    <col min="1873" max="1875" width="8" bestFit="1" customWidth="1"/>
    <col min="1876" max="1876" width="5" bestFit="1" customWidth="1"/>
    <col min="1877" max="1881" width="8" bestFit="1" customWidth="1"/>
    <col min="1882" max="1882" width="5" bestFit="1" customWidth="1"/>
    <col min="1883" max="1884" width="8" bestFit="1" customWidth="1"/>
    <col min="1885" max="1886" width="5" bestFit="1" customWidth="1"/>
    <col min="1887" max="1888" width="8" bestFit="1" customWidth="1"/>
    <col min="1889" max="1889" width="5" bestFit="1" customWidth="1"/>
    <col min="1890" max="1890" width="8" bestFit="1" customWidth="1"/>
    <col min="1891" max="1891" width="5" bestFit="1" customWidth="1"/>
    <col min="1892" max="1892" width="8" bestFit="1" customWidth="1"/>
    <col min="1893" max="1893" width="5" bestFit="1" customWidth="1"/>
    <col min="1894" max="1895" width="8" bestFit="1" customWidth="1"/>
    <col min="1896" max="1896" width="5" bestFit="1" customWidth="1"/>
    <col min="1897" max="1897" width="8" bestFit="1" customWidth="1"/>
    <col min="1898" max="1898" width="5" bestFit="1" customWidth="1"/>
    <col min="1899" max="1899" width="8" bestFit="1" customWidth="1"/>
    <col min="1900" max="1900" width="5" bestFit="1" customWidth="1"/>
    <col min="1901" max="1901" width="7" bestFit="1" customWidth="1"/>
    <col min="1902" max="1904" width="8" bestFit="1" customWidth="1"/>
    <col min="1905" max="1905" width="5" bestFit="1" customWidth="1"/>
    <col min="1906" max="1906" width="8" bestFit="1" customWidth="1"/>
    <col min="1907" max="1907" width="5" bestFit="1" customWidth="1"/>
    <col min="1908" max="1910" width="8" bestFit="1" customWidth="1"/>
    <col min="1911" max="1911" width="5" bestFit="1" customWidth="1"/>
    <col min="1912" max="1913" width="8" bestFit="1" customWidth="1"/>
    <col min="1914" max="1914" width="5" bestFit="1" customWidth="1"/>
    <col min="1915" max="1919" width="8" bestFit="1" customWidth="1"/>
    <col min="1920" max="1920" width="5" bestFit="1" customWidth="1"/>
    <col min="1921" max="1924" width="8" bestFit="1" customWidth="1"/>
    <col min="1925" max="1926" width="5" bestFit="1" customWidth="1"/>
    <col min="1927" max="1927" width="8" bestFit="1" customWidth="1"/>
    <col min="1928" max="1928" width="5" bestFit="1" customWidth="1"/>
    <col min="1929" max="1933" width="8" bestFit="1" customWidth="1"/>
    <col min="1934" max="1934" width="7" bestFit="1" customWidth="1"/>
    <col min="1935" max="1935" width="5" bestFit="1" customWidth="1"/>
    <col min="1936" max="1936" width="8" bestFit="1" customWidth="1"/>
    <col min="1937" max="1939" width="5" bestFit="1" customWidth="1"/>
    <col min="1940" max="1942" width="8" bestFit="1" customWidth="1"/>
    <col min="1943" max="1944" width="5" bestFit="1" customWidth="1"/>
    <col min="1945" max="1947" width="8" bestFit="1" customWidth="1"/>
    <col min="1948" max="1949" width="5" bestFit="1" customWidth="1"/>
    <col min="1950" max="1950" width="7" bestFit="1" customWidth="1"/>
    <col min="1951" max="1954" width="8" bestFit="1" customWidth="1"/>
    <col min="1955" max="1955" width="5" bestFit="1" customWidth="1"/>
    <col min="1956" max="1956" width="8" bestFit="1" customWidth="1"/>
    <col min="1957" max="1957" width="5" bestFit="1" customWidth="1"/>
    <col min="1958" max="1963" width="8" bestFit="1" customWidth="1"/>
    <col min="1964" max="1964" width="5" bestFit="1" customWidth="1"/>
    <col min="1965" max="1965" width="8" bestFit="1" customWidth="1"/>
    <col min="1966" max="1966" width="5" bestFit="1" customWidth="1"/>
    <col min="1967" max="1967" width="8" bestFit="1" customWidth="1"/>
    <col min="1968" max="1968" width="5" bestFit="1" customWidth="1"/>
    <col min="1969" max="1971" width="8" bestFit="1" customWidth="1"/>
    <col min="1972" max="1974" width="5" bestFit="1" customWidth="1"/>
    <col min="1975" max="1975" width="7" bestFit="1" customWidth="1"/>
    <col min="1976" max="1980" width="8" bestFit="1" customWidth="1"/>
    <col min="1981" max="1981" width="5" bestFit="1" customWidth="1"/>
    <col min="1982" max="1984" width="8" bestFit="1" customWidth="1"/>
    <col min="1985" max="1985" width="5" bestFit="1" customWidth="1"/>
    <col min="1986" max="1986" width="8" bestFit="1" customWidth="1"/>
    <col min="1987" max="1987" width="5" bestFit="1" customWidth="1"/>
    <col min="1988" max="1988" width="7" bestFit="1" customWidth="1"/>
    <col min="1989" max="1989" width="8" bestFit="1" customWidth="1"/>
    <col min="1990" max="1990" width="7" bestFit="1" customWidth="1"/>
    <col min="1991" max="1991" width="5" bestFit="1" customWidth="1"/>
    <col min="1992" max="1996" width="8" bestFit="1" customWidth="1"/>
    <col min="1997" max="1998" width="5" bestFit="1" customWidth="1"/>
    <col min="1999" max="1999" width="8" bestFit="1" customWidth="1"/>
    <col min="2000" max="2002" width="5" bestFit="1" customWidth="1"/>
    <col min="2003" max="2004" width="8" bestFit="1" customWidth="1"/>
    <col min="2005" max="2005" width="7" bestFit="1" customWidth="1"/>
    <col min="2006" max="2008" width="8" bestFit="1" customWidth="1"/>
    <col min="2009" max="2009" width="5" bestFit="1" customWidth="1"/>
    <col min="2010" max="2014" width="8" bestFit="1" customWidth="1"/>
    <col min="2015" max="2015" width="5" bestFit="1" customWidth="1"/>
    <col min="2016" max="2017" width="8" bestFit="1" customWidth="1"/>
    <col min="2018" max="2018" width="5" bestFit="1" customWidth="1"/>
    <col min="2019" max="2020" width="8" bestFit="1" customWidth="1"/>
    <col min="2021" max="2021" width="5" bestFit="1" customWidth="1"/>
    <col min="2022" max="2024" width="8" bestFit="1" customWidth="1"/>
    <col min="2025" max="2025" width="5" bestFit="1" customWidth="1"/>
    <col min="2026" max="2027" width="8" bestFit="1" customWidth="1"/>
    <col min="2028" max="2028" width="5" bestFit="1" customWidth="1"/>
    <col min="2029" max="2032" width="8" bestFit="1" customWidth="1"/>
    <col min="2033" max="2033" width="5" bestFit="1" customWidth="1"/>
    <col min="2034" max="2034" width="8" bestFit="1" customWidth="1"/>
    <col min="2035" max="2036" width="5" bestFit="1" customWidth="1"/>
    <col min="2037" max="2037" width="8" bestFit="1" customWidth="1"/>
    <col min="2038" max="2038" width="5" bestFit="1" customWidth="1"/>
    <col min="2039" max="2042" width="8" bestFit="1" customWidth="1"/>
    <col min="2043" max="2043" width="5" bestFit="1" customWidth="1"/>
    <col min="2044" max="2054" width="8" bestFit="1" customWidth="1"/>
    <col min="2055" max="2055" width="5" bestFit="1" customWidth="1"/>
    <col min="2056" max="2061" width="8" bestFit="1" customWidth="1"/>
    <col min="2062" max="2062" width="7" bestFit="1" customWidth="1"/>
    <col min="2063" max="2064" width="8" bestFit="1" customWidth="1"/>
    <col min="2065" max="2065" width="5" bestFit="1" customWidth="1"/>
    <col min="2066" max="2066" width="8" bestFit="1" customWidth="1"/>
    <col min="2067" max="2067" width="5" bestFit="1" customWidth="1"/>
    <col min="2068" max="2070" width="8" bestFit="1" customWidth="1"/>
    <col min="2071" max="2071" width="5" bestFit="1" customWidth="1"/>
    <col min="2072" max="2074" width="8" bestFit="1" customWidth="1"/>
    <col min="2075" max="2075" width="5" bestFit="1" customWidth="1"/>
    <col min="2076" max="2076" width="8" bestFit="1" customWidth="1"/>
    <col min="2077" max="2078" width="5" bestFit="1" customWidth="1"/>
    <col min="2079" max="2081" width="8" bestFit="1" customWidth="1"/>
    <col min="2082" max="2082" width="7" bestFit="1" customWidth="1"/>
    <col min="2083" max="2083" width="8" bestFit="1" customWidth="1"/>
    <col min="2084" max="2084" width="5" bestFit="1" customWidth="1"/>
    <col min="2085" max="2086" width="8" bestFit="1" customWidth="1"/>
    <col min="2087" max="2087" width="7" bestFit="1" customWidth="1"/>
    <col min="2088" max="2095" width="8" bestFit="1" customWidth="1"/>
    <col min="2096" max="2096" width="5" bestFit="1" customWidth="1"/>
    <col min="2097" max="2098" width="8" bestFit="1" customWidth="1"/>
    <col min="2099" max="2099" width="7" bestFit="1" customWidth="1"/>
    <col min="2100" max="2100" width="5" bestFit="1" customWidth="1"/>
    <col min="2101" max="2107" width="8" bestFit="1" customWidth="1"/>
    <col min="2108" max="2108" width="5" bestFit="1" customWidth="1"/>
    <col min="2109" max="2113" width="8" bestFit="1" customWidth="1"/>
    <col min="2114" max="2114" width="7" bestFit="1" customWidth="1"/>
    <col min="2115" max="2115" width="5" bestFit="1" customWidth="1"/>
    <col min="2116" max="2122" width="8" bestFit="1" customWidth="1"/>
    <col min="2123" max="2123" width="5" bestFit="1" customWidth="1"/>
    <col min="2124" max="2124" width="8" bestFit="1" customWidth="1"/>
    <col min="2125" max="2125" width="5" bestFit="1" customWidth="1"/>
    <col min="2126" max="2129" width="8" bestFit="1" customWidth="1"/>
    <col min="2130" max="2130" width="5" bestFit="1" customWidth="1"/>
    <col min="2131" max="2132" width="8" bestFit="1" customWidth="1"/>
    <col min="2133" max="2133" width="5" bestFit="1" customWidth="1"/>
    <col min="2134" max="2135" width="8" bestFit="1" customWidth="1"/>
    <col min="2136" max="2137" width="5" bestFit="1" customWidth="1"/>
    <col min="2138" max="2138" width="8" bestFit="1" customWidth="1"/>
    <col min="2139" max="2139" width="5" bestFit="1" customWidth="1"/>
    <col min="2140" max="2142" width="8" bestFit="1" customWidth="1"/>
    <col min="2143" max="2144" width="5" bestFit="1" customWidth="1"/>
    <col min="2145" max="2149" width="8" bestFit="1" customWidth="1"/>
    <col min="2150" max="2151" width="5" bestFit="1" customWidth="1"/>
    <col min="2152" max="2153" width="8" bestFit="1" customWidth="1"/>
    <col min="2154" max="2154" width="5" bestFit="1" customWidth="1"/>
    <col min="2155" max="2157" width="8" bestFit="1" customWidth="1"/>
    <col min="2158" max="2158" width="5" bestFit="1" customWidth="1"/>
    <col min="2159" max="2160" width="8" bestFit="1" customWidth="1"/>
    <col min="2161" max="2161" width="5" bestFit="1" customWidth="1"/>
    <col min="2162" max="2163" width="8" bestFit="1" customWidth="1"/>
    <col min="2164" max="2165" width="5" bestFit="1" customWidth="1"/>
    <col min="2166" max="2167" width="8" bestFit="1" customWidth="1"/>
    <col min="2168" max="2168" width="5" bestFit="1" customWidth="1"/>
    <col min="2169" max="2169" width="8" bestFit="1" customWidth="1"/>
    <col min="2170" max="2170" width="5" bestFit="1" customWidth="1"/>
    <col min="2171" max="2171" width="8" bestFit="1" customWidth="1"/>
    <col min="2172" max="2172" width="5" bestFit="1" customWidth="1"/>
    <col min="2173" max="2173" width="7" bestFit="1" customWidth="1"/>
    <col min="2174" max="2174" width="8" bestFit="1" customWidth="1"/>
    <col min="2175" max="2176" width="5" bestFit="1" customWidth="1"/>
    <col min="2177" max="2179" width="8" bestFit="1" customWidth="1"/>
    <col min="2180" max="2180" width="5" bestFit="1" customWidth="1"/>
    <col min="2181" max="2181" width="7" bestFit="1" customWidth="1"/>
    <col min="2182" max="2188" width="8" bestFit="1" customWidth="1"/>
    <col min="2189" max="2189" width="5" bestFit="1" customWidth="1"/>
    <col min="2190" max="2195" width="8" bestFit="1" customWidth="1"/>
    <col min="2196" max="2197" width="5" bestFit="1" customWidth="1"/>
    <col min="2198" max="2200" width="8" bestFit="1" customWidth="1"/>
    <col min="2201" max="2201" width="7" bestFit="1" customWidth="1"/>
    <col min="2202" max="2202" width="5" bestFit="1" customWidth="1"/>
    <col min="2203" max="2203" width="8" bestFit="1" customWidth="1"/>
    <col min="2204" max="2204" width="7" bestFit="1" customWidth="1"/>
    <col min="2205" max="2208" width="8" bestFit="1" customWidth="1"/>
    <col min="2209" max="2209" width="5" bestFit="1" customWidth="1"/>
    <col min="2210" max="2211" width="8" bestFit="1" customWidth="1"/>
    <col min="2212" max="2213" width="5" bestFit="1" customWidth="1"/>
    <col min="2214" max="2214" width="8" bestFit="1" customWidth="1"/>
    <col min="2215" max="2215" width="7" bestFit="1" customWidth="1"/>
    <col min="2216" max="2216" width="8" bestFit="1" customWidth="1"/>
    <col min="2217" max="2217" width="5" bestFit="1" customWidth="1"/>
    <col min="2218" max="2221" width="8" bestFit="1" customWidth="1"/>
    <col min="2222" max="2223" width="5" bestFit="1" customWidth="1"/>
    <col min="2224" max="2225" width="8" bestFit="1" customWidth="1"/>
    <col min="2226" max="2226" width="5" bestFit="1" customWidth="1"/>
    <col min="2227" max="2227" width="7" bestFit="1" customWidth="1"/>
    <col min="2228" max="2228" width="8" bestFit="1" customWidth="1"/>
    <col min="2229" max="2229" width="5" bestFit="1" customWidth="1"/>
    <col min="2230" max="2231" width="8" bestFit="1" customWidth="1"/>
    <col min="2232" max="2232" width="5" bestFit="1" customWidth="1"/>
    <col min="2233" max="2234" width="8" bestFit="1" customWidth="1"/>
    <col min="2235" max="2235" width="5" bestFit="1" customWidth="1"/>
    <col min="2236" max="2237" width="8" bestFit="1" customWidth="1"/>
    <col min="2238" max="2238" width="7" bestFit="1" customWidth="1"/>
    <col min="2239" max="2239" width="8" bestFit="1" customWidth="1"/>
    <col min="2240" max="2240" width="5" bestFit="1" customWidth="1"/>
    <col min="2241" max="2241" width="8" bestFit="1" customWidth="1"/>
    <col min="2242" max="2242" width="5" bestFit="1" customWidth="1"/>
    <col min="2243" max="2243" width="8" bestFit="1" customWidth="1"/>
    <col min="2244" max="2244" width="7" bestFit="1" customWidth="1"/>
    <col min="2245" max="2247" width="8" bestFit="1" customWidth="1"/>
    <col min="2248" max="2248" width="5" bestFit="1" customWidth="1"/>
    <col min="2249" max="2249" width="8" bestFit="1" customWidth="1"/>
    <col min="2250" max="2250" width="7" bestFit="1" customWidth="1"/>
    <col min="2251" max="2251" width="8" bestFit="1" customWidth="1"/>
    <col min="2252" max="2253" width="5" bestFit="1" customWidth="1"/>
    <col min="2254" max="2254" width="8" bestFit="1" customWidth="1"/>
    <col min="2255" max="2256" width="5" bestFit="1" customWidth="1"/>
    <col min="2257" max="2258" width="8" bestFit="1" customWidth="1"/>
    <col min="2259" max="2259" width="7" bestFit="1" customWidth="1"/>
    <col min="2260" max="2260" width="5" bestFit="1" customWidth="1"/>
    <col min="2261" max="2262" width="8" bestFit="1" customWidth="1"/>
    <col min="2263" max="2264" width="5" bestFit="1" customWidth="1"/>
    <col min="2265" max="2265" width="8" bestFit="1" customWidth="1"/>
    <col min="2266" max="2266" width="5" bestFit="1" customWidth="1"/>
    <col min="2267" max="2269" width="8" bestFit="1" customWidth="1"/>
    <col min="2270" max="2271" width="5" bestFit="1" customWidth="1"/>
    <col min="2272" max="2272" width="7" bestFit="1" customWidth="1"/>
    <col min="2273" max="2273" width="8" bestFit="1" customWidth="1"/>
    <col min="2274" max="2274" width="7" bestFit="1" customWidth="1"/>
    <col min="2275" max="2277" width="8" bestFit="1" customWidth="1"/>
    <col min="2278" max="2278" width="5" bestFit="1" customWidth="1"/>
    <col min="2279" max="2280" width="8" bestFit="1" customWidth="1"/>
    <col min="2281" max="2281" width="5" bestFit="1" customWidth="1"/>
    <col min="2282" max="2283" width="8" bestFit="1" customWidth="1"/>
    <col min="2284" max="2284" width="5" bestFit="1" customWidth="1"/>
    <col min="2285" max="2290" width="8" bestFit="1" customWidth="1"/>
    <col min="2291" max="2291" width="7" bestFit="1" customWidth="1"/>
    <col min="2292" max="2293" width="8" bestFit="1" customWidth="1"/>
    <col min="2294" max="2294" width="5" bestFit="1" customWidth="1"/>
    <col min="2295" max="2300" width="8" bestFit="1" customWidth="1"/>
    <col min="2301" max="2301" width="5" bestFit="1" customWidth="1"/>
    <col min="2302" max="2302" width="8" bestFit="1" customWidth="1"/>
    <col min="2303" max="2303" width="7" bestFit="1" customWidth="1"/>
    <col min="2304" max="2305" width="5" bestFit="1" customWidth="1"/>
    <col min="2306" max="2307" width="8" bestFit="1" customWidth="1"/>
    <col min="2308" max="2309" width="5" bestFit="1" customWidth="1"/>
    <col min="2310" max="2314" width="8" bestFit="1" customWidth="1"/>
    <col min="2315" max="2315" width="5" bestFit="1" customWidth="1"/>
    <col min="2316" max="2321" width="8" bestFit="1" customWidth="1"/>
    <col min="2322" max="2322" width="5" bestFit="1" customWidth="1"/>
    <col min="2323" max="2323" width="8" bestFit="1" customWidth="1"/>
    <col min="2324" max="2324" width="5" bestFit="1" customWidth="1"/>
    <col min="2325" max="2327" width="8" bestFit="1" customWidth="1"/>
    <col min="2328" max="2328" width="5" bestFit="1" customWidth="1"/>
    <col min="2329" max="2329" width="8" bestFit="1" customWidth="1"/>
    <col min="2330" max="2330" width="5" bestFit="1" customWidth="1"/>
    <col min="2331" max="2331" width="8" bestFit="1" customWidth="1"/>
    <col min="2332" max="2332" width="5" bestFit="1" customWidth="1"/>
    <col min="2333" max="2333" width="7" bestFit="1" customWidth="1"/>
    <col min="2334" max="2334" width="8" bestFit="1" customWidth="1"/>
    <col min="2335" max="2335" width="5" bestFit="1" customWidth="1"/>
    <col min="2336" max="2339" width="8" bestFit="1" customWidth="1"/>
    <col min="2340" max="2341" width="5" bestFit="1" customWidth="1"/>
    <col min="2342" max="2343" width="8" bestFit="1" customWidth="1"/>
    <col min="2344" max="2344" width="5" bestFit="1" customWidth="1"/>
    <col min="2345" max="2355" width="8" bestFit="1" customWidth="1"/>
    <col min="2356" max="2357" width="5" bestFit="1" customWidth="1"/>
    <col min="2358" max="2359" width="8" bestFit="1" customWidth="1"/>
    <col min="2360" max="2360" width="5" bestFit="1" customWidth="1"/>
    <col min="2361" max="2363" width="8" bestFit="1" customWidth="1"/>
    <col min="2364" max="2366" width="5" bestFit="1" customWidth="1"/>
    <col min="2367" max="2369" width="8" bestFit="1" customWidth="1"/>
    <col min="2370" max="2370" width="5" bestFit="1" customWidth="1"/>
    <col min="2371" max="2373" width="8" bestFit="1" customWidth="1"/>
    <col min="2374" max="2374" width="5" bestFit="1" customWidth="1"/>
    <col min="2375" max="2378" width="8" bestFit="1" customWidth="1"/>
    <col min="2379" max="2380" width="5" bestFit="1" customWidth="1"/>
    <col min="2381" max="2384" width="8" bestFit="1" customWidth="1"/>
    <col min="2385" max="2385" width="5" bestFit="1" customWidth="1"/>
    <col min="2386" max="2388" width="8" bestFit="1" customWidth="1"/>
    <col min="2389" max="2389" width="5" bestFit="1" customWidth="1"/>
    <col min="2390" max="2391" width="8" bestFit="1" customWidth="1"/>
    <col min="2392" max="2392" width="5" bestFit="1" customWidth="1"/>
    <col min="2393" max="2394" width="8" bestFit="1" customWidth="1"/>
    <col min="2395" max="2395" width="5" bestFit="1" customWidth="1"/>
    <col min="2396" max="2396" width="8" bestFit="1" customWidth="1"/>
    <col min="2397" max="2397" width="7" bestFit="1" customWidth="1"/>
    <col min="2398" max="2403" width="8" bestFit="1" customWidth="1"/>
    <col min="2404" max="2405" width="5" bestFit="1" customWidth="1"/>
    <col min="2406" max="2406" width="8" bestFit="1" customWidth="1"/>
    <col min="2407" max="2408" width="5" bestFit="1" customWidth="1"/>
    <col min="2409" max="2409" width="8" bestFit="1" customWidth="1"/>
    <col min="2410" max="2410" width="5" bestFit="1" customWidth="1"/>
    <col min="2411" max="2412" width="8" bestFit="1" customWidth="1"/>
    <col min="2413" max="2413" width="7" bestFit="1" customWidth="1"/>
    <col min="2414" max="2414" width="8" bestFit="1" customWidth="1"/>
    <col min="2415" max="2415" width="5" bestFit="1" customWidth="1"/>
    <col min="2416" max="2418" width="8" bestFit="1" customWidth="1"/>
    <col min="2419" max="2419" width="5" bestFit="1" customWidth="1"/>
    <col min="2420" max="2420" width="8" bestFit="1" customWidth="1"/>
    <col min="2421" max="2421" width="7" bestFit="1" customWidth="1"/>
    <col min="2422" max="2422" width="8" bestFit="1" customWidth="1"/>
    <col min="2423" max="2423" width="5" bestFit="1" customWidth="1"/>
    <col min="2424" max="2424" width="8" bestFit="1" customWidth="1"/>
    <col min="2425" max="2425" width="5" bestFit="1" customWidth="1"/>
    <col min="2426" max="2426" width="7" bestFit="1" customWidth="1"/>
    <col min="2427" max="2427" width="8" bestFit="1" customWidth="1"/>
    <col min="2428" max="2428" width="5" bestFit="1" customWidth="1"/>
    <col min="2429" max="2429" width="8" bestFit="1" customWidth="1"/>
    <col min="2430" max="2430" width="5" bestFit="1" customWidth="1"/>
    <col min="2431" max="2431" width="8" bestFit="1" customWidth="1"/>
    <col min="2432" max="2432" width="5" bestFit="1" customWidth="1"/>
    <col min="2433" max="2433" width="7" bestFit="1" customWidth="1"/>
    <col min="2434" max="2435" width="8" bestFit="1" customWidth="1"/>
    <col min="2436" max="2436" width="5" bestFit="1" customWidth="1"/>
    <col min="2437" max="2439" width="8" bestFit="1" customWidth="1"/>
    <col min="2440" max="2440" width="5" bestFit="1" customWidth="1"/>
    <col min="2441" max="2447" width="8" bestFit="1" customWidth="1"/>
    <col min="2448" max="2448" width="5" bestFit="1" customWidth="1"/>
    <col min="2449" max="2453" width="8" bestFit="1" customWidth="1"/>
    <col min="2454" max="2454" width="7" bestFit="1" customWidth="1"/>
    <col min="2455" max="2455" width="5" bestFit="1" customWidth="1"/>
    <col min="2456" max="2456" width="8" bestFit="1" customWidth="1"/>
    <col min="2457" max="2457" width="7" bestFit="1" customWidth="1"/>
    <col min="2458" max="2458" width="5" bestFit="1" customWidth="1"/>
    <col min="2459" max="2459" width="8" bestFit="1" customWidth="1"/>
    <col min="2460" max="2460" width="7" bestFit="1" customWidth="1"/>
    <col min="2461" max="2461" width="8" bestFit="1" customWidth="1"/>
    <col min="2462" max="2462" width="7" bestFit="1" customWidth="1"/>
    <col min="2463" max="2464" width="8" bestFit="1" customWidth="1"/>
    <col min="2465" max="2465" width="5" bestFit="1" customWidth="1"/>
    <col min="2466" max="2466" width="7" bestFit="1" customWidth="1"/>
    <col min="2467" max="2469" width="8" bestFit="1" customWidth="1"/>
    <col min="2470" max="2470" width="5" bestFit="1" customWidth="1"/>
    <col min="2471" max="2472" width="8" bestFit="1" customWidth="1"/>
    <col min="2473" max="2473" width="5" bestFit="1" customWidth="1"/>
    <col min="2474" max="2477" width="9" bestFit="1" customWidth="1"/>
    <col min="2478" max="2479" width="6" bestFit="1" customWidth="1"/>
    <col min="2480" max="2480" width="9" bestFit="1" customWidth="1"/>
    <col min="2481" max="2481" width="6" bestFit="1" customWidth="1"/>
    <col min="2482" max="2487" width="9" bestFit="1" customWidth="1"/>
    <col min="2488" max="2488" width="6" bestFit="1" customWidth="1"/>
    <col min="2489" max="2489" width="9" bestFit="1" customWidth="1"/>
    <col min="2490" max="2490" width="8" bestFit="1" customWidth="1"/>
    <col min="2491" max="2491" width="6" bestFit="1" customWidth="1"/>
    <col min="2492" max="2494" width="9" bestFit="1" customWidth="1"/>
    <col min="2495" max="2497" width="6" bestFit="1" customWidth="1"/>
    <col min="2498" max="2498" width="9" bestFit="1" customWidth="1"/>
    <col min="2499" max="2500" width="6" bestFit="1" customWidth="1"/>
    <col min="2501" max="2501" width="9" bestFit="1" customWidth="1"/>
    <col min="2502" max="2502" width="6" bestFit="1" customWidth="1"/>
    <col min="2503" max="2503" width="9" bestFit="1" customWidth="1"/>
    <col min="2504" max="2504" width="6" bestFit="1" customWidth="1"/>
    <col min="2505" max="2505" width="9" bestFit="1" customWidth="1"/>
    <col min="2506" max="2506" width="6" bestFit="1" customWidth="1"/>
    <col min="2507" max="2507" width="9" bestFit="1" customWidth="1"/>
    <col min="2508" max="2508" width="6" bestFit="1" customWidth="1"/>
    <col min="2509" max="2509" width="9" bestFit="1" customWidth="1"/>
    <col min="2510" max="2512" width="6" bestFit="1" customWidth="1"/>
    <col min="2513" max="2513" width="9" bestFit="1" customWidth="1"/>
    <col min="2514" max="2514" width="6" bestFit="1" customWidth="1"/>
    <col min="2515" max="2518" width="9" bestFit="1" customWidth="1"/>
    <col min="2519" max="2519" width="6" bestFit="1" customWidth="1"/>
    <col min="2520" max="2521" width="8" bestFit="1" customWidth="1"/>
    <col min="2522" max="2523" width="9" bestFit="1" customWidth="1"/>
    <col min="2524" max="2525" width="6" bestFit="1" customWidth="1"/>
    <col min="2526" max="2536" width="9" bestFit="1" customWidth="1"/>
    <col min="2537" max="2537" width="6" bestFit="1" customWidth="1"/>
    <col min="2538" max="2538" width="9" bestFit="1" customWidth="1"/>
    <col min="2539" max="2539" width="6" bestFit="1" customWidth="1"/>
    <col min="2540" max="2541" width="9" bestFit="1" customWidth="1"/>
    <col min="2542" max="2545" width="6" bestFit="1" customWidth="1"/>
    <col min="2546" max="2548" width="9" bestFit="1" customWidth="1"/>
    <col min="2549" max="2549" width="8" bestFit="1" customWidth="1"/>
    <col min="2550" max="2550" width="9" bestFit="1" customWidth="1"/>
    <col min="2551" max="2551" width="6" bestFit="1" customWidth="1"/>
    <col min="2552" max="2556" width="9" bestFit="1" customWidth="1"/>
    <col min="2557" max="2557" width="6" bestFit="1" customWidth="1"/>
    <col min="2558" max="2558" width="9" bestFit="1" customWidth="1"/>
    <col min="2559" max="2559" width="6" bestFit="1" customWidth="1"/>
    <col min="2560" max="2561" width="9" bestFit="1" customWidth="1"/>
    <col min="2562" max="2562" width="6" bestFit="1" customWidth="1"/>
    <col min="2563" max="2566" width="9" bestFit="1" customWidth="1"/>
    <col min="2567" max="2567" width="6" bestFit="1" customWidth="1"/>
    <col min="2568" max="2572" width="9" bestFit="1" customWidth="1"/>
    <col min="2573" max="2574" width="6" bestFit="1" customWidth="1"/>
    <col min="2575" max="2579" width="9" bestFit="1" customWidth="1"/>
    <col min="2580" max="2580" width="6" bestFit="1" customWidth="1"/>
    <col min="2581" max="2581" width="9" bestFit="1" customWidth="1"/>
    <col min="2582" max="2583" width="6" bestFit="1" customWidth="1"/>
    <col min="2584" max="2584" width="9" bestFit="1" customWidth="1"/>
    <col min="2585" max="2586" width="6" bestFit="1" customWidth="1"/>
    <col min="2587" max="2593" width="9" bestFit="1" customWidth="1"/>
    <col min="2594" max="2594" width="6" bestFit="1" customWidth="1"/>
    <col min="2595" max="2596" width="9" bestFit="1" customWidth="1"/>
    <col min="2597" max="2597" width="6" bestFit="1" customWidth="1"/>
    <col min="2598" max="2599" width="9" bestFit="1" customWidth="1"/>
    <col min="2600" max="2600" width="8" bestFit="1" customWidth="1"/>
    <col min="2601" max="2601" width="6" bestFit="1" customWidth="1"/>
    <col min="2602" max="2606" width="9" bestFit="1" customWidth="1"/>
    <col min="2607" max="2610" width="6" bestFit="1" customWidth="1"/>
    <col min="2611" max="2611" width="8" bestFit="1" customWidth="1"/>
    <col min="2612" max="2616" width="9" bestFit="1" customWidth="1"/>
    <col min="2617" max="2617" width="6" bestFit="1" customWidth="1"/>
    <col min="2618" max="2619" width="9" bestFit="1" customWidth="1"/>
    <col min="2620" max="2620" width="6" bestFit="1" customWidth="1"/>
    <col min="2621" max="2621" width="9" bestFit="1" customWidth="1"/>
    <col min="2622" max="2622" width="6" bestFit="1" customWidth="1"/>
    <col min="2623" max="2623" width="9" bestFit="1" customWidth="1"/>
    <col min="2624" max="2624" width="6" bestFit="1" customWidth="1"/>
    <col min="2625" max="2625" width="9" bestFit="1" customWidth="1"/>
    <col min="2626" max="2626" width="8" bestFit="1" customWidth="1"/>
    <col min="2627" max="2632" width="9" bestFit="1" customWidth="1"/>
    <col min="2633" max="2633" width="6" bestFit="1" customWidth="1"/>
    <col min="2634" max="2635" width="9" bestFit="1" customWidth="1"/>
    <col min="2636" max="2636" width="6" bestFit="1" customWidth="1"/>
    <col min="2637" max="2640" width="9" bestFit="1" customWidth="1"/>
    <col min="2641" max="2641" width="8" bestFit="1" customWidth="1"/>
    <col min="2642" max="2642" width="6" bestFit="1" customWidth="1"/>
    <col min="2643" max="2654" width="9" bestFit="1" customWidth="1"/>
    <col min="2655" max="2655" width="6" bestFit="1" customWidth="1"/>
    <col min="2656" max="2656" width="9" bestFit="1" customWidth="1"/>
    <col min="2657" max="2658" width="6" bestFit="1" customWidth="1"/>
    <col min="2659" max="2659" width="8" bestFit="1" customWidth="1"/>
    <col min="2660" max="2666" width="9" bestFit="1" customWidth="1"/>
    <col min="2667" max="2667" width="6" bestFit="1" customWidth="1"/>
    <col min="2668" max="2674" width="9" bestFit="1" customWidth="1"/>
    <col min="2675" max="2675" width="6" bestFit="1" customWidth="1"/>
    <col min="2676" max="2682" width="9" bestFit="1" customWidth="1"/>
    <col min="2683" max="2683" width="6" bestFit="1" customWidth="1"/>
    <col min="2684" max="2684" width="9" bestFit="1" customWidth="1"/>
    <col min="2685" max="2685" width="6" bestFit="1" customWidth="1"/>
    <col min="2686" max="2686" width="8" bestFit="1" customWidth="1"/>
    <col min="2687" max="2688" width="9" bestFit="1" customWidth="1"/>
    <col min="2689" max="2689" width="6" bestFit="1" customWidth="1"/>
    <col min="2690" max="2690" width="9" bestFit="1" customWidth="1"/>
    <col min="2691" max="2691" width="6" bestFit="1" customWidth="1"/>
    <col min="2692" max="2696" width="9" bestFit="1" customWidth="1"/>
    <col min="2697" max="2697" width="8" bestFit="1" customWidth="1"/>
    <col min="2698" max="2698" width="6" bestFit="1" customWidth="1"/>
    <col min="2699" max="2700" width="9" bestFit="1" customWidth="1"/>
    <col min="2701" max="2701" width="6" bestFit="1" customWidth="1"/>
    <col min="2702" max="2704" width="9" bestFit="1" customWidth="1"/>
    <col min="2705" max="2705" width="6" bestFit="1" customWidth="1"/>
    <col min="2706" max="2706" width="9" bestFit="1" customWidth="1"/>
    <col min="2707" max="2707" width="8" bestFit="1" customWidth="1"/>
    <col min="2708" max="2709" width="9" bestFit="1" customWidth="1"/>
    <col min="2710" max="2710" width="6" bestFit="1" customWidth="1"/>
    <col min="2711" max="2715" width="9" bestFit="1" customWidth="1"/>
    <col min="2716" max="2717" width="6" bestFit="1" customWidth="1"/>
    <col min="2718" max="2722" width="9" bestFit="1" customWidth="1"/>
    <col min="2723" max="2723" width="6" bestFit="1" customWidth="1"/>
    <col min="2724" max="2725" width="9" bestFit="1" customWidth="1"/>
    <col min="2726" max="2726" width="6" bestFit="1" customWidth="1"/>
    <col min="2727" max="2728" width="9" bestFit="1" customWidth="1"/>
    <col min="2729" max="2729" width="6" bestFit="1" customWidth="1"/>
    <col min="2730" max="2730" width="9" bestFit="1" customWidth="1"/>
    <col min="2731" max="2731" width="6" bestFit="1" customWidth="1"/>
    <col min="2732" max="2732" width="9" bestFit="1" customWidth="1"/>
    <col min="2733" max="2733" width="6" bestFit="1" customWidth="1"/>
    <col min="2734" max="2736" width="9" bestFit="1" customWidth="1"/>
    <col min="2737" max="2737" width="6" bestFit="1" customWidth="1"/>
    <col min="2738" max="2738" width="9" bestFit="1" customWidth="1"/>
    <col min="2739" max="2740" width="6" bestFit="1" customWidth="1"/>
    <col min="2741" max="2743" width="9" bestFit="1" customWidth="1"/>
    <col min="2744" max="2745" width="6" bestFit="1" customWidth="1"/>
    <col min="2746" max="2746" width="9" bestFit="1" customWidth="1"/>
    <col min="2747" max="2747" width="6" bestFit="1" customWidth="1"/>
    <col min="2748" max="2748" width="8" bestFit="1" customWidth="1"/>
    <col min="2749" max="2750" width="9" bestFit="1" customWidth="1"/>
    <col min="2751" max="2751" width="6" bestFit="1" customWidth="1"/>
    <col min="2752" max="2752" width="9" bestFit="1" customWidth="1"/>
    <col min="2753" max="2753" width="6" bestFit="1" customWidth="1"/>
    <col min="2754" max="2755" width="9" bestFit="1" customWidth="1"/>
    <col min="2756" max="2756" width="6" bestFit="1" customWidth="1"/>
    <col min="2757" max="2758" width="9" bestFit="1" customWidth="1"/>
    <col min="2759" max="2759" width="6" bestFit="1" customWidth="1"/>
    <col min="2760" max="2760" width="8" bestFit="1" customWidth="1"/>
    <col min="2761" max="2762" width="6" bestFit="1" customWidth="1"/>
    <col min="2763" max="2765" width="9" bestFit="1" customWidth="1"/>
    <col min="2766" max="2766" width="6" bestFit="1" customWidth="1"/>
    <col min="2767" max="2772" width="9" bestFit="1" customWidth="1"/>
    <col min="2773" max="2773" width="6" bestFit="1" customWidth="1"/>
    <col min="2774" max="2775" width="9" bestFit="1" customWidth="1"/>
    <col min="2776" max="2776" width="6" bestFit="1" customWidth="1"/>
    <col min="2777" max="2777" width="9" bestFit="1" customWidth="1"/>
    <col min="2778" max="2780" width="6" bestFit="1" customWidth="1"/>
    <col min="2781" max="2781" width="9" bestFit="1" customWidth="1"/>
    <col min="2782" max="2782" width="6" bestFit="1" customWidth="1"/>
    <col min="2783" max="2784" width="9" bestFit="1" customWidth="1"/>
    <col min="2785" max="2785" width="6" bestFit="1" customWidth="1"/>
    <col min="2786" max="2786" width="9" bestFit="1" customWidth="1"/>
    <col min="2787" max="2787" width="6" bestFit="1" customWidth="1"/>
    <col min="2788" max="2788" width="9" bestFit="1" customWidth="1"/>
    <col min="2789" max="2789" width="6" bestFit="1" customWidth="1"/>
    <col min="2790" max="2795" width="9" bestFit="1" customWidth="1"/>
    <col min="2796" max="2796" width="6" bestFit="1" customWidth="1"/>
    <col min="2797" max="2800" width="9" bestFit="1" customWidth="1"/>
    <col min="2801" max="2801" width="6" bestFit="1" customWidth="1"/>
    <col min="2802" max="2803" width="9" bestFit="1" customWidth="1"/>
    <col min="2804" max="2804" width="6" bestFit="1" customWidth="1"/>
    <col min="2805" max="2807" width="9" bestFit="1" customWidth="1"/>
    <col min="2808" max="2809" width="6" bestFit="1" customWidth="1"/>
    <col min="2810" max="2810" width="9" bestFit="1" customWidth="1"/>
    <col min="2811" max="2811" width="6" bestFit="1" customWidth="1"/>
    <col min="2812" max="2813" width="9" bestFit="1" customWidth="1"/>
    <col min="2814" max="2814" width="8" bestFit="1" customWidth="1"/>
    <col min="2815" max="2816" width="9" bestFit="1" customWidth="1"/>
    <col min="2817" max="2817" width="6" bestFit="1" customWidth="1"/>
    <col min="2818" max="2818" width="9" bestFit="1" customWidth="1"/>
    <col min="2819" max="2819" width="6" bestFit="1" customWidth="1"/>
    <col min="2820" max="2820" width="9" bestFit="1" customWidth="1"/>
    <col min="2821" max="2821" width="6" bestFit="1" customWidth="1"/>
    <col min="2822" max="2822" width="9" bestFit="1" customWidth="1"/>
    <col min="2823" max="2824" width="6" bestFit="1" customWidth="1"/>
    <col min="2825" max="2827" width="9" bestFit="1" customWidth="1"/>
    <col min="2828" max="2830" width="6" bestFit="1" customWidth="1"/>
    <col min="2831" max="2835" width="9" bestFit="1" customWidth="1"/>
    <col min="2836" max="2836" width="6" bestFit="1" customWidth="1"/>
    <col min="2837" max="2837" width="8" bestFit="1" customWidth="1"/>
    <col min="2838" max="2839" width="9" bestFit="1" customWidth="1"/>
    <col min="2840" max="2840" width="8" bestFit="1" customWidth="1"/>
    <col min="2841" max="2841" width="9" bestFit="1" customWidth="1"/>
    <col min="2842" max="2842" width="6" bestFit="1" customWidth="1"/>
    <col min="2843" max="2848" width="9" bestFit="1" customWidth="1"/>
    <col min="2849" max="2850" width="6" bestFit="1" customWidth="1"/>
    <col min="2851" max="2851" width="8" bestFit="1" customWidth="1"/>
    <col min="2852" max="2852" width="9" bestFit="1" customWidth="1"/>
    <col min="2853" max="2854" width="6" bestFit="1" customWidth="1"/>
    <col min="2855" max="2855" width="8" bestFit="1" customWidth="1"/>
    <col min="2856" max="2857" width="9" bestFit="1" customWidth="1"/>
    <col min="2858" max="2858" width="8" bestFit="1" customWidth="1"/>
    <col min="2859" max="2860" width="9" bestFit="1" customWidth="1"/>
    <col min="2861" max="2861" width="8" bestFit="1" customWidth="1"/>
    <col min="2862" max="2863" width="6" bestFit="1" customWidth="1"/>
    <col min="2864" max="2864" width="9" bestFit="1" customWidth="1"/>
    <col min="2865" max="2865" width="8" bestFit="1" customWidth="1"/>
    <col min="2866" max="2866" width="6" bestFit="1" customWidth="1"/>
    <col min="2867" max="2875" width="9" bestFit="1" customWidth="1"/>
    <col min="2876" max="2876" width="6" bestFit="1" customWidth="1"/>
    <col min="2877" max="2877" width="8" bestFit="1" customWidth="1"/>
    <col min="2878" max="2881" width="9" bestFit="1" customWidth="1"/>
    <col min="2882" max="2883" width="6" bestFit="1" customWidth="1"/>
    <col min="2884" max="2885" width="9" bestFit="1" customWidth="1"/>
    <col min="2886" max="2886" width="6" bestFit="1" customWidth="1"/>
    <col min="2887" max="2888" width="9" bestFit="1" customWidth="1"/>
    <col min="2889" max="2891" width="6" bestFit="1" customWidth="1"/>
    <col min="2892" max="2895" width="9" bestFit="1" customWidth="1"/>
    <col min="2896" max="2896" width="6" bestFit="1" customWidth="1"/>
    <col min="2897" max="2897" width="9" bestFit="1" customWidth="1"/>
    <col min="2898" max="2898" width="6" bestFit="1" customWidth="1"/>
    <col min="2899" max="2899" width="9" bestFit="1" customWidth="1"/>
    <col min="2900" max="2901" width="6" bestFit="1" customWidth="1"/>
    <col min="2902" max="2905" width="9" bestFit="1" customWidth="1"/>
    <col min="2906" max="2907" width="6" bestFit="1" customWidth="1"/>
    <col min="2908" max="2912" width="9" bestFit="1" customWidth="1"/>
    <col min="2913" max="2915" width="6" bestFit="1" customWidth="1"/>
    <col min="2916" max="2919" width="9" bestFit="1" customWidth="1"/>
    <col min="2920" max="2920" width="6" bestFit="1" customWidth="1"/>
    <col min="2921" max="2922" width="9" bestFit="1" customWidth="1"/>
    <col min="2923" max="2923" width="6" bestFit="1" customWidth="1"/>
    <col min="2924" max="2924" width="8" bestFit="1" customWidth="1"/>
    <col min="2925" max="2926" width="9" bestFit="1" customWidth="1"/>
    <col min="2927" max="2927" width="6" bestFit="1" customWidth="1"/>
    <col min="2928" max="2930" width="9" bestFit="1" customWidth="1"/>
    <col min="2931" max="2931" width="6" bestFit="1" customWidth="1"/>
    <col min="2932" max="2935" width="9" bestFit="1" customWidth="1"/>
    <col min="2936" max="2936" width="6" bestFit="1" customWidth="1"/>
    <col min="2937" max="2937" width="9" bestFit="1" customWidth="1"/>
    <col min="2938" max="2938" width="8" bestFit="1" customWidth="1"/>
    <col min="2939" max="2941" width="9" bestFit="1" customWidth="1"/>
    <col min="2942" max="2942" width="6" bestFit="1" customWidth="1"/>
    <col min="2943" max="2944" width="9" bestFit="1" customWidth="1"/>
    <col min="2945" max="2945" width="6" bestFit="1" customWidth="1"/>
    <col min="2946" max="2947" width="9" bestFit="1" customWidth="1"/>
    <col min="2948" max="2948" width="6" bestFit="1" customWidth="1"/>
    <col min="2949" max="2951" width="9" bestFit="1" customWidth="1"/>
    <col min="2952" max="2953" width="6" bestFit="1" customWidth="1"/>
    <col min="2954" max="2958" width="9" bestFit="1" customWidth="1"/>
    <col min="2959" max="2959" width="8" bestFit="1" customWidth="1"/>
    <col min="2960" max="2960" width="9" bestFit="1" customWidth="1"/>
    <col min="2961" max="2961" width="6" bestFit="1" customWidth="1"/>
    <col min="2962" max="2963" width="9" bestFit="1" customWidth="1"/>
    <col min="2964" max="2964" width="6" bestFit="1" customWidth="1"/>
    <col min="2965" max="2970" width="9" bestFit="1" customWidth="1"/>
    <col min="2971" max="2971" width="6" bestFit="1" customWidth="1"/>
    <col min="2972" max="2972" width="9" bestFit="1" customWidth="1"/>
    <col min="2973" max="2973" width="6" bestFit="1" customWidth="1"/>
    <col min="2974" max="2983" width="9" bestFit="1" customWidth="1"/>
    <col min="2984" max="2984" width="6" bestFit="1" customWidth="1"/>
    <col min="2985" max="2987" width="9" bestFit="1" customWidth="1"/>
    <col min="2988" max="2988" width="6" bestFit="1" customWidth="1"/>
    <col min="2989" max="2991" width="9" bestFit="1" customWidth="1"/>
    <col min="2992" max="2992" width="6" bestFit="1" customWidth="1"/>
    <col min="2993" max="2999" width="9" bestFit="1" customWidth="1"/>
    <col min="3000" max="3000" width="8" bestFit="1" customWidth="1"/>
    <col min="3001" max="3001" width="6" bestFit="1" customWidth="1"/>
    <col min="3002" max="3002" width="9" bestFit="1" customWidth="1"/>
    <col min="3003" max="3003" width="6" bestFit="1" customWidth="1"/>
    <col min="3004" max="3004" width="9" bestFit="1" customWidth="1"/>
    <col min="3005" max="3005" width="8" bestFit="1" customWidth="1"/>
    <col min="3006" max="3010" width="9" bestFit="1" customWidth="1"/>
    <col min="3011" max="3011" width="6" bestFit="1" customWidth="1"/>
    <col min="3012" max="3014" width="9" bestFit="1" customWidth="1"/>
    <col min="3015" max="3015" width="6" bestFit="1" customWidth="1"/>
    <col min="3016" max="3017" width="9" bestFit="1" customWidth="1"/>
    <col min="3018" max="3018" width="6" bestFit="1" customWidth="1"/>
    <col min="3019" max="3020" width="9" bestFit="1" customWidth="1"/>
    <col min="3021" max="3023" width="6" bestFit="1" customWidth="1"/>
    <col min="3024" max="3027" width="9" bestFit="1" customWidth="1"/>
    <col min="3028" max="3028" width="8" bestFit="1" customWidth="1"/>
    <col min="3029" max="3031" width="9" bestFit="1" customWidth="1"/>
    <col min="3032" max="3032" width="8" bestFit="1" customWidth="1"/>
    <col min="3033" max="3033" width="9" bestFit="1" customWidth="1"/>
    <col min="3034" max="3034" width="6" bestFit="1" customWidth="1"/>
    <col min="3035" max="3041" width="9" bestFit="1" customWidth="1"/>
    <col min="3042" max="3042" width="10.77734375" bestFit="1" customWidth="1"/>
  </cols>
  <sheetData>
    <row r="1" spans="1:69" x14ac:dyDescent="0.3">
      <c r="E1" s="5" t="s">
        <v>371</v>
      </c>
      <c r="F1" t="s">
        <v>373</v>
      </c>
      <c r="K1" s="5" t="s">
        <v>371</v>
      </c>
      <c r="L1" t="s">
        <v>378</v>
      </c>
      <c r="M1" t="s">
        <v>387</v>
      </c>
      <c r="Q1" s="21"/>
      <c r="R1" s="20"/>
      <c r="S1" s="20"/>
      <c r="W1" s="4" t="s">
        <v>385</v>
      </c>
      <c r="X1">
        <f>GETPIVOTDATA("[Measures].[Distinct Count of Country]",$W$3)</f>
        <v>6</v>
      </c>
      <c r="AJ1" s="4" t="s">
        <v>386</v>
      </c>
      <c r="AK1">
        <f>GETPIVOTDATA("[Measures].[Distinct Count of Sales Person]",$AJ$3)</f>
        <v>25</v>
      </c>
      <c r="AT1" s="5" t="s">
        <v>368</v>
      </c>
      <c r="AU1" s="5" t="s">
        <v>369</v>
      </c>
    </row>
    <row r="2" spans="1:69" x14ac:dyDescent="0.3">
      <c r="E2" s="6" t="s">
        <v>26</v>
      </c>
      <c r="F2" s="3">
        <v>29810</v>
      </c>
      <c r="I2" s="3"/>
      <c r="J2" s="3"/>
      <c r="K2" s="15" t="s">
        <v>374</v>
      </c>
      <c r="L2" s="49">
        <v>6183625</v>
      </c>
      <c r="M2" s="16"/>
      <c r="Q2" s="4" t="s">
        <v>384</v>
      </c>
      <c r="R2" s="20">
        <f>GETPIVOTDATA("[Measures].[Distinct Count of Product]",$Q$4)</f>
        <v>22</v>
      </c>
      <c r="S2" s="20"/>
      <c r="AT2" s="5" t="s">
        <v>371</v>
      </c>
      <c r="AU2" s="1" t="s">
        <v>374</v>
      </c>
      <c r="AV2" s="1" t="s">
        <v>375</v>
      </c>
      <c r="AW2" s="1" t="s">
        <v>376</v>
      </c>
      <c r="AX2" s="1" t="s">
        <v>370</v>
      </c>
      <c r="BL2" s="5" t="s">
        <v>371</v>
      </c>
      <c r="BM2" t="s">
        <v>368</v>
      </c>
      <c r="BP2" s="19" t="e">
        <f>(#REF!-#REF!)</f>
        <v>#REF!</v>
      </c>
      <c r="BQ2" s="16" t="e">
        <f>BP2/#REF!</f>
        <v>#REF!</v>
      </c>
    </row>
    <row r="3" spans="1:69" x14ac:dyDescent="0.3">
      <c r="A3" t="s">
        <v>368</v>
      </c>
      <c r="B3" t="s">
        <v>373</v>
      </c>
      <c r="E3" s="6" t="s">
        <v>18</v>
      </c>
      <c r="F3" s="3">
        <v>26969</v>
      </c>
      <c r="I3" s="3"/>
      <c r="J3" s="3"/>
      <c r="K3" s="15" t="s">
        <v>375</v>
      </c>
      <c r="L3" s="49">
        <v>6643377.9599999906</v>
      </c>
      <c r="M3" s="16">
        <v>7.4350071357818542E-2</v>
      </c>
      <c r="W3" s="5" t="s">
        <v>1</v>
      </c>
      <c r="X3" t="s">
        <v>385</v>
      </c>
      <c r="AJ3" s="5" t="s">
        <v>0</v>
      </c>
      <c r="AK3" t="s">
        <v>386</v>
      </c>
      <c r="AT3" s="6" t="s">
        <v>15</v>
      </c>
      <c r="AU3" s="3">
        <v>1137367</v>
      </c>
      <c r="AV3" s="3">
        <v>1227533.7199999993</v>
      </c>
      <c r="AW3" s="3">
        <v>1281543.6300000004</v>
      </c>
      <c r="AX3" s="3">
        <v>3646444.3499999996</v>
      </c>
      <c r="BL3" s="6" t="s">
        <v>18</v>
      </c>
      <c r="BM3" s="3">
        <v>1120201.0900000003</v>
      </c>
      <c r="BP3" s="19" t="e">
        <f>(#REF!-#REF!)</f>
        <v>#REF!</v>
      </c>
      <c r="BQ3" s="16" t="e">
        <f>BP3/#REF!</f>
        <v>#REF!</v>
      </c>
    </row>
    <row r="4" spans="1:69" x14ac:dyDescent="0.3">
      <c r="A4" s="17">
        <v>19791571.859999985</v>
      </c>
      <c r="B4" s="18">
        <v>540377</v>
      </c>
      <c r="C4" s="18"/>
      <c r="D4" s="18"/>
      <c r="E4" s="6" t="s">
        <v>36</v>
      </c>
      <c r="F4" s="3">
        <v>26678</v>
      </c>
      <c r="I4" s="3"/>
      <c r="J4" s="3"/>
      <c r="K4" s="15" t="s">
        <v>376</v>
      </c>
      <c r="L4" s="49">
        <v>6964568.899999992</v>
      </c>
      <c r="M4" s="16">
        <v>4.8347533729663307E-2</v>
      </c>
      <c r="Q4" s="5" t="s">
        <v>2</v>
      </c>
      <c r="R4" t="s">
        <v>384</v>
      </c>
      <c r="T4" s="18"/>
      <c r="U4" s="18"/>
      <c r="W4" t="s">
        <v>15</v>
      </c>
      <c r="X4" s="3">
        <v>1</v>
      </c>
      <c r="AJ4" t="s">
        <v>67</v>
      </c>
      <c r="AK4" s="3">
        <v>1</v>
      </c>
      <c r="AT4" s="6" t="s">
        <v>35</v>
      </c>
      <c r="AU4" s="3">
        <v>962899</v>
      </c>
      <c r="AV4" s="3">
        <v>1032494.6799999997</v>
      </c>
      <c r="AW4" s="3">
        <v>1083101.9700000002</v>
      </c>
      <c r="AX4" s="3">
        <v>3078495.65</v>
      </c>
      <c r="BL4" s="6" t="s">
        <v>26</v>
      </c>
      <c r="BM4" s="3">
        <v>1087659.3500000001</v>
      </c>
      <c r="BP4" s="19" t="e">
        <f>(#REF!-#REF!)</f>
        <v>#REF!</v>
      </c>
      <c r="BQ4" s="16" t="e">
        <f>BQ2+BQ3</f>
        <v>#REF!</v>
      </c>
    </row>
    <row r="5" spans="1:69" x14ac:dyDescent="0.3">
      <c r="A5" s="21">
        <f>GETPIVOTDATA("Sum of Amount",$A$3)</f>
        <v>19791571.859999985</v>
      </c>
      <c r="B5" s="20">
        <f>GETPIVOTDATA("Sum of Boxes Shipped",$A$3)</f>
        <v>540377</v>
      </c>
      <c r="C5" s="20"/>
      <c r="D5" s="20"/>
      <c r="E5" s="6" t="s">
        <v>50</v>
      </c>
      <c r="F5" s="3">
        <v>26602</v>
      </c>
      <c r="I5" s="3"/>
      <c r="J5" s="3"/>
      <c r="K5" s="15" t="s">
        <v>370</v>
      </c>
      <c r="L5" s="3">
        <v>19791571.859999981</v>
      </c>
      <c r="M5" s="16"/>
      <c r="N5" s="16">
        <f>SUM(N3:N4)</f>
        <v>0</v>
      </c>
      <c r="Q5" t="s">
        <v>26</v>
      </c>
      <c r="R5" s="3">
        <v>1</v>
      </c>
      <c r="S5" s="3"/>
      <c r="T5" s="20"/>
      <c r="U5" s="20"/>
      <c r="W5" t="s">
        <v>35</v>
      </c>
      <c r="X5" s="3">
        <v>1</v>
      </c>
      <c r="AJ5" t="s">
        <v>31</v>
      </c>
      <c r="AK5" s="3">
        <v>1</v>
      </c>
      <c r="AT5" s="6" t="s">
        <v>10</v>
      </c>
      <c r="AU5" s="3">
        <v>1045800</v>
      </c>
      <c r="AV5" s="3">
        <v>1117250.3899999997</v>
      </c>
      <c r="AW5" s="3">
        <v>1180680.4400000006</v>
      </c>
      <c r="AX5" s="3">
        <v>3343730.83</v>
      </c>
      <c r="BL5" s="6" t="s">
        <v>59</v>
      </c>
      <c r="BM5" s="3">
        <v>1054256.9999999998</v>
      </c>
    </row>
    <row r="6" spans="1:69" x14ac:dyDescent="0.3">
      <c r="A6" s="21"/>
      <c r="B6" s="20"/>
      <c r="C6" s="20"/>
      <c r="D6" s="20"/>
      <c r="E6" s="6" t="s">
        <v>90</v>
      </c>
      <c r="F6" s="3">
        <v>26576</v>
      </c>
      <c r="Q6" t="s">
        <v>100</v>
      </c>
      <c r="R6" s="3">
        <v>1</v>
      </c>
      <c r="S6" s="3"/>
      <c r="T6" s="20"/>
      <c r="U6" s="20"/>
      <c r="W6" t="s">
        <v>10</v>
      </c>
      <c r="X6" s="3">
        <v>1</v>
      </c>
      <c r="AJ6" t="s">
        <v>41</v>
      </c>
      <c r="AK6" s="3">
        <v>1</v>
      </c>
      <c r="AT6" s="6" t="s">
        <v>25</v>
      </c>
      <c r="AU6" s="3">
        <v>950418</v>
      </c>
      <c r="AV6" s="3">
        <v>1025154.1000000006</v>
      </c>
      <c r="AW6" s="3">
        <v>1068081.9399999992</v>
      </c>
      <c r="AX6" s="3">
        <v>3043654.04</v>
      </c>
      <c r="BL6" s="6" t="s">
        <v>13</v>
      </c>
      <c r="BM6" s="3">
        <v>1036591.0900000001</v>
      </c>
    </row>
    <row r="7" spans="1:69" x14ac:dyDescent="0.3">
      <c r="A7" s="21"/>
      <c r="B7" s="20"/>
      <c r="C7" s="20"/>
      <c r="D7" s="20"/>
      <c r="E7" s="6" t="s">
        <v>38</v>
      </c>
      <c r="F7" s="3">
        <v>26402</v>
      </c>
      <c r="G7" s="20"/>
      <c r="H7" s="20"/>
      <c r="I7" s="20"/>
      <c r="J7" s="20"/>
      <c r="K7" s="20"/>
      <c r="L7" s="20"/>
      <c r="M7" s="20"/>
      <c r="Q7" t="s">
        <v>11</v>
      </c>
      <c r="R7" s="3">
        <v>1</v>
      </c>
      <c r="S7" s="3"/>
      <c r="T7" s="20"/>
      <c r="U7" s="20"/>
      <c r="W7" t="s">
        <v>25</v>
      </c>
      <c r="X7" s="3">
        <v>1</v>
      </c>
      <c r="AJ7" t="s">
        <v>28</v>
      </c>
      <c r="AK7" s="3">
        <v>1</v>
      </c>
      <c r="AT7" s="6" t="s">
        <v>7</v>
      </c>
      <c r="AU7" s="3">
        <v>1051792</v>
      </c>
      <c r="AV7" s="3">
        <v>1128924.5599999998</v>
      </c>
      <c r="AW7" s="3">
        <v>1184672.3400000003</v>
      </c>
      <c r="AX7" s="3">
        <v>3365388.9</v>
      </c>
      <c r="BL7" s="6" t="s">
        <v>36</v>
      </c>
      <c r="BM7" s="3">
        <v>996947.96000000031</v>
      </c>
    </row>
    <row r="8" spans="1:69" x14ac:dyDescent="0.3">
      <c r="A8" s="21"/>
      <c r="B8" s="20"/>
      <c r="C8" s="20"/>
      <c r="D8" s="20"/>
      <c r="E8" s="6" t="s">
        <v>46</v>
      </c>
      <c r="F8" s="3">
        <v>25436</v>
      </c>
      <c r="G8" s="20"/>
      <c r="H8" s="20"/>
      <c r="I8" s="20"/>
      <c r="J8" s="20"/>
      <c r="K8" s="20"/>
      <c r="L8" s="20"/>
      <c r="M8" s="20"/>
      <c r="Q8" t="s">
        <v>20</v>
      </c>
      <c r="R8" s="3">
        <v>1</v>
      </c>
      <c r="S8" s="3"/>
      <c r="T8" s="20"/>
      <c r="U8" s="20"/>
      <c r="W8" t="s">
        <v>7</v>
      </c>
      <c r="X8" s="3">
        <v>1</v>
      </c>
      <c r="AJ8" t="s">
        <v>71</v>
      </c>
      <c r="AK8" s="3">
        <v>1</v>
      </c>
      <c r="AT8" s="6" t="s">
        <v>32</v>
      </c>
      <c r="AU8" s="3">
        <v>1035349</v>
      </c>
      <c r="AV8" s="3">
        <v>1112020.5099999993</v>
      </c>
      <c r="AW8" s="3">
        <v>1166488.5799999998</v>
      </c>
      <c r="AX8" s="3">
        <v>3313858.0899999989</v>
      </c>
      <c r="BL8" s="6" t="s">
        <v>370</v>
      </c>
      <c r="BM8" s="3">
        <v>5295656.49</v>
      </c>
    </row>
    <row r="9" spans="1:69" x14ac:dyDescent="0.3">
      <c r="A9" s="21"/>
      <c r="B9" s="20"/>
      <c r="C9" s="20"/>
      <c r="D9" s="20"/>
      <c r="E9" s="6" t="s">
        <v>13</v>
      </c>
      <c r="F9" s="3">
        <v>25339</v>
      </c>
      <c r="G9" s="20"/>
      <c r="H9" s="20"/>
      <c r="I9" s="20"/>
      <c r="J9" s="20"/>
      <c r="M9" s="20"/>
      <c r="Q9" t="s">
        <v>23</v>
      </c>
      <c r="R9" s="3">
        <v>1</v>
      </c>
      <c r="S9" s="3"/>
      <c r="T9" s="20"/>
      <c r="U9" s="20"/>
      <c r="W9" t="s">
        <v>32</v>
      </c>
      <c r="X9" s="3">
        <v>1</v>
      </c>
      <c r="AJ9" t="s">
        <v>83</v>
      </c>
      <c r="AK9" s="3">
        <v>1</v>
      </c>
      <c r="AT9" s="6" t="s">
        <v>370</v>
      </c>
      <c r="AU9" s="3">
        <v>6183625</v>
      </c>
      <c r="AV9" s="3">
        <v>6643377.9599999972</v>
      </c>
      <c r="AW9" s="3">
        <v>6964568.9000000004</v>
      </c>
      <c r="AX9" s="3">
        <v>19791571.859999999</v>
      </c>
    </row>
    <row r="10" spans="1:69" x14ac:dyDescent="0.3">
      <c r="A10" s="21"/>
      <c r="B10" s="20"/>
      <c r="C10" s="20"/>
      <c r="D10" s="20"/>
      <c r="E10" s="6" t="s">
        <v>59</v>
      </c>
      <c r="F10" s="3">
        <v>25158</v>
      </c>
      <c r="G10" s="20"/>
      <c r="H10" s="20"/>
      <c r="I10" s="20"/>
      <c r="J10" s="20"/>
      <c r="M10" s="20"/>
      <c r="Q10" t="s">
        <v>65</v>
      </c>
      <c r="R10" s="3">
        <v>1</v>
      </c>
      <c r="S10" s="3"/>
      <c r="T10" s="20"/>
      <c r="U10" s="20"/>
      <c r="W10" t="s">
        <v>370</v>
      </c>
      <c r="X10" s="3">
        <v>6</v>
      </c>
      <c r="AJ10" t="s">
        <v>48</v>
      </c>
      <c r="AK10" s="3">
        <v>1</v>
      </c>
    </row>
    <row r="11" spans="1:69" x14ac:dyDescent="0.3">
      <c r="E11" s="6" t="s">
        <v>23</v>
      </c>
      <c r="F11" s="3">
        <v>25156</v>
      </c>
      <c r="Q11" t="s">
        <v>87</v>
      </c>
      <c r="R11" s="3">
        <v>1</v>
      </c>
      <c r="S11" s="3"/>
      <c r="T11" s="20"/>
      <c r="U11" s="20"/>
      <c r="AJ11" t="s">
        <v>58</v>
      </c>
      <c r="AK11" s="3">
        <v>1</v>
      </c>
    </row>
    <row r="12" spans="1:69" x14ac:dyDescent="0.3">
      <c r="E12" s="6" t="s">
        <v>370</v>
      </c>
      <c r="F12" s="3">
        <v>264126</v>
      </c>
      <c r="Q12" t="s">
        <v>90</v>
      </c>
      <c r="R12" s="3">
        <v>1</v>
      </c>
      <c r="S12" s="3"/>
      <c r="T12" s="20"/>
      <c r="U12" s="20"/>
      <c r="AJ12" t="s">
        <v>79</v>
      </c>
      <c r="AK12" s="3">
        <v>1</v>
      </c>
    </row>
    <row r="13" spans="1:69" x14ac:dyDescent="0.3">
      <c r="Q13" t="s">
        <v>75</v>
      </c>
      <c r="R13" s="3">
        <v>1</v>
      </c>
      <c r="S13" s="3"/>
      <c r="AJ13" t="s">
        <v>12</v>
      </c>
      <c r="AK13" s="3">
        <v>1</v>
      </c>
    </row>
    <row r="14" spans="1:69" x14ac:dyDescent="0.3">
      <c r="Q14" t="s">
        <v>38</v>
      </c>
      <c r="R14" s="3">
        <v>1</v>
      </c>
      <c r="S14" s="3"/>
      <c r="AJ14" t="s">
        <v>22</v>
      </c>
      <c r="AK14" s="3">
        <v>1</v>
      </c>
    </row>
    <row r="15" spans="1:69" x14ac:dyDescent="0.3">
      <c r="Q15" t="s">
        <v>36</v>
      </c>
      <c r="R15" s="3">
        <v>1</v>
      </c>
      <c r="S15" s="3"/>
      <c r="T15" s="3"/>
      <c r="U15" s="3"/>
      <c r="AJ15" t="s">
        <v>53</v>
      </c>
      <c r="AK15" s="3">
        <v>1</v>
      </c>
    </row>
    <row r="16" spans="1:69" x14ac:dyDescent="0.3">
      <c r="Q16" t="s">
        <v>57</v>
      </c>
      <c r="R16" s="3">
        <v>1</v>
      </c>
      <c r="S16" s="3"/>
      <c r="T16" s="3"/>
      <c r="U16" s="3"/>
      <c r="AJ16" t="s">
        <v>14</v>
      </c>
      <c r="AK16" s="3">
        <v>1</v>
      </c>
    </row>
    <row r="17" spans="16:37" x14ac:dyDescent="0.3">
      <c r="Q17" t="s">
        <v>60</v>
      </c>
      <c r="R17" s="3">
        <v>1</v>
      </c>
      <c r="S17" s="3"/>
      <c r="T17" s="3"/>
      <c r="U17" s="3"/>
      <c r="AJ17" t="s">
        <v>6</v>
      </c>
      <c r="AK17" s="3">
        <v>1</v>
      </c>
    </row>
    <row r="18" spans="16:37" x14ac:dyDescent="0.3">
      <c r="Q18" t="s">
        <v>46</v>
      </c>
      <c r="R18" s="3">
        <v>1</v>
      </c>
      <c r="S18" s="3"/>
      <c r="T18" s="3"/>
      <c r="U18" s="3"/>
      <c r="AJ18" t="s">
        <v>55</v>
      </c>
      <c r="AK18" s="3">
        <v>1</v>
      </c>
    </row>
    <row r="19" spans="16:37" x14ac:dyDescent="0.3">
      <c r="Q19" t="s">
        <v>8</v>
      </c>
      <c r="R19" s="3">
        <v>1</v>
      </c>
      <c r="S19" s="3"/>
      <c r="T19" s="3"/>
      <c r="U19" s="3"/>
      <c r="AJ19" t="s">
        <v>37</v>
      </c>
      <c r="AK19" s="3">
        <v>1</v>
      </c>
    </row>
    <row r="20" spans="16:37" x14ac:dyDescent="0.3">
      <c r="Q20" t="s">
        <v>33</v>
      </c>
      <c r="R20" s="3">
        <v>1</v>
      </c>
      <c r="S20" s="3"/>
      <c r="T20" s="3"/>
      <c r="U20" s="3"/>
      <c r="AJ20" t="s">
        <v>70</v>
      </c>
      <c r="AK20" s="3">
        <v>1</v>
      </c>
    </row>
    <row r="21" spans="16:37" x14ac:dyDescent="0.3">
      <c r="Q21" t="s">
        <v>42</v>
      </c>
      <c r="R21" s="3">
        <v>1</v>
      </c>
      <c r="S21" s="3"/>
      <c r="T21" s="3"/>
      <c r="U21" s="3"/>
      <c r="AJ21" t="s">
        <v>77</v>
      </c>
      <c r="AK21" s="3">
        <v>1</v>
      </c>
    </row>
    <row r="22" spans="16:37" x14ac:dyDescent="0.3">
      <c r="Q22" t="s">
        <v>13</v>
      </c>
      <c r="R22" s="3">
        <v>1</v>
      </c>
      <c r="S22" s="3"/>
      <c r="T22" s="3"/>
      <c r="U22" s="3"/>
      <c r="AJ22" t="s">
        <v>34</v>
      </c>
      <c r="AK22" s="3">
        <v>1</v>
      </c>
    </row>
    <row r="23" spans="16:37" x14ac:dyDescent="0.3">
      <c r="Q23" t="s">
        <v>73</v>
      </c>
      <c r="R23" s="3">
        <v>1</v>
      </c>
      <c r="S23" s="3"/>
      <c r="T23" s="3"/>
      <c r="U23" s="3"/>
      <c r="AJ23" t="s">
        <v>40</v>
      </c>
      <c r="AK23" s="3">
        <v>1</v>
      </c>
    </row>
    <row r="24" spans="16:37" x14ac:dyDescent="0.3">
      <c r="Q24" t="s">
        <v>18</v>
      </c>
      <c r="R24" s="3">
        <v>1</v>
      </c>
      <c r="S24" s="3"/>
      <c r="T24" s="3"/>
      <c r="U24" s="3"/>
      <c r="AJ24" t="s">
        <v>19</v>
      </c>
      <c r="AK24" s="3">
        <v>1</v>
      </c>
    </row>
    <row r="25" spans="16:37" x14ac:dyDescent="0.3">
      <c r="Q25" t="s">
        <v>50</v>
      </c>
      <c r="R25" s="3">
        <v>1</v>
      </c>
      <c r="S25" s="3"/>
      <c r="T25" s="3"/>
      <c r="U25" s="3"/>
      <c r="AJ25" t="s">
        <v>29</v>
      </c>
      <c r="AK25" s="3">
        <v>1</v>
      </c>
    </row>
    <row r="26" spans="16:37" x14ac:dyDescent="0.3">
      <c r="Q26" t="s">
        <v>59</v>
      </c>
      <c r="R26" s="3">
        <v>1</v>
      </c>
      <c r="S26" s="3"/>
      <c r="T26" s="3"/>
      <c r="U26" s="3"/>
      <c r="AJ26" t="s">
        <v>45</v>
      </c>
      <c r="AK26" s="3">
        <v>1</v>
      </c>
    </row>
    <row r="27" spans="16:37" x14ac:dyDescent="0.3">
      <c r="P27" s="3"/>
      <c r="Q27" t="s">
        <v>370</v>
      </c>
      <c r="R27" s="3">
        <v>22</v>
      </c>
      <c r="S27" s="3"/>
      <c r="T27" s="3"/>
      <c r="U27" s="3"/>
      <c r="AJ27" t="s">
        <v>9</v>
      </c>
      <c r="AK27" s="3">
        <v>1</v>
      </c>
    </row>
    <row r="28" spans="16:37" x14ac:dyDescent="0.3">
      <c r="P28" s="3"/>
      <c r="Q28" s="21"/>
      <c r="R28" s="20"/>
      <c r="S28" s="20"/>
      <c r="T28" s="3"/>
      <c r="U28" s="3"/>
      <c r="AJ28" t="s">
        <v>64</v>
      </c>
      <c r="AK28" s="3">
        <v>1</v>
      </c>
    </row>
    <row r="29" spans="16:37" x14ac:dyDescent="0.3">
      <c r="P29" s="3"/>
      <c r="T29" s="3"/>
      <c r="U29" s="3"/>
      <c r="AJ29" t="s">
        <v>370</v>
      </c>
      <c r="AK29" s="3">
        <v>25</v>
      </c>
    </row>
    <row r="30" spans="16:37" x14ac:dyDescent="0.3">
      <c r="P30" s="3"/>
      <c r="Q30" s="3"/>
      <c r="R30" s="3"/>
      <c r="S30" s="3"/>
      <c r="T30" s="3"/>
      <c r="U30" s="3"/>
    </row>
    <row r="31" spans="16:37" x14ac:dyDescent="0.3">
      <c r="P31" s="3"/>
      <c r="Q31" s="3"/>
      <c r="R31" s="3"/>
      <c r="S31" s="3"/>
      <c r="T31" s="3"/>
      <c r="U31" s="3"/>
    </row>
    <row r="32" spans="16:37" x14ac:dyDescent="0.3">
      <c r="P32" s="3"/>
      <c r="Q32" s="3"/>
      <c r="R32" s="3"/>
      <c r="S32" s="3"/>
      <c r="T32" s="3"/>
      <c r="U32" s="3"/>
    </row>
    <row r="33" spans="1:21" x14ac:dyDescent="0.3">
      <c r="P33" s="3"/>
      <c r="Q33" s="3"/>
      <c r="R33" s="3"/>
      <c r="S33" s="3"/>
      <c r="T33" s="3"/>
      <c r="U33" s="3"/>
    </row>
    <row r="34" spans="1:21" x14ac:dyDescent="0.3">
      <c r="P34" s="3"/>
      <c r="Q34" s="3"/>
      <c r="R34" s="3"/>
      <c r="S34" s="3"/>
      <c r="T34" s="3"/>
      <c r="U34" s="3"/>
    </row>
    <row r="35" spans="1:21" x14ac:dyDescent="0.3">
      <c r="P35" s="3"/>
      <c r="Q35" s="3"/>
      <c r="R35" s="3"/>
      <c r="S35" s="3"/>
      <c r="T35" s="3"/>
      <c r="U35" s="3"/>
    </row>
    <row r="36" spans="1:21" x14ac:dyDescent="0.3">
      <c r="P36" s="3"/>
      <c r="Q36" s="3"/>
      <c r="R36" s="3"/>
      <c r="S36" s="3"/>
      <c r="T36" s="3"/>
      <c r="U36" s="3"/>
    </row>
    <row r="37" spans="1:21" x14ac:dyDescent="0.3">
      <c r="P37" s="3"/>
      <c r="Q37" s="3"/>
      <c r="R37" s="3"/>
      <c r="S37" s="3"/>
      <c r="T37" s="3"/>
      <c r="U37" s="3"/>
    </row>
    <row r="38" spans="1:21" x14ac:dyDescent="0.3">
      <c r="P38" s="20"/>
      <c r="Q38" s="20"/>
      <c r="R38" s="20"/>
      <c r="S38" s="20"/>
      <c r="T38" s="20"/>
      <c r="U38" s="20"/>
    </row>
    <row r="40" spans="1:21" x14ac:dyDescent="0.3">
      <c r="A40" s="21"/>
      <c r="B40" s="20"/>
      <c r="C40" s="20"/>
      <c r="D40" s="20"/>
      <c r="E40" s="20"/>
      <c r="F40" s="20"/>
      <c r="G40" s="20"/>
      <c r="H40" s="20"/>
      <c r="I40" s="20"/>
      <c r="J40" s="20"/>
      <c r="K40" s="20"/>
      <c r="L40" s="20"/>
      <c r="M40" s="20"/>
      <c r="N40" s="20"/>
      <c r="O40" s="20"/>
      <c r="P40" s="20"/>
      <c r="Q40" s="20"/>
      <c r="R40" s="20"/>
      <c r="S40" s="20"/>
      <c r="T40" s="20"/>
      <c r="U40" s="20"/>
    </row>
    <row r="41" spans="1:21" x14ac:dyDescent="0.3">
      <c r="A41" s="21"/>
      <c r="B41" s="20"/>
      <c r="C41" s="20"/>
      <c r="D41" s="20"/>
      <c r="E41" s="20"/>
      <c r="F41" s="20"/>
      <c r="G41" s="20"/>
      <c r="H41" s="20"/>
      <c r="I41" s="20"/>
      <c r="J41" s="20"/>
      <c r="K41" s="20"/>
      <c r="L41" s="20"/>
      <c r="M41" s="20"/>
      <c r="N41" s="20"/>
      <c r="O41" s="20"/>
      <c r="P41" s="20"/>
      <c r="Q41" s="20"/>
      <c r="R41" s="20"/>
      <c r="S41" s="20"/>
      <c r="T41" s="20"/>
      <c r="U41" s="20"/>
    </row>
    <row r="42" spans="1:21" x14ac:dyDescent="0.3">
      <c r="A42" s="21"/>
      <c r="B42" s="20"/>
      <c r="C42" s="20"/>
      <c r="D42" s="20"/>
      <c r="E42" s="20"/>
      <c r="F42" s="20"/>
      <c r="G42" s="20"/>
      <c r="H42" s="20"/>
      <c r="I42" s="20"/>
      <c r="J42" s="20"/>
      <c r="K42" s="20"/>
      <c r="L42" s="20"/>
      <c r="M42" s="20"/>
      <c r="N42" s="20"/>
      <c r="O42" s="20"/>
      <c r="P42" s="20"/>
      <c r="Q42" s="20"/>
      <c r="R42" s="20"/>
      <c r="S42" s="20"/>
      <c r="T42" s="20"/>
      <c r="U42" s="20"/>
    </row>
    <row r="43" spans="1:21" x14ac:dyDescent="0.3">
      <c r="A43" s="21"/>
      <c r="B43" s="20"/>
      <c r="C43" s="20"/>
      <c r="D43" s="20"/>
      <c r="E43" s="20"/>
      <c r="F43" s="20"/>
      <c r="G43" s="20"/>
      <c r="H43" s="20"/>
      <c r="I43" s="20"/>
      <c r="J43" s="20"/>
      <c r="K43" s="20"/>
      <c r="L43" s="20"/>
      <c r="M43" s="20"/>
      <c r="N43" s="20"/>
      <c r="O43" s="20"/>
      <c r="P43" s="20"/>
      <c r="Q43" s="20"/>
      <c r="R43" s="20"/>
      <c r="S43" s="20"/>
      <c r="T43" s="20"/>
      <c r="U43" s="20"/>
    </row>
    <row r="44" spans="1:21" x14ac:dyDescent="0.3">
      <c r="A44" s="21"/>
      <c r="B44" s="20"/>
      <c r="C44" s="20"/>
      <c r="D44" s="20"/>
      <c r="E44" s="20"/>
      <c r="F44" s="20"/>
      <c r="G44" s="20"/>
      <c r="H44" s="20"/>
      <c r="I44" s="20"/>
      <c r="J44" s="20"/>
      <c r="K44" s="20"/>
      <c r="L44" s="20"/>
      <c r="M44" s="20"/>
      <c r="N44" s="20"/>
      <c r="O44" s="20"/>
      <c r="P44" s="20"/>
      <c r="Q44" s="20"/>
      <c r="R44" s="20"/>
      <c r="S44" s="20"/>
      <c r="T44" s="20"/>
      <c r="U44" s="20"/>
    </row>
    <row r="45" spans="1:21" x14ac:dyDescent="0.3">
      <c r="A45" s="21"/>
      <c r="B45" s="20"/>
      <c r="C45" s="20"/>
      <c r="D45" s="20"/>
      <c r="E45" s="20"/>
      <c r="F45" s="20"/>
      <c r="G45" s="20"/>
      <c r="H45" s="20"/>
      <c r="I45" s="20"/>
      <c r="J45" s="20"/>
      <c r="K45" s="20"/>
      <c r="L45" s="20"/>
      <c r="M45" s="20"/>
      <c r="N45" s="20"/>
      <c r="O45" s="20"/>
      <c r="P45" s="20"/>
      <c r="Q45" s="20"/>
      <c r="R45" s="20"/>
      <c r="S45" s="20"/>
      <c r="T45" s="20"/>
      <c r="U45" s="20"/>
    </row>
    <row r="46" spans="1:21" x14ac:dyDescent="0.3">
      <c r="A46" s="21"/>
      <c r="B46" s="20"/>
      <c r="C46" s="20"/>
      <c r="D46" s="20"/>
      <c r="E46" s="20"/>
      <c r="F46" s="20"/>
      <c r="G46" s="20"/>
      <c r="H46" s="20"/>
      <c r="I46" s="20"/>
      <c r="J46" s="20"/>
      <c r="K46" s="20"/>
      <c r="L46" s="20"/>
      <c r="M46" s="20"/>
      <c r="N46" s="20"/>
      <c r="O46" s="20"/>
      <c r="P46" s="20"/>
      <c r="Q46" s="20"/>
      <c r="R46" s="20"/>
      <c r="S46" s="20"/>
      <c r="T46" s="20"/>
      <c r="U46" s="20"/>
    </row>
    <row r="47" spans="1:21" x14ac:dyDescent="0.3">
      <c r="A47" s="17"/>
      <c r="B47" s="18"/>
      <c r="C47" s="18"/>
      <c r="D47" s="18"/>
      <c r="E47" s="18"/>
      <c r="F47" s="18"/>
      <c r="G47" s="18"/>
      <c r="H47" s="18"/>
      <c r="I47" s="18"/>
      <c r="J47" s="18"/>
      <c r="K47" s="18"/>
      <c r="L47" s="18"/>
      <c r="M47" s="18"/>
      <c r="N47" s="18"/>
      <c r="O47" s="18"/>
      <c r="P47" s="18"/>
      <c r="Q47" s="18"/>
      <c r="R47" s="18"/>
      <c r="S47" s="18"/>
      <c r="T47" s="18"/>
      <c r="U47" s="18"/>
    </row>
    <row r="58" spans="3:21" x14ac:dyDescent="0.3">
      <c r="C58" s="3"/>
      <c r="D58" s="3"/>
      <c r="E58" s="3"/>
      <c r="F58" s="3"/>
      <c r="G58" s="3"/>
      <c r="H58" s="3"/>
      <c r="I58" s="3"/>
      <c r="J58" s="3"/>
      <c r="K58" s="3"/>
      <c r="L58" s="3"/>
      <c r="M58" s="3"/>
      <c r="N58" s="3"/>
      <c r="O58" s="3"/>
      <c r="P58" s="3"/>
      <c r="Q58" s="3"/>
      <c r="R58" s="3"/>
      <c r="S58" s="3"/>
      <c r="T58" s="3"/>
      <c r="U58" s="3"/>
    </row>
    <row r="59" spans="3:21" x14ac:dyDescent="0.3">
      <c r="C59" s="3"/>
      <c r="D59" s="3"/>
      <c r="E59" s="3"/>
      <c r="F59" s="3"/>
      <c r="G59" s="3"/>
      <c r="H59" s="3"/>
      <c r="I59" s="3"/>
      <c r="J59" s="3"/>
      <c r="K59" s="3"/>
      <c r="L59" s="3"/>
      <c r="M59" s="3"/>
      <c r="N59" s="3"/>
      <c r="O59" s="3"/>
      <c r="P59" s="3"/>
      <c r="Q59" s="3"/>
      <c r="R59" s="3"/>
      <c r="S59" s="3"/>
      <c r="T59" s="3"/>
      <c r="U59" s="3"/>
    </row>
    <row r="68" spans="3:21" x14ac:dyDescent="0.3">
      <c r="C68" s="3"/>
      <c r="D68" s="3"/>
      <c r="E68" s="3"/>
      <c r="F68" s="3"/>
      <c r="G68" s="3"/>
      <c r="H68" s="3"/>
      <c r="I68" s="3"/>
      <c r="J68" s="3"/>
      <c r="K68" s="3"/>
      <c r="L68" s="3"/>
      <c r="M68" s="3"/>
      <c r="N68" s="3"/>
      <c r="O68" s="3"/>
      <c r="P68" s="3"/>
      <c r="Q68" s="3"/>
      <c r="R68" s="3"/>
      <c r="S68" s="3"/>
      <c r="T68" s="3"/>
      <c r="U68" s="3"/>
    </row>
    <row r="69" spans="3:21" x14ac:dyDescent="0.3">
      <c r="C69" s="3"/>
      <c r="D69" s="3"/>
      <c r="E69" s="3"/>
      <c r="F69" s="3"/>
      <c r="G69" s="3"/>
      <c r="H69" s="3"/>
      <c r="I69" s="3"/>
      <c r="J69" s="3"/>
      <c r="K69" s="3"/>
      <c r="L69" s="3"/>
      <c r="M69" s="3"/>
      <c r="N69" s="3"/>
      <c r="O69" s="3"/>
      <c r="P69" s="3"/>
      <c r="Q69" s="3"/>
      <c r="R69" s="3"/>
      <c r="S69" s="3"/>
      <c r="T69" s="3"/>
      <c r="U69" s="3"/>
    </row>
    <row r="70" spans="3:21" x14ac:dyDescent="0.3">
      <c r="C70" s="3"/>
      <c r="D70" s="3"/>
      <c r="E70" s="3"/>
      <c r="F70" s="3"/>
      <c r="G70" s="3"/>
      <c r="H70" s="3"/>
      <c r="I70" s="3"/>
      <c r="J70" s="3"/>
      <c r="K70" s="3"/>
      <c r="L70" s="3"/>
      <c r="M70" s="3"/>
      <c r="N70" s="3"/>
      <c r="O70" s="3"/>
      <c r="P70" s="3"/>
      <c r="Q70" s="3"/>
      <c r="R70" s="3"/>
      <c r="S70" s="3"/>
      <c r="T70" s="3"/>
      <c r="U70" s="3"/>
    </row>
    <row r="71" spans="3:21" x14ac:dyDescent="0.3">
      <c r="C71" s="3"/>
      <c r="D71" s="3"/>
      <c r="E71" s="3"/>
      <c r="F71" s="3"/>
      <c r="G71" s="3"/>
      <c r="H71" s="3"/>
      <c r="I71" s="3"/>
      <c r="J71" s="3"/>
      <c r="K71" s="3"/>
      <c r="L71" s="3"/>
      <c r="M71" s="3"/>
      <c r="N71" s="3"/>
      <c r="O71" s="3"/>
      <c r="P71" s="3"/>
      <c r="Q71" s="3"/>
      <c r="R71" s="3"/>
      <c r="S71" s="3"/>
      <c r="T71" s="3"/>
      <c r="U71"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U31"/>
  <sheetViews>
    <sheetView topLeftCell="A10" zoomScale="85" zoomScaleNormal="85" workbookViewId="0">
      <selection activeCell="B29" sqref="B29"/>
    </sheetView>
  </sheetViews>
  <sheetFormatPr defaultRowHeight="14.4" x14ac:dyDescent="0.3"/>
  <cols>
    <col min="1" max="1" width="13.44140625" bestFit="1" customWidth="1"/>
    <col min="2" max="2" width="16.44140625" bestFit="1" customWidth="1"/>
    <col min="3" max="4" width="5.109375" bestFit="1" customWidth="1"/>
    <col min="5" max="5" width="11.44140625" bestFit="1" customWidth="1"/>
    <col min="6" max="6" width="24.77734375" bestFit="1" customWidth="1"/>
    <col min="7" max="7" width="18.6640625" bestFit="1" customWidth="1"/>
    <col min="8" max="8" width="31.44140625" bestFit="1" customWidth="1"/>
    <col min="9" max="9" width="25.109375" bestFit="1" customWidth="1"/>
    <col min="10" max="10" width="11" bestFit="1" customWidth="1"/>
    <col min="11" max="11" width="18.44140625" bestFit="1" customWidth="1"/>
    <col min="12" max="12" width="18.6640625" bestFit="1" customWidth="1"/>
    <col min="13" max="13" width="19.88671875" bestFit="1" customWidth="1"/>
    <col min="14" max="14" width="24.21875" bestFit="1" customWidth="1"/>
    <col min="15" max="15" width="24.6640625" bestFit="1" customWidth="1"/>
    <col min="16" max="16" width="6" bestFit="1" customWidth="1"/>
    <col min="17" max="17" width="11.88671875" bestFit="1" customWidth="1"/>
    <col min="18" max="19" width="6" bestFit="1" customWidth="1"/>
    <col min="20" max="20" width="20.5546875" bestFit="1" customWidth="1"/>
    <col min="21" max="21" width="16.44140625" bestFit="1" customWidth="1"/>
    <col min="22" max="23" width="5.109375" bestFit="1" customWidth="1"/>
    <col min="24" max="24" width="11.44140625" bestFit="1" customWidth="1"/>
    <col min="25" max="25" width="6" bestFit="1" customWidth="1"/>
    <col min="26" max="26" width="10.77734375" bestFit="1" customWidth="1"/>
    <col min="37" max="37" width="13.44140625" bestFit="1" customWidth="1"/>
    <col min="38" max="38" width="15.109375" bestFit="1" customWidth="1"/>
    <col min="52" max="52" width="15.109375" bestFit="1" customWidth="1"/>
    <col min="53" max="53" width="16.44140625" bestFit="1" customWidth="1"/>
    <col min="54" max="55" width="11.33203125" bestFit="1" customWidth="1"/>
    <col min="56" max="56" width="12.44140625" bestFit="1" customWidth="1"/>
    <col min="69" max="69" width="15.109375" bestFit="1" customWidth="1"/>
    <col min="70" max="70" width="16.44140625" bestFit="1" customWidth="1"/>
    <col min="71" max="72" width="11.33203125" bestFit="1" customWidth="1"/>
    <col min="73" max="73" width="12.44140625" bestFit="1" customWidth="1"/>
  </cols>
  <sheetData>
    <row r="1" spans="1:73" x14ac:dyDescent="0.3">
      <c r="A1" s="5" t="s">
        <v>3</v>
      </c>
      <c r="B1" t="s">
        <v>388</v>
      </c>
      <c r="T1" s="5" t="s">
        <v>377</v>
      </c>
      <c r="U1" s="5" t="s">
        <v>369</v>
      </c>
      <c r="AK1" s="5" t="s">
        <v>371</v>
      </c>
      <c r="AL1" t="s">
        <v>368</v>
      </c>
      <c r="AZ1" s="5" t="s">
        <v>368</v>
      </c>
      <c r="BA1" s="5" t="s">
        <v>369</v>
      </c>
      <c r="BQ1" s="5" t="s">
        <v>368</v>
      </c>
      <c r="BR1" s="5" t="s">
        <v>369</v>
      </c>
    </row>
    <row r="2" spans="1:73" x14ac:dyDescent="0.3">
      <c r="K2" s="5" t="s">
        <v>371</v>
      </c>
      <c r="L2" t="s">
        <v>368</v>
      </c>
      <c r="T2" s="5" t="s">
        <v>371</v>
      </c>
      <c r="U2" s="1" t="s">
        <v>374</v>
      </c>
      <c r="V2" s="1" t="s">
        <v>375</v>
      </c>
      <c r="W2" s="1" t="s">
        <v>376</v>
      </c>
      <c r="X2" s="1" t="s">
        <v>370</v>
      </c>
      <c r="AK2" s="6" t="s">
        <v>15</v>
      </c>
      <c r="AL2" s="16">
        <v>0.18424228130003614</v>
      </c>
      <c r="AZ2" s="5" t="s">
        <v>371</v>
      </c>
      <c r="BA2" s="1" t="s">
        <v>374</v>
      </c>
      <c r="BB2" s="1" t="s">
        <v>375</v>
      </c>
      <c r="BC2" s="1" t="s">
        <v>376</v>
      </c>
      <c r="BD2" s="1" t="s">
        <v>370</v>
      </c>
      <c r="BQ2" s="5" t="s">
        <v>371</v>
      </c>
      <c r="BR2" s="1" t="s">
        <v>374</v>
      </c>
      <c r="BS2" s="1" t="s">
        <v>375</v>
      </c>
      <c r="BT2" s="1" t="s">
        <v>376</v>
      </c>
      <c r="BU2" s="1" t="s">
        <v>370</v>
      </c>
    </row>
    <row r="3" spans="1:73" x14ac:dyDescent="0.3">
      <c r="A3" s="5" t="s">
        <v>371</v>
      </c>
      <c r="B3" t="s">
        <v>368</v>
      </c>
      <c r="K3" s="6" t="s">
        <v>28</v>
      </c>
      <c r="L3" s="3">
        <v>997326.48000000056</v>
      </c>
      <c r="T3" s="6" t="s">
        <v>15</v>
      </c>
      <c r="U3" s="3">
        <v>205</v>
      </c>
      <c r="V3" s="3">
        <v>205</v>
      </c>
      <c r="W3" s="3">
        <v>205</v>
      </c>
      <c r="X3" s="3">
        <v>615</v>
      </c>
      <c r="AK3" s="6" t="s">
        <v>35</v>
      </c>
      <c r="AL3" s="16">
        <v>0.15554578846876893</v>
      </c>
      <c r="AZ3" s="6" t="s">
        <v>15</v>
      </c>
      <c r="BA3" s="3">
        <v>1137367</v>
      </c>
      <c r="BB3" s="3">
        <v>1227533.7199999993</v>
      </c>
      <c r="BC3" s="3">
        <v>1281543.6300000004</v>
      </c>
      <c r="BD3" s="3">
        <v>3646444.3499999996</v>
      </c>
      <c r="BQ3" s="6" t="s">
        <v>15</v>
      </c>
      <c r="BR3" s="3">
        <v>1137367</v>
      </c>
      <c r="BS3" s="3">
        <v>1227533.7199999993</v>
      </c>
      <c r="BT3" s="3">
        <v>1281543.6300000004</v>
      </c>
      <c r="BU3" s="3">
        <v>3646444.3499999996</v>
      </c>
    </row>
    <row r="4" spans="1:73" x14ac:dyDescent="0.3">
      <c r="A4" s="6" t="s">
        <v>15</v>
      </c>
      <c r="B4" s="16">
        <v>0.18424228130003614</v>
      </c>
      <c r="K4" s="6" t="s">
        <v>70</v>
      </c>
      <c r="L4" s="3">
        <v>1002929.1</v>
      </c>
      <c r="T4" s="6" t="s">
        <v>35</v>
      </c>
      <c r="U4" s="3">
        <v>175</v>
      </c>
      <c r="V4" s="3">
        <v>175</v>
      </c>
      <c r="W4" s="3">
        <v>175</v>
      </c>
      <c r="X4" s="3">
        <v>525</v>
      </c>
      <c r="AK4" s="6" t="s">
        <v>10</v>
      </c>
      <c r="AL4" s="16">
        <v>0.16894720912783531</v>
      </c>
      <c r="AZ4" s="6" t="s">
        <v>35</v>
      </c>
      <c r="BA4" s="3">
        <v>962899</v>
      </c>
      <c r="BB4" s="3">
        <v>1032494.6799999997</v>
      </c>
      <c r="BC4" s="3">
        <v>1083101.9700000002</v>
      </c>
      <c r="BD4" s="3">
        <v>3078495.65</v>
      </c>
      <c r="BQ4" s="6" t="s">
        <v>35</v>
      </c>
      <c r="BR4" s="3">
        <v>962899</v>
      </c>
      <c r="BS4" s="3">
        <v>1032494.6799999997</v>
      </c>
      <c r="BT4" s="3">
        <v>1083101.9700000002</v>
      </c>
      <c r="BU4" s="3">
        <v>3078495.65</v>
      </c>
    </row>
    <row r="5" spans="1:73" x14ac:dyDescent="0.3">
      <c r="A5" s="6" t="s">
        <v>35</v>
      </c>
      <c r="B5" s="16">
        <v>0.15554578846876893</v>
      </c>
      <c r="K5" s="6" t="s">
        <v>77</v>
      </c>
      <c r="L5" s="3">
        <v>1010028.72</v>
      </c>
      <c r="T5" s="6" t="s">
        <v>10</v>
      </c>
      <c r="U5" s="3">
        <v>184</v>
      </c>
      <c r="V5" s="3">
        <v>184</v>
      </c>
      <c r="W5" s="3">
        <v>184</v>
      </c>
      <c r="X5" s="3">
        <v>552</v>
      </c>
      <c r="AK5" s="6" t="s">
        <v>25</v>
      </c>
      <c r="AL5" s="16">
        <v>0.15378536184644409</v>
      </c>
      <c r="AZ5" s="6" t="s">
        <v>10</v>
      </c>
      <c r="BA5" s="3">
        <v>1045800</v>
      </c>
      <c r="BB5" s="3">
        <v>1117250.3899999997</v>
      </c>
      <c r="BC5" s="3">
        <v>1180680.4400000006</v>
      </c>
      <c r="BD5" s="3">
        <v>3343730.83</v>
      </c>
      <c r="BQ5" s="6" t="s">
        <v>10</v>
      </c>
      <c r="BR5" s="3">
        <v>1045800</v>
      </c>
      <c r="BS5" s="3">
        <v>1117250.3899999997</v>
      </c>
      <c r="BT5" s="3">
        <v>1180680.4400000006</v>
      </c>
      <c r="BU5" s="3">
        <v>3343730.83</v>
      </c>
    </row>
    <row r="6" spans="1:73" x14ac:dyDescent="0.3">
      <c r="A6" s="6" t="s">
        <v>10</v>
      </c>
      <c r="B6" s="16">
        <v>0.16894720912783531</v>
      </c>
      <c r="K6" s="6" t="s">
        <v>19</v>
      </c>
      <c r="L6" s="3">
        <v>1017204.1199999995</v>
      </c>
      <c r="T6" s="6" t="s">
        <v>25</v>
      </c>
      <c r="U6" s="3">
        <v>173</v>
      </c>
      <c r="V6" s="3">
        <v>173</v>
      </c>
      <c r="W6" s="3">
        <v>173</v>
      </c>
      <c r="X6" s="3">
        <v>519</v>
      </c>
      <c r="AK6" s="6" t="s">
        <v>7</v>
      </c>
      <c r="AL6" s="16">
        <v>0.17004151685403326</v>
      </c>
      <c r="AZ6" s="6" t="s">
        <v>25</v>
      </c>
      <c r="BA6" s="3">
        <v>950418</v>
      </c>
      <c r="BB6" s="3">
        <v>1025154.1000000006</v>
      </c>
      <c r="BC6" s="3">
        <v>1068081.9399999992</v>
      </c>
      <c r="BD6" s="3">
        <v>3043654.04</v>
      </c>
      <c r="BQ6" s="6" t="s">
        <v>25</v>
      </c>
      <c r="BR6" s="3">
        <v>950418</v>
      </c>
      <c r="BS6" s="3">
        <v>1025154.1000000006</v>
      </c>
      <c r="BT6" s="3">
        <v>1068081.9399999992</v>
      </c>
      <c r="BU6" s="3">
        <v>3043654.04</v>
      </c>
    </row>
    <row r="7" spans="1:73" x14ac:dyDescent="0.3">
      <c r="A7" s="6" t="s">
        <v>25</v>
      </c>
      <c r="B7" s="16">
        <v>0.15378536184644409</v>
      </c>
      <c r="K7" s="6" t="s">
        <v>83</v>
      </c>
      <c r="L7" s="3">
        <v>1022599.9600000002</v>
      </c>
      <c r="T7" s="6" t="s">
        <v>7</v>
      </c>
      <c r="U7" s="3">
        <v>178</v>
      </c>
      <c r="V7" s="3">
        <v>178</v>
      </c>
      <c r="W7" s="3">
        <v>178</v>
      </c>
      <c r="X7" s="3">
        <v>534</v>
      </c>
      <c r="AK7" s="6" t="s">
        <v>32</v>
      </c>
      <c r="AL7" s="16">
        <v>0.16743784240288231</v>
      </c>
      <c r="AZ7" s="6" t="s">
        <v>7</v>
      </c>
      <c r="BA7" s="3">
        <v>1051792</v>
      </c>
      <c r="BB7" s="3">
        <v>1128924.5599999998</v>
      </c>
      <c r="BC7" s="3">
        <v>1184672.3400000003</v>
      </c>
      <c r="BD7" s="3">
        <v>3365388.9</v>
      </c>
      <c r="BQ7" s="6" t="s">
        <v>7</v>
      </c>
      <c r="BR7" s="3">
        <v>1051792</v>
      </c>
      <c r="BS7" s="3">
        <v>1128924.5599999998</v>
      </c>
      <c r="BT7" s="3">
        <v>1184672.3400000003</v>
      </c>
      <c r="BU7" s="3">
        <v>3365388.9</v>
      </c>
    </row>
    <row r="8" spans="1:73" x14ac:dyDescent="0.3">
      <c r="A8" s="6" t="s">
        <v>7</v>
      </c>
      <c r="B8" s="16">
        <v>0.17004151685403326</v>
      </c>
      <c r="K8" s="6" t="s">
        <v>370</v>
      </c>
      <c r="L8" s="3">
        <v>5050088.38</v>
      </c>
      <c r="T8" s="6" t="s">
        <v>32</v>
      </c>
      <c r="U8" s="3">
        <v>179</v>
      </c>
      <c r="V8" s="3">
        <v>179</v>
      </c>
      <c r="W8" s="3">
        <v>179</v>
      </c>
      <c r="X8" s="3">
        <v>537</v>
      </c>
      <c r="AK8" s="6" t="s">
        <v>370</v>
      </c>
      <c r="AL8" s="16">
        <v>1</v>
      </c>
      <c r="AZ8" s="6" t="s">
        <v>32</v>
      </c>
      <c r="BA8" s="3">
        <v>1035349</v>
      </c>
      <c r="BB8" s="3">
        <v>1112020.5099999993</v>
      </c>
      <c r="BC8" s="3">
        <v>1166488.5799999998</v>
      </c>
      <c r="BD8" s="3">
        <v>3313858.0899999989</v>
      </c>
      <c r="BQ8" s="6" t="s">
        <v>32</v>
      </c>
      <c r="BR8" s="3">
        <v>1035349</v>
      </c>
      <c r="BS8" s="3">
        <v>1112020.5099999993</v>
      </c>
      <c r="BT8" s="3">
        <v>1166488.5799999998</v>
      </c>
      <c r="BU8" s="3">
        <v>3313858.0899999989</v>
      </c>
    </row>
    <row r="9" spans="1:73" x14ac:dyDescent="0.3">
      <c r="A9" s="6" t="s">
        <v>32</v>
      </c>
      <c r="B9" s="16">
        <v>0.16743784240288231</v>
      </c>
      <c r="T9" s="6" t="s">
        <v>370</v>
      </c>
      <c r="U9" s="3">
        <v>1094</v>
      </c>
      <c r="V9" s="3">
        <v>1094</v>
      </c>
      <c r="W9" s="3">
        <v>1094</v>
      </c>
      <c r="X9" s="3">
        <v>3282</v>
      </c>
      <c r="AZ9" s="6" t="s">
        <v>370</v>
      </c>
      <c r="BA9" s="3">
        <v>6183625</v>
      </c>
      <c r="BB9" s="3">
        <v>6643377.9599999972</v>
      </c>
      <c r="BC9" s="3">
        <v>6964568.9000000004</v>
      </c>
      <c r="BD9" s="3">
        <v>19791571.859999999</v>
      </c>
      <c r="BQ9" s="6" t="s">
        <v>370</v>
      </c>
      <c r="BR9" s="3">
        <v>6183625</v>
      </c>
      <c r="BS9" s="3">
        <v>6643377.9599999972</v>
      </c>
      <c r="BT9" s="3">
        <v>6964568.9000000004</v>
      </c>
      <c r="BU9" s="3">
        <v>19791571.859999999</v>
      </c>
    </row>
    <row r="10" spans="1:73" x14ac:dyDescent="0.3">
      <c r="A10" s="6" t="s">
        <v>370</v>
      </c>
      <c r="B10" s="16">
        <v>1</v>
      </c>
    </row>
    <row r="28" spans="1:2" x14ac:dyDescent="0.3">
      <c r="A28" s="5" t="s">
        <v>371</v>
      </c>
      <c r="B28" t="s">
        <v>389</v>
      </c>
    </row>
    <row r="29" spans="1:2" x14ac:dyDescent="0.3">
      <c r="A29" s="6" t="s">
        <v>381</v>
      </c>
      <c r="B29" s="3">
        <v>39</v>
      </c>
    </row>
    <row r="30" spans="1:2" x14ac:dyDescent="0.3">
      <c r="A30" s="6" t="s">
        <v>382</v>
      </c>
      <c r="B30" s="3">
        <v>3243</v>
      </c>
    </row>
    <row r="31" spans="1:2" x14ac:dyDescent="0.3">
      <c r="A31" s="6" t="s">
        <v>370</v>
      </c>
      <c r="B31" s="3">
        <v>3282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57A36-77F8-4D7D-8A57-A2D7A7BECC47}">
  <dimension ref="A7"/>
  <sheetViews>
    <sheetView showGridLines="0" tabSelected="1" zoomScale="36" zoomScaleNormal="36" workbookViewId="0">
      <selection activeCell="AB138" sqref="AB138"/>
    </sheetView>
  </sheetViews>
  <sheetFormatPr defaultRowHeight="14.4" x14ac:dyDescent="0.3"/>
  <cols>
    <col min="1" max="16384" width="8.88671875" style="9"/>
  </cols>
  <sheetData>
    <row r="7" ht="13.2"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125E8F-8B28-4EFE-A29D-F70E705D4F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PivotTable (Corrltion )</vt:lpstr>
      <vt:lpstr>Chocolate Sales </vt:lpstr>
      <vt:lpstr>UpDate Chocolate Sales </vt:lpstr>
      <vt:lpstr>Rela. amount &amp; Boxes.</vt:lpstr>
      <vt:lpstr>Analysis Type</vt:lpstr>
      <vt:lpstr>Anaylsis-1</vt:lpstr>
      <vt:lpstr>Anaylsis-2</vt:lpstr>
      <vt:lpstr>analysis Chocolate Sales </vt:lpstr>
      <vt:lpstr>'analysis Chocolate Sales '!Amount</vt:lpstr>
      <vt:lpstr>Amount</vt:lpstr>
      <vt:lpstr>'analysis Chocolate Sales '!Country</vt:lpstr>
      <vt:lpstr>Country</vt:lpstr>
      <vt:lpstr>'analysis Chocolate Sales '!Date</vt:lpstr>
      <vt:lpstr>Date</vt:lpstr>
      <vt:lpstr>'analysis Chocolate Sales '!Product</vt:lpstr>
      <vt:lpstr>Product</vt:lpstr>
      <vt:lpstr>'analysis Chocolate Sales '!Sales_Person</vt:lpstr>
      <vt:lpstr>Sales_Person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Aseel Salhab</dc:creator>
  <cp:lastModifiedBy>Aseel Salhab</cp:lastModifiedBy>
  <dcterms:created xsi:type="dcterms:W3CDTF">2026-07-03T21:14:26Z</dcterms:created>
  <dcterms:modified xsi:type="dcterms:W3CDTF">2026-07-13T12:50:14Z</dcterms:modified>
</cp:coreProperties>
</file>